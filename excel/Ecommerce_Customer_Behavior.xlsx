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HOBITH\CLOUD\OTHER DOCS\BA\Projects\E-Commerce Customer Behavior &amp; RFM Segmentation\"/>
    </mc:Choice>
  </mc:AlternateContent>
  <xr:revisionPtr revIDLastSave="0" documentId="13_ncr:1_{9927C72B-97FB-4F66-BAEA-DB701EE17F0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ustomers" sheetId="1" r:id="rId1"/>
    <sheet name="Orders" sheetId="2" r:id="rId2"/>
    <sheet name="Master" sheetId="4" r:id="rId3"/>
    <sheet name="Pivot_Analysis" sheetId="8" r:id="rId4"/>
    <sheet name="Analysis_Guide" sheetId="3" r:id="rId5"/>
  </sheets>
  <calcPr calcId="191029" iterateDelta="1E-4"/>
  <pivotCaches>
    <pivotCache cacheId="61" r:id="rId6"/>
    <pivotCache cacheId="7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8" l="1"/>
  <c r="C23" i="8"/>
  <c r="E23" i="8"/>
  <c r="B23" i="8"/>
  <c r="A23" i="8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2" i="4"/>
  <c r="N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</calcChain>
</file>

<file path=xl/sharedStrings.xml><?xml version="1.0" encoding="utf-8"?>
<sst xmlns="http://schemas.openxmlformats.org/spreadsheetml/2006/main" count="23400" uniqueCount="3133">
  <si>
    <t>customer_id</t>
  </si>
  <si>
    <t>first_name</t>
  </si>
  <si>
    <t>last_name</t>
  </si>
  <si>
    <t>email</t>
  </si>
  <si>
    <t>city</t>
  </si>
  <si>
    <t>state</t>
  </si>
  <si>
    <t>age</t>
  </si>
  <si>
    <t>gender</t>
  </si>
  <si>
    <t>join_date</t>
  </si>
  <si>
    <t>membership</t>
  </si>
  <si>
    <t>CUST-5001</t>
  </si>
  <si>
    <t>Noah</t>
  </si>
  <si>
    <t>Brown</t>
  </si>
  <si>
    <t>user5001@email.com</t>
  </si>
  <si>
    <t>Phoenix</t>
  </si>
  <si>
    <t>AZ</t>
  </si>
  <si>
    <t>Female</t>
  </si>
  <si>
    <t>2022-04-16</t>
  </si>
  <si>
    <t>Platinum</t>
  </si>
  <si>
    <t>CUST-5002</t>
  </si>
  <si>
    <t>Sophia</t>
  </si>
  <si>
    <t>Wilson</t>
  </si>
  <si>
    <t>user5002@email.com</t>
  </si>
  <si>
    <t>San Jose</t>
  </si>
  <si>
    <t>CA</t>
  </si>
  <si>
    <t>2021-03-01</t>
  </si>
  <si>
    <t>Gold</t>
  </si>
  <si>
    <t>CUST-5003</t>
  </si>
  <si>
    <t>Miller</t>
  </si>
  <si>
    <t>user5003@email.com</t>
  </si>
  <si>
    <t>San Diego</t>
  </si>
  <si>
    <t>2021-04-11</t>
  </si>
  <si>
    <t>Free</t>
  </si>
  <si>
    <t>CUST-5004</t>
  </si>
  <si>
    <t>James</t>
  </si>
  <si>
    <t>user5004@email.com</t>
  </si>
  <si>
    <t>Dallas</t>
  </si>
  <si>
    <t>TX</t>
  </si>
  <si>
    <t>Male</t>
  </si>
  <si>
    <t>2022-09-03</t>
  </si>
  <si>
    <t>CUST-5005</t>
  </si>
  <si>
    <t>Johnson</t>
  </si>
  <si>
    <t>user5005@email.com</t>
  </si>
  <si>
    <t>Houston</t>
  </si>
  <si>
    <t>2023-10-24</t>
  </si>
  <si>
    <t>CUST-5006</t>
  </si>
  <si>
    <t>user5006@email.com</t>
  </si>
  <si>
    <t>Los Angeles</t>
  </si>
  <si>
    <t>2020-10-09</t>
  </si>
  <si>
    <t>CUST-5007</t>
  </si>
  <si>
    <t>Smith</t>
  </si>
  <si>
    <t>user5007@email.com</t>
  </si>
  <si>
    <t>2020-06-08</t>
  </si>
  <si>
    <t>Silver</t>
  </si>
  <si>
    <t>CUST-5008</t>
  </si>
  <si>
    <t>Emma</t>
  </si>
  <si>
    <t>user5008@email.com</t>
  </si>
  <si>
    <t>San Antonio</t>
  </si>
  <si>
    <t>2021-07-21</t>
  </si>
  <si>
    <t>CUST-5009</t>
  </si>
  <si>
    <t>Ava</t>
  </si>
  <si>
    <t>user5009@email.com</t>
  </si>
  <si>
    <t>Philadelphia</t>
  </si>
  <si>
    <t>PA</t>
  </si>
  <si>
    <t>2023-02-02</t>
  </si>
  <si>
    <t>CUST-5010</t>
  </si>
  <si>
    <t>user5010@email.com</t>
  </si>
  <si>
    <t>Jacksonville</t>
  </si>
  <si>
    <t>FL</t>
  </si>
  <si>
    <t>2020-03-27</t>
  </si>
  <si>
    <t>CUST-5011</t>
  </si>
  <si>
    <t>user5011@email.com</t>
  </si>
  <si>
    <t>2023-10-25</t>
  </si>
  <si>
    <t>CUST-5012</t>
  </si>
  <si>
    <t>Liam</t>
  </si>
  <si>
    <t>Davis</t>
  </si>
  <si>
    <t>user5012@email.com</t>
  </si>
  <si>
    <t>New York</t>
  </si>
  <si>
    <t>NY</t>
  </si>
  <si>
    <t>2020-04-16</t>
  </si>
  <si>
    <t>CUST-5013</t>
  </si>
  <si>
    <t>user5013@email.com</t>
  </si>
  <si>
    <t>Chicago</t>
  </si>
  <si>
    <t>IL</t>
  </si>
  <si>
    <t>2021-05-05</t>
  </si>
  <si>
    <t>CUST-5014</t>
  </si>
  <si>
    <t>Oliver</t>
  </si>
  <si>
    <t>user5014@email.com</t>
  </si>
  <si>
    <t>2023-10-20</t>
  </si>
  <si>
    <t>CUST-5015</t>
  </si>
  <si>
    <t>Isabella</t>
  </si>
  <si>
    <t>Jones</t>
  </si>
  <si>
    <t>user5015@email.com</t>
  </si>
  <si>
    <t>2023-10-10</t>
  </si>
  <si>
    <t>CUST-5016</t>
  </si>
  <si>
    <t>user5016@email.com</t>
  </si>
  <si>
    <t>2020-10-24</t>
  </si>
  <si>
    <t>CUST-5017</t>
  </si>
  <si>
    <t>user5017@email.com</t>
  </si>
  <si>
    <t>2020-09-04</t>
  </si>
  <si>
    <t>CUST-5018</t>
  </si>
  <si>
    <t>user5018@email.com</t>
  </si>
  <si>
    <t>2022-08-07</t>
  </si>
  <si>
    <t>CUST-5019</t>
  </si>
  <si>
    <t>user5019@email.com</t>
  </si>
  <si>
    <t>Austin</t>
  </si>
  <si>
    <t>2023-05-11</t>
  </si>
  <si>
    <t>CUST-5020</t>
  </si>
  <si>
    <t>user5020@email.com</t>
  </si>
  <si>
    <t>2022-12-28</t>
  </si>
  <si>
    <t>CUST-5021</t>
  </si>
  <si>
    <t>user5021@email.com</t>
  </si>
  <si>
    <t>2022-02-12</t>
  </si>
  <si>
    <t>CUST-5022</t>
  </si>
  <si>
    <t>user5022@email.com</t>
  </si>
  <si>
    <t>2020-04-17</t>
  </si>
  <si>
    <t>CUST-5023</t>
  </si>
  <si>
    <t>Olivia</t>
  </si>
  <si>
    <t>user5023@email.com</t>
  </si>
  <si>
    <t>2020-11-02</t>
  </si>
  <si>
    <t>CUST-5024</t>
  </si>
  <si>
    <t>user5024@email.com</t>
  </si>
  <si>
    <t>2023-02-21</t>
  </si>
  <si>
    <t>CUST-5025</t>
  </si>
  <si>
    <t>user5025@email.com</t>
  </si>
  <si>
    <t>2020-08-14</t>
  </si>
  <si>
    <t>CUST-5026</t>
  </si>
  <si>
    <t>user5026@email.com</t>
  </si>
  <si>
    <t>2023-03-21</t>
  </si>
  <si>
    <t>CUST-5027</t>
  </si>
  <si>
    <t>user5027@email.com</t>
  </si>
  <si>
    <t>2020-02-17</t>
  </si>
  <si>
    <t>CUST-5028</t>
  </si>
  <si>
    <t>Garcia</t>
  </si>
  <si>
    <t>user5028@email.com</t>
  </si>
  <si>
    <t>2023-04-08</t>
  </si>
  <si>
    <t>CUST-5029</t>
  </si>
  <si>
    <t>user5029@email.com</t>
  </si>
  <si>
    <t>2023-10-23</t>
  </si>
  <si>
    <t>CUST-5030</t>
  </si>
  <si>
    <t>Elijah</t>
  </si>
  <si>
    <t>user5030@email.com</t>
  </si>
  <si>
    <t>2022-11-07</t>
  </si>
  <si>
    <t>CUST-5031</t>
  </si>
  <si>
    <t>user5031@email.com</t>
  </si>
  <si>
    <t>2021-05-22</t>
  </si>
  <si>
    <t>CUST-5032</t>
  </si>
  <si>
    <t>user5032@email.com</t>
  </si>
  <si>
    <t>2023-05-16</t>
  </si>
  <si>
    <t>CUST-5033</t>
  </si>
  <si>
    <t>user5033@email.com</t>
  </si>
  <si>
    <t>2022-05-14</t>
  </si>
  <si>
    <t>CUST-5034</t>
  </si>
  <si>
    <t>user5034@email.com</t>
  </si>
  <si>
    <t>2023-12-26</t>
  </si>
  <si>
    <t>CUST-5035</t>
  </si>
  <si>
    <t>Williams</t>
  </si>
  <si>
    <t>user5035@email.com</t>
  </si>
  <si>
    <t>2023-08-28</t>
  </si>
  <si>
    <t>CUST-5036</t>
  </si>
  <si>
    <t>user5036@email.com</t>
  </si>
  <si>
    <t>2022-01-17</t>
  </si>
  <si>
    <t>CUST-5037</t>
  </si>
  <si>
    <t>user5037@email.com</t>
  </si>
  <si>
    <t>2020-10-22</t>
  </si>
  <si>
    <t>CUST-5038</t>
  </si>
  <si>
    <t>user5038@email.com</t>
  </si>
  <si>
    <t>2022-06-06</t>
  </si>
  <si>
    <t>CUST-5039</t>
  </si>
  <si>
    <t>user5039@email.com</t>
  </si>
  <si>
    <t>2022-06-25</t>
  </si>
  <si>
    <t>CUST-5040</t>
  </si>
  <si>
    <t>user5040@email.com</t>
  </si>
  <si>
    <t>2022-07-17</t>
  </si>
  <si>
    <t>CUST-5041</t>
  </si>
  <si>
    <t>user5041@email.com</t>
  </si>
  <si>
    <t>2021-12-20</t>
  </si>
  <si>
    <t>CUST-5042</t>
  </si>
  <si>
    <t>user5042@email.com</t>
  </si>
  <si>
    <t>2020-01-09</t>
  </si>
  <si>
    <t>CUST-5043</t>
  </si>
  <si>
    <t>user5043@email.com</t>
  </si>
  <si>
    <t>2021-09-22</t>
  </si>
  <si>
    <t>CUST-5044</t>
  </si>
  <si>
    <t>user5044@email.com</t>
  </si>
  <si>
    <t>2021-03-10</t>
  </si>
  <si>
    <t>CUST-5045</t>
  </si>
  <si>
    <t>user5045@email.com</t>
  </si>
  <si>
    <t>2020-09-23</t>
  </si>
  <si>
    <t>CUST-5046</t>
  </si>
  <si>
    <t>user5046@email.com</t>
  </si>
  <si>
    <t>2020-09-24</t>
  </si>
  <si>
    <t>CUST-5047</t>
  </si>
  <si>
    <t>user5047@email.com</t>
  </si>
  <si>
    <t>CUST-5048</t>
  </si>
  <si>
    <t>user5048@email.com</t>
  </si>
  <si>
    <t>2022-12-24</t>
  </si>
  <si>
    <t>CUST-5049</t>
  </si>
  <si>
    <t>user5049@email.com</t>
  </si>
  <si>
    <t>2020-01-14</t>
  </si>
  <si>
    <t>CUST-5050</t>
  </si>
  <si>
    <t>user5050@email.com</t>
  </si>
  <si>
    <t>2023-04-10</t>
  </si>
  <si>
    <t>CUST-5051</t>
  </si>
  <si>
    <t>user5051@email.com</t>
  </si>
  <si>
    <t>2022-08-16</t>
  </si>
  <si>
    <t>CUST-5052</t>
  </si>
  <si>
    <t>user5052@email.com</t>
  </si>
  <si>
    <t>2021-01-12</t>
  </si>
  <si>
    <t>CUST-5053</t>
  </si>
  <si>
    <t>user5053@email.com</t>
  </si>
  <si>
    <t>2022-09-14</t>
  </si>
  <si>
    <t>CUST-5054</t>
  </si>
  <si>
    <t>user5054@email.com</t>
  </si>
  <si>
    <t>2020-10-15</t>
  </si>
  <si>
    <t>CUST-5055</t>
  </si>
  <si>
    <t>user5055@email.com</t>
  </si>
  <si>
    <t>2020-03-23</t>
  </si>
  <si>
    <t>CUST-5056</t>
  </si>
  <si>
    <t>user5056@email.com</t>
  </si>
  <si>
    <t>2022-01-08</t>
  </si>
  <si>
    <t>CUST-5057</t>
  </si>
  <si>
    <t>user5057@email.com</t>
  </si>
  <si>
    <t>2022-03-28</t>
  </si>
  <si>
    <t>CUST-5058</t>
  </si>
  <si>
    <t>user5058@email.com</t>
  </si>
  <si>
    <t>2020-12-07</t>
  </si>
  <si>
    <t>CUST-5059</t>
  </si>
  <si>
    <t>user5059@email.com</t>
  </si>
  <si>
    <t>2020-05-21</t>
  </si>
  <si>
    <t>CUST-5060</t>
  </si>
  <si>
    <t>user5060@email.com</t>
  </si>
  <si>
    <t>2022-11-04</t>
  </si>
  <si>
    <t>CUST-5061</t>
  </si>
  <si>
    <t>user5061@email.com</t>
  </si>
  <si>
    <t>2021-05-20</t>
  </si>
  <si>
    <t>CUST-5062</t>
  </si>
  <si>
    <t>user5062@email.com</t>
  </si>
  <si>
    <t>2021-08-25</t>
  </si>
  <si>
    <t>CUST-5063</t>
  </si>
  <si>
    <t>user5063@email.com</t>
  </si>
  <si>
    <t>2023-12-02</t>
  </si>
  <si>
    <t>CUST-5064</t>
  </si>
  <si>
    <t>user5064@email.com</t>
  </si>
  <si>
    <t>2023-02-20</t>
  </si>
  <si>
    <t>CUST-5065</t>
  </si>
  <si>
    <t>user5065@email.com</t>
  </si>
  <si>
    <t>2021-03-03</t>
  </si>
  <si>
    <t>CUST-5066</t>
  </si>
  <si>
    <t>user5066@email.com</t>
  </si>
  <si>
    <t>2020-07-17</t>
  </si>
  <si>
    <t>CUST-5067</t>
  </si>
  <si>
    <t>user5067@email.com</t>
  </si>
  <si>
    <t>2020-07-12</t>
  </si>
  <si>
    <t>CUST-5068</t>
  </si>
  <si>
    <t>user5068@email.com</t>
  </si>
  <si>
    <t>2020-02-10</t>
  </si>
  <si>
    <t>CUST-5069</t>
  </si>
  <si>
    <t>user5069@email.com</t>
  </si>
  <si>
    <t>2023-07-01</t>
  </si>
  <si>
    <t>CUST-5070</t>
  </si>
  <si>
    <t>user5070@email.com</t>
  </si>
  <si>
    <t>2022-05-12</t>
  </si>
  <si>
    <t>CUST-5071</t>
  </si>
  <si>
    <t>user5071@email.com</t>
  </si>
  <si>
    <t>2020-08-28</t>
  </si>
  <si>
    <t>CUST-5072</t>
  </si>
  <si>
    <t>user5072@email.com</t>
  </si>
  <si>
    <t>2020-12-22</t>
  </si>
  <si>
    <t>CUST-5073</t>
  </si>
  <si>
    <t>user5073@email.com</t>
  </si>
  <si>
    <t>2021-10-02</t>
  </si>
  <si>
    <t>CUST-5074</t>
  </si>
  <si>
    <t>user5074@email.com</t>
  </si>
  <si>
    <t>2023-06-01</t>
  </si>
  <si>
    <t>CUST-5075</t>
  </si>
  <si>
    <t>user5075@email.com</t>
  </si>
  <si>
    <t>2023-09-12</t>
  </si>
  <si>
    <t>CUST-5076</t>
  </si>
  <si>
    <t>user5076@email.com</t>
  </si>
  <si>
    <t>2022-12-14</t>
  </si>
  <si>
    <t>CUST-5077</t>
  </si>
  <si>
    <t>user5077@email.com</t>
  </si>
  <si>
    <t>2023-07-04</t>
  </si>
  <si>
    <t>CUST-5078</t>
  </si>
  <si>
    <t>user5078@email.com</t>
  </si>
  <si>
    <t>2022-04-15</t>
  </si>
  <si>
    <t>CUST-5079</t>
  </si>
  <si>
    <t>user5079@email.com</t>
  </si>
  <si>
    <t>2022-03-06</t>
  </si>
  <si>
    <t>CUST-5080</t>
  </si>
  <si>
    <t>user5080@email.com</t>
  </si>
  <si>
    <t>2023-07-27</t>
  </si>
  <si>
    <t>CUST-5081</t>
  </si>
  <si>
    <t>user5081@email.com</t>
  </si>
  <si>
    <t>2023-03-13</t>
  </si>
  <si>
    <t>CUST-5082</t>
  </si>
  <si>
    <t>user5082@email.com</t>
  </si>
  <si>
    <t>2020-12-13</t>
  </si>
  <si>
    <t>CUST-5083</t>
  </si>
  <si>
    <t>user5083@email.com</t>
  </si>
  <si>
    <t>2023-08-02</t>
  </si>
  <si>
    <t>CUST-5084</t>
  </si>
  <si>
    <t>user5084@email.com</t>
  </si>
  <si>
    <t>CUST-5085</t>
  </si>
  <si>
    <t>user5085@email.com</t>
  </si>
  <si>
    <t>2022-05-05</t>
  </si>
  <si>
    <t>CUST-5086</t>
  </si>
  <si>
    <t>user5086@email.com</t>
  </si>
  <si>
    <t>2022-10-16</t>
  </si>
  <si>
    <t>CUST-5087</t>
  </si>
  <si>
    <t>user5087@email.com</t>
  </si>
  <si>
    <t>2020-11-05</t>
  </si>
  <si>
    <t>CUST-5088</t>
  </si>
  <si>
    <t>user5088@email.com</t>
  </si>
  <si>
    <t>2020-01-03</t>
  </si>
  <si>
    <t>CUST-5089</t>
  </si>
  <si>
    <t>user5089@email.com</t>
  </si>
  <si>
    <t>2021-05-04</t>
  </si>
  <si>
    <t>CUST-5090</t>
  </si>
  <si>
    <t>user5090@email.com</t>
  </si>
  <si>
    <t>2021-03-17</t>
  </si>
  <si>
    <t>CUST-5091</t>
  </si>
  <si>
    <t>user5091@email.com</t>
  </si>
  <si>
    <t>2020-03-20</t>
  </si>
  <si>
    <t>CUST-5092</t>
  </si>
  <si>
    <t>user5092@email.com</t>
  </si>
  <si>
    <t>2020-07-22</t>
  </si>
  <si>
    <t>CUST-5093</t>
  </si>
  <si>
    <t>user5093@email.com</t>
  </si>
  <si>
    <t>2021-11-26</t>
  </si>
  <si>
    <t>CUST-5094</t>
  </si>
  <si>
    <t>user5094@email.com</t>
  </si>
  <si>
    <t>2022-06-02</t>
  </si>
  <si>
    <t>CUST-5095</t>
  </si>
  <si>
    <t>user5095@email.com</t>
  </si>
  <si>
    <t>2020-01-21</t>
  </si>
  <si>
    <t>CUST-5096</t>
  </si>
  <si>
    <t>user5096@email.com</t>
  </si>
  <si>
    <t>CUST-5097</t>
  </si>
  <si>
    <t>user5097@email.com</t>
  </si>
  <si>
    <t>2020-08-07</t>
  </si>
  <si>
    <t>CUST-5098</t>
  </si>
  <si>
    <t>user5098@email.com</t>
  </si>
  <si>
    <t>2021-08-05</t>
  </si>
  <si>
    <t>CUST-5099</t>
  </si>
  <si>
    <t>user5099@email.com</t>
  </si>
  <si>
    <t>2023-09-14</t>
  </si>
  <si>
    <t>CUST-5100</t>
  </si>
  <si>
    <t>user5100@email.com</t>
  </si>
  <si>
    <t>2021-10-15</t>
  </si>
  <si>
    <t>CUST-5101</t>
  </si>
  <si>
    <t>user5101@email.com</t>
  </si>
  <si>
    <t>2022-10-17</t>
  </si>
  <si>
    <t>CUST-5102</t>
  </si>
  <si>
    <t>user5102@email.com</t>
  </si>
  <si>
    <t>2021-07-16</t>
  </si>
  <si>
    <t>CUST-5103</t>
  </si>
  <si>
    <t>user5103@email.com</t>
  </si>
  <si>
    <t>2021-01-13</t>
  </si>
  <si>
    <t>CUST-5104</t>
  </si>
  <si>
    <t>user5104@email.com</t>
  </si>
  <si>
    <t>2022-10-27</t>
  </si>
  <si>
    <t>CUST-5105</t>
  </si>
  <si>
    <t>user5105@email.com</t>
  </si>
  <si>
    <t>2022-01-25</t>
  </si>
  <si>
    <t>CUST-5106</t>
  </si>
  <si>
    <t>user5106@email.com</t>
  </si>
  <si>
    <t>2021-08-26</t>
  </si>
  <si>
    <t>CUST-5107</t>
  </si>
  <si>
    <t>user5107@email.com</t>
  </si>
  <si>
    <t>2020-09-02</t>
  </si>
  <si>
    <t>CUST-5108</t>
  </si>
  <si>
    <t>user5108@email.com</t>
  </si>
  <si>
    <t>2021-02-01</t>
  </si>
  <si>
    <t>CUST-5109</t>
  </si>
  <si>
    <t>user5109@email.com</t>
  </si>
  <si>
    <t>2022-12-27</t>
  </si>
  <si>
    <t>CUST-5110</t>
  </si>
  <si>
    <t>user5110@email.com</t>
  </si>
  <si>
    <t>2021-10-19</t>
  </si>
  <si>
    <t>CUST-5111</t>
  </si>
  <si>
    <t>user5111@email.com</t>
  </si>
  <si>
    <t>2020-05-17</t>
  </si>
  <si>
    <t>CUST-5112</t>
  </si>
  <si>
    <t>user5112@email.com</t>
  </si>
  <si>
    <t>2020-12-17</t>
  </si>
  <si>
    <t>CUST-5113</t>
  </si>
  <si>
    <t>user5113@email.com</t>
  </si>
  <si>
    <t>2023-07-15</t>
  </si>
  <si>
    <t>CUST-5114</t>
  </si>
  <si>
    <t>user5114@email.com</t>
  </si>
  <si>
    <t>2023-06-10</t>
  </si>
  <si>
    <t>CUST-5115</t>
  </si>
  <si>
    <t>user5115@email.com</t>
  </si>
  <si>
    <t>2021-03-13</t>
  </si>
  <si>
    <t>CUST-5116</t>
  </si>
  <si>
    <t>user5116@email.com</t>
  </si>
  <si>
    <t>2021-09-20</t>
  </si>
  <si>
    <t>CUST-5117</t>
  </si>
  <si>
    <t>user5117@email.com</t>
  </si>
  <si>
    <t>2022-10-06</t>
  </si>
  <si>
    <t>CUST-5118</t>
  </si>
  <si>
    <t>user5118@email.com</t>
  </si>
  <si>
    <t>2021-12-03</t>
  </si>
  <si>
    <t>CUST-5119</t>
  </si>
  <si>
    <t>user5119@email.com</t>
  </si>
  <si>
    <t>2022-06-20</t>
  </si>
  <si>
    <t>CUST-5120</t>
  </si>
  <si>
    <t>user5120@email.com</t>
  </si>
  <si>
    <t>2020-07-23</t>
  </si>
  <si>
    <t>CUST-5121</t>
  </si>
  <si>
    <t>user5121@email.com</t>
  </si>
  <si>
    <t>2021-04-06</t>
  </si>
  <si>
    <t>CUST-5122</t>
  </si>
  <si>
    <t>user5122@email.com</t>
  </si>
  <si>
    <t>2021-09-26</t>
  </si>
  <si>
    <t>CUST-5123</t>
  </si>
  <si>
    <t>user5123@email.com</t>
  </si>
  <si>
    <t>2020-02-07</t>
  </si>
  <si>
    <t>CUST-5124</t>
  </si>
  <si>
    <t>user5124@email.com</t>
  </si>
  <si>
    <t>2022-07-22</t>
  </si>
  <si>
    <t>CUST-5125</t>
  </si>
  <si>
    <t>user5125@email.com</t>
  </si>
  <si>
    <t>2020-12-02</t>
  </si>
  <si>
    <t>CUST-5126</t>
  </si>
  <si>
    <t>user5126@email.com</t>
  </si>
  <si>
    <t>2023-09-01</t>
  </si>
  <si>
    <t>CUST-5127</t>
  </si>
  <si>
    <t>user5127@email.com</t>
  </si>
  <si>
    <t>2021-05-27</t>
  </si>
  <si>
    <t>CUST-5128</t>
  </si>
  <si>
    <t>user5128@email.com</t>
  </si>
  <si>
    <t>2021-02-17</t>
  </si>
  <si>
    <t>CUST-5129</t>
  </si>
  <si>
    <t>user5129@email.com</t>
  </si>
  <si>
    <t>CUST-5130</t>
  </si>
  <si>
    <t>user5130@email.com</t>
  </si>
  <si>
    <t>2023-06-05</t>
  </si>
  <si>
    <t>CUST-5131</t>
  </si>
  <si>
    <t>user5131@email.com</t>
  </si>
  <si>
    <t>2021-07-14</t>
  </si>
  <si>
    <t>CUST-5132</t>
  </si>
  <si>
    <t>user5132@email.com</t>
  </si>
  <si>
    <t>2023-12-03</t>
  </si>
  <si>
    <t>CUST-5133</t>
  </si>
  <si>
    <t>user5133@email.com</t>
  </si>
  <si>
    <t>2022-06-19</t>
  </si>
  <si>
    <t>CUST-5134</t>
  </si>
  <si>
    <t>user5134@email.com</t>
  </si>
  <si>
    <t>2022-07-12</t>
  </si>
  <si>
    <t>CUST-5135</t>
  </si>
  <si>
    <t>user5135@email.com</t>
  </si>
  <si>
    <t>2023-06-02</t>
  </si>
  <si>
    <t>CUST-5136</t>
  </si>
  <si>
    <t>user5136@email.com</t>
  </si>
  <si>
    <t>2023-07-10</t>
  </si>
  <si>
    <t>CUST-5137</t>
  </si>
  <si>
    <t>user5137@email.com</t>
  </si>
  <si>
    <t>2022-06-04</t>
  </si>
  <si>
    <t>CUST-5138</t>
  </si>
  <si>
    <t>user5138@email.com</t>
  </si>
  <si>
    <t>CUST-5139</t>
  </si>
  <si>
    <t>user5139@email.com</t>
  </si>
  <si>
    <t>CUST-5140</t>
  </si>
  <si>
    <t>user5140@email.com</t>
  </si>
  <si>
    <t>2020-10-02</t>
  </si>
  <si>
    <t>CUST-5141</t>
  </si>
  <si>
    <t>user5141@email.com</t>
  </si>
  <si>
    <t>2021-03-22</t>
  </si>
  <si>
    <t>CUST-5142</t>
  </si>
  <si>
    <t>user5142@email.com</t>
  </si>
  <si>
    <t>2020-09-05</t>
  </si>
  <si>
    <t>CUST-5143</t>
  </si>
  <si>
    <t>user5143@email.com</t>
  </si>
  <si>
    <t>2023-01-17</t>
  </si>
  <si>
    <t>CUST-5144</t>
  </si>
  <si>
    <t>user5144@email.com</t>
  </si>
  <si>
    <t>2023-07-09</t>
  </si>
  <si>
    <t>CUST-5145</t>
  </si>
  <si>
    <t>user5145@email.com</t>
  </si>
  <si>
    <t>2023-03-25</t>
  </si>
  <si>
    <t>CUST-5146</t>
  </si>
  <si>
    <t>user5146@email.com</t>
  </si>
  <si>
    <t>2020-06-17</t>
  </si>
  <si>
    <t>CUST-5147</t>
  </si>
  <si>
    <t>user5147@email.com</t>
  </si>
  <si>
    <t>2022-09-19</t>
  </si>
  <si>
    <t>CUST-5148</t>
  </si>
  <si>
    <t>user5148@email.com</t>
  </si>
  <si>
    <t>2021-09-09</t>
  </si>
  <si>
    <t>CUST-5149</t>
  </si>
  <si>
    <t>user5149@email.com</t>
  </si>
  <si>
    <t>2021-01-16</t>
  </si>
  <si>
    <t>CUST-5150</t>
  </si>
  <si>
    <t>user5150@email.com</t>
  </si>
  <si>
    <t>2020-08-20</t>
  </si>
  <si>
    <t>CUST-5151</t>
  </si>
  <si>
    <t>user5151@email.com</t>
  </si>
  <si>
    <t>2021-01-03</t>
  </si>
  <si>
    <t>CUST-5152</t>
  </si>
  <si>
    <t>user5152@email.com</t>
  </si>
  <si>
    <t>2022-02-17</t>
  </si>
  <si>
    <t>CUST-5153</t>
  </si>
  <si>
    <t>user5153@email.com</t>
  </si>
  <si>
    <t>CUST-5154</t>
  </si>
  <si>
    <t>user5154@email.com</t>
  </si>
  <si>
    <t>CUST-5155</t>
  </si>
  <si>
    <t>user5155@email.com</t>
  </si>
  <si>
    <t>2022-01-23</t>
  </si>
  <si>
    <t>CUST-5156</t>
  </si>
  <si>
    <t>user5156@email.com</t>
  </si>
  <si>
    <t>2022-03-03</t>
  </si>
  <si>
    <t>CUST-5157</t>
  </si>
  <si>
    <t>user5157@email.com</t>
  </si>
  <si>
    <t>2023-05-23</t>
  </si>
  <si>
    <t>CUST-5158</t>
  </si>
  <si>
    <t>user5158@email.com</t>
  </si>
  <si>
    <t>2023-03-06</t>
  </si>
  <si>
    <t>CUST-5159</t>
  </si>
  <si>
    <t>user5159@email.com</t>
  </si>
  <si>
    <t>2023-04-02</t>
  </si>
  <si>
    <t>CUST-5160</t>
  </si>
  <si>
    <t>user5160@email.com</t>
  </si>
  <si>
    <t>CUST-5161</t>
  </si>
  <si>
    <t>user5161@email.com</t>
  </si>
  <si>
    <t>2020-06-22</t>
  </si>
  <si>
    <t>CUST-5162</t>
  </si>
  <si>
    <t>user5162@email.com</t>
  </si>
  <si>
    <t>CUST-5163</t>
  </si>
  <si>
    <t>user5163@email.com</t>
  </si>
  <si>
    <t>2022-07-28</t>
  </si>
  <si>
    <t>CUST-5164</t>
  </si>
  <si>
    <t>user5164@email.com</t>
  </si>
  <si>
    <t>2021-12-16</t>
  </si>
  <si>
    <t>CUST-5165</t>
  </si>
  <si>
    <t>user5165@email.com</t>
  </si>
  <si>
    <t>2022-05-04</t>
  </si>
  <si>
    <t>CUST-5166</t>
  </si>
  <si>
    <t>user5166@email.com</t>
  </si>
  <si>
    <t>2020-06-04</t>
  </si>
  <si>
    <t>CUST-5167</t>
  </si>
  <si>
    <t>user5167@email.com</t>
  </si>
  <si>
    <t>2020-01-13</t>
  </si>
  <si>
    <t>CUST-5168</t>
  </si>
  <si>
    <t>user5168@email.com</t>
  </si>
  <si>
    <t>2020-08-27</t>
  </si>
  <si>
    <t>CUST-5169</t>
  </si>
  <si>
    <t>user5169@email.com</t>
  </si>
  <si>
    <t>2020-02-28</t>
  </si>
  <si>
    <t>CUST-5170</t>
  </si>
  <si>
    <t>user5170@email.com</t>
  </si>
  <si>
    <t>2021-12-19</t>
  </si>
  <si>
    <t>CUST-5171</t>
  </si>
  <si>
    <t>user5171@email.com</t>
  </si>
  <si>
    <t>2021-05-06</t>
  </si>
  <si>
    <t>CUST-5172</t>
  </si>
  <si>
    <t>user5172@email.com</t>
  </si>
  <si>
    <t>2020-08-15</t>
  </si>
  <si>
    <t>CUST-5173</t>
  </si>
  <si>
    <t>user5173@email.com</t>
  </si>
  <si>
    <t>2020-11-21</t>
  </si>
  <si>
    <t>CUST-5174</t>
  </si>
  <si>
    <t>user5174@email.com</t>
  </si>
  <si>
    <t>2023-05-19</t>
  </si>
  <si>
    <t>CUST-5175</t>
  </si>
  <si>
    <t>user5175@email.com</t>
  </si>
  <si>
    <t>2022-11-09</t>
  </si>
  <si>
    <t>CUST-5176</t>
  </si>
  <si>
    <t>user5176@email.com</t>
  </si>
  <si>
    <t>2022-12-22</t>
  </si>
  <si>
    <t>CUST-5177</t>
  </si>
  <si>
    <t>user5177@email.com</t>
  </si>
  <si>
    <t>2021-09-28</t>
  </si>
  <si>
    <t>CUST-5178</t>
  </si>
  <si>
    <t>user5178@email.com</t>
  </si>
  <si>
    <t>2023-01-09</t>
  </si>
  <si>
    <t>CUST-5179</t>
  </si>
  <si>
    <t>user5179@email.com</t>
  </si>
  <si>
    <t>2023-02-01</t>
  </si>
  <si>
    <t>CUST-5180</t>
  </si>
  <si>
    <t>user5180@email.com</t>
  </si>
  <si>
    <t>2021-11-15</t>
  </si>
  <si>
    <t>CUST-5181</t>
  </si>
  <si>
    <t>user5181@email.com</t>
  </si>
  <si>
    <t>2021-04-10</t>
  </si>
  <si>
    <t>CUST-5182</t>
  </si>
  <si>
    <t>user5182@email.com</t>
  </si>
  <si>
    <t>2021-05-01</t>
  </si>
  <si>
    <t>CUST-5183</t>
  </si>
  <si>
    <t>user5183@email.com</t>
  </si>
  <si>
    <t>CUST-5184</t>
  </si>
  <si>
    <t>user5184@email.com</t>
  </si>
  <si>
    <t>CUST-5185</t>
  </si>
  <si>
    <t>user5185@email.com</t>
  </si>
  <si>
    <t>2022-09-10</t>
  </si>
  <si>
    <t>CUST-5186</t>
  </si>
  <si>
    <t>user5186@email.com</t>
  </si>
  <si>
    <t>2023-11-06</t>
  </si>
  <si>
    <t>CUST-5187</t>
  </si>
  <si>
    <t>user5187@email.com</t>
  </si>
  <si>
    <t>2020-12-24</t>
  </si>
  <si>
    <t>CUST-5188</t>
  </si>
  <si>
    <t>user5188@email.com</t>
  </si>
  <si>
    <t>CUST-5189</t>
  </si>
  <si>
    <t>user5189@email.com</t>
  </si>
  <si>
    <t>2021-02-28</t>
  </si>
  <si>
    <t>CUST-5190</t>
  </si>
  <si>
    <t>user5190@email.com</t>
  </si>
  <si>
    <t>2023-03-11</t>
  </si>
  <si>
    <t>CUST-5191</t>
  </si>
  <si>
    <t>user5191@email.com</t>
  </si>
  <si>
    <t>2023-05-20</t>
  </si>
  <si>
    <t>CUST-5192</t>
  </si>
  <si>
    <t>user5192@email.com</t>
  </si>
  <si>
    <t>2023-05-08</t>
  </si>
  <si>
    <t>CUST-5193</t>
  </si>
  <si>
    <t>user5193@email.com</t>
  </si>
  <si>
    <t>2023-10-14</t>
  </si>
  <si>
    <t>CUST-5194</t>
  </si>
  <si>
    <t>user5194@email.com</t>
  </si>
  <si>
    <t>2022-04-11</t>
  </si>
  <si>
    <t>CUST-5195</t>
  </si>
  <si>
    <t>user5195@email.com</t>
  </si>
  <si>
    <t>2021-05-03</t>
  </si>
  <si>
    <t>CUST-5196</t>
  </si>
  <si>
    <t>user5196@email.com</t>
  </si>
  <si>
    <t>2020-08-19</t>
  </si>
  <si>
    <t>CUST-5197</t>
  </si>
  <si>
    <t>user5197@email.com</t>
  </si>
  <si>
    <t>CUST-5198</t>
  </si>
  <si>
    <t>user5198@email.com</t>
  </si>
  <si>
    <t>2020-01-18</t>
  </si>
  <si>
    <t>CUST-5199</t>
  </si>
  <si>
    <t>user5199@email.com</t>
  </si>
  <si>
    <t>2022-10-08</t>
  </si>
  <si>
    <t>CUST-5200</t>
  </si>
  <si>
    <t>user5200@email.com</t>
  </si>
  <si>
    <t>order_id</t>
  </si>
  <si>
    <t>order_date</t>
  </si>
  <si>
    <t>category</t>
  </si>
  <si>
    <t>product_name</t>
  </si>
  <si>
    <t>unit_price</t>
  </si>
  <si>
    <t>quantity</t>
  </si>
  <si>
    <t>discount_pct</t>
  </si>
  <si>
    <t>final_price</t>
  </si>
  <si>
    <t>order_total</t>
  </si>
  <si>
    <t>payment_method</t>
  </si>
  <si>
    <t>order_status</t>
  </si>
  <si>
    <t>rating</t>
  </si>
  <si>
    <t>ORD-20001</t>
  </si>
  <si>
    <t>2024-02-27</t>
  </si>
  <si>
    <t>Books</t>
  </si>
  <si>
    <t>Business Analytics</t>
  </si>
  <si>
    <t>PayPal</t>
  </si>
  <si>
    <t>Delivered</t>
  </si>
  <si>
    <t>ORD-20002</t>
  </si>
  <si>
    <t>2024-03-19</t>
  </si>
  <si>
    <t>Toys</t>
  </si>
  <si>
    <t>Action Figure</t>
  </si>
  <si>
    <t>Wallet</t>
  </si>
  <si>
    <t>ORD-20003</t>
  </si>
  <si>
    <t>2022-01-05</t>
  </si>
  <si>
    <t>Puzzle 1000pcs</t>
  </si>
  <si>
    <t>ORD-20004</t>
  </si>
  <si>
    <t>2022-11-14</t>
  </si>
  <si>
    <t>Home &amp; Kitchen</t>
  </si>
  <si>
    <t>Blender</t>
  </si>
  <si>
    <t>Credit Card</t>
  </si>
  <si>
    <t>ORD-20005</t>
  </si>
  <si>
    <t>2024-07-01</t>
  </si>
  <si>
    <t>Clothing</t>
  </si>
  <si>
    <t>Cotton T-Shirt</t>
  </si>
  <si>
    <t>ORD-20006</t>
  </si>
  <si>
    <t>UPI</t>
  </si>
  <si>
    <t>ORD-20007</t>
  </si>
  <si>
    <t>2023-09-10</t>
  </si>
  <si>
    <t>ORD-20008</t>
  </si>
  <si>
    <t>2022-08-20</t>
  </si>
  <si>
    <t>Sports</t>
  </si>
  <si>
    <t>Resistance Bands</t>
  </si>
  <si>
    <t>Debit Card</t>
  </si>
  <si>
    <t>ORD-20009</t>
  </si>
  <si>
    <t>Electronics</t>
  </si>
  <si>
    <t>Bluetooth Speaker</t>
  </si>
  <si>
    <t>ORD-20010</t>
  </si>
  <si>
    <t>2023-07-16</t>
  </si>
  <si>
    <t>Yoga Mat</t>
  </si>
  <si>
    <t>ORD-20011</t>
  </si>
  <si>
    <t>2023-07-26</t>
  </si>
  <si>
    <t>ORD-20012</t>
  </si>
  <si>
    <t>2023-01-05</t>
  </si>
  <si>
    <t>Cancelled</t>
  </si>
  <si>
    <t>ORD-20013</t>
  </si>
  <si>
    <t>2022-03-01</t>
  </si>
  <si>
    <t>Coffee Maker</t>
  </si>
  <si>
    <t>ORD-20014</t>
  </si>
  <si>
    <t>2022-06-24</t>
  </si>
  <si>
    <t>Air Fryer</t>
  </si>
  <si>
    <t>ORD-20015</t>
  </si>
  <si>
    <t>2022-03-17</t>
  </si>
  <si>
    <t>Smart Watch</t>
  </si>
  <si>
    <t>ORD-20016</t>
  </si>
  <si>
    <t>2022-04-06</t>
  </si>
  <si>
    <t>Wireless Earbuds</t>
  </si>
  <si>
    <t>ORD-20017</t>
  </si>
  <si>
    <t>2023-10-11</t>
  </si>
  <si>
    <t>Water Bottle</t>
  </si>
  <si>
    <t>ORD-20018</t>
  </si>
  <si>
    <t>Beauty</t>
  </si>
  <si>
    <t>Lip Balm Set</t>
  </si>
  <si>
    <t>ORD-20019</t>
  </si>
  <si>
    <t>2024-07-11</t>
  </si>
  <si>
    <t>Non-stick Pan Set</t>
  </si>
  <si>
    <t>ORD-20020</t>
  </si>
  <si>
    <t>2023-01-23</t>
  </si>
  <si>
    <t>ORD-20021</t>
  </si>
  <si>
    <t>2022-03-22</t>
  </si>
  <si>
    <t>ORD-20022</t>
  </si>
  <si>
    <t>2024-09-19</t>
  </si>
  <si>
    <t>Hair Mask</t>
  </si>
  <si>
    <t>ORD-20023</t>
  </si>
  <si>
    <t>2024-03-16</t>
  </si>
  <si>
    <t>Running Shoes</t>
  </si>
  <si>
    <t>ORD-20024</t>
  </si>
  <si>
    <t>2024-11-07</t>
  </si>
  <si>
    <t>Fiction Novel</t>
  </si>
  <si>
    <t>ORD-20025</t>
  </si>
  <si>
    <t>2023-01-20</t>
  </si>
  <si>
    <t>Face Serum</t>
  </si>
  <si>
    <t>ORD-20026</t>
  </si>
  <si>
    <t>2024-03-13</t>
  </si>
  <si>
    <t>ORD-20027</t>
  </si>
  <si>
    <t>2022-02-27</t>
  </si>
  <si>
    <t>Yoga Pants</t>
  </si>
  <si>
    <t>ORD-20028</t>
  </si>
  <si>
    <t>ORD-20029</t>
  </si>
  <si>
    <t>2023-04-12</t>
  </si>
  <si>
    <t>Processing</t>
  </si>
  <si>
    <t>ORD-20030</t>
  </si>
  <si>
    <t>2023-06-16</t>
  </si>
  <si>
    <t>ORD-20031</t>
  </si>
  <si>
    <t>ORD-20032</t>
  </si>
  <si>
    <t>Moisturizer SPF 50</t>
  </si>
  <si>
    <t>ORD-20033</t>
  </si>
  <si>
    <t>2024-10-10</t>
  </si>
  <si>
    <t>ORD-20034</t>
  </si>
  <si>
    <t>2022-09-11</t>
  </si>
  <si>
    <t>Jump Rope</t>
  </si>
  <si>
    <t>ORD-20035</t>
  </si>
  <si>
    <t>2022-11-13</t>
  </si>
  <si>
    <t>ORD-20036</t>
  </si>
  <si>
    <t>2023-10-21</t>
  </si>
  <si>
    <t>ORD-20037</t>
  </si>
  <si>
    <t>2024-10-14</t>
  </si>
  <si>
    <t>ORD-20038</t>
  </si>
  <si>
    <t>2023-01-13</t>
  </si>
  <si>
    <t>ORD-20039</t>
  </si>
  <si>
    <t>2023-03-24</t>
  </si>
  <si>
    <t>ORD-20040</t>
  </si>
  <si>
    <t>2023-08-18</t>
  </si>
  <si>
    <t>LEGO Classic Set</t>
  </si>
  <si>
    <t>ORD-20041</t>
  </si>
  <si>
    <t>2022-03-18</t>
  </si>
  <si>
    <t>ORD-20042</t>
  </si>
  <si>
    <t>2024-07-10</t>
  </si>
  <si>
    <t>ORD-20043</t>
  </si>
  <si>
    <t>2024-01-03</t>
  </si>
  <si>
    <t>Data Science Handbook</t>
  </si>
  <si>
    <t>ORD-20044</t>
  </si>
  <si>
    <t>2022-08-27</t>
  </si>
  <si>
    <t>ORD-20045</t>
  </si>
  <si>
    <t>2022-06-23</t>
  </si>
  <si>
    <t>ORD-20046</t>
  </si>
  <si>
    <t>2024-08-26</t>
  </si>
  <si>
    <t>ORD-20047</t>
  </si>
  <si>
    <t>2022-08-19</t>
  </si>
  <si>
    <t>ORD-20048</t>
  </si>
  <si>
    <t>2023-03-18</t>
  </si>
  <si>
    <t>ORD-20049</t>
  </si>
  <si>
    <t>2022-06-11</t>
  </si>
  <si>
    <t>ORD-20050</t>
  </si>
  <si>
    <t>ORD-20051</t>
  </si>
  <si>
    <t>2023-05-24</t>
  </si>
  <si>
    <t>Returned</t>
  </si>
  <si>
    <t>ORD-20052</t>
  </si>
  <si>
    <t>2023-07-24</t>
  </si>
  <si>
    <t>Shipped</t>
  </si>
  <si>
    <t>ORD-20053</t>
  </si>
  <si>
    <t>2024-04-07</t>
  </si>
  <si>
    <t>ORD-20054</t>
  </si>
  <si>
    <t>2022-03-19</t>
  </si>
  <si>
    <t>ORD-20055</t>
  </si>
  <si>
    <t>2024-04-05</t>
  </si>
  <si>
    <t>ORD-20056</t>
  </si>
  <si>
    <t>2023-12-12</t>
  </si>
  <si>
    <t>ORD-20057</t>
  </si>
  <si>
    <t>2022-12-08</t>
  </si>
  <si>
    <t>ORD-20058</t>
  </si>
  <si>
    <t>2023-06-23</t>
  </si>
  <si>
    <t>ORD-20059</t>
  </si>
  <si>
    <t>2022-02-15</t>
  </si>
  <si>
    <t>Denim Jacket</t>
  </si>
  <si>
    <t>ORD-20060</t>
  </si>
  <si>
    <t>2022-04-19</t>
  </si>
  <si>
    <t>ORD-20061</t>
  </si>
  <si>
    <t>2024-11-10</t>
  </si>
  <si>
    <t>ORD-20062</t>
  </si>
  <si>
    <t>2023-07-11</t>
  </si>
  <si>
    <t>ORD-20063</t>
  </si>
  <si>
    <t>2022-02-18</t>
  </si>
  <si>
    <t>ORD-20064</t>
  </si>
  <si>
    <t>2024-04-12</t>
  </si>
  <si>
    <t>ORD-20065</t>
  </si>
  <si>
    <t>USB-C Hub</t>
  </si>
  <si>
    <t>ORD-20066</t>
  </si>
  <si>
    <t>2023-08-06</t>
  </si>
  <si>
    <t>ORD-20067</t>
  </si>
  <si>
    <t>2022-03-09</t>
  </si>
  <si>
    <t>Remote Control Car</t>
  </si>
  <si>
    <t>ORD-20068</t>
  </si>
  <si>
    <t>ORD-20069</t>
  </si>
  <si>
    <t>ORD-20070</t>
  </si>
  <si>
    <t>2024-05-01</t>
  </si>
  <si>
    <t>ORD-20071</t>
  </si>
  <si>
    <t>2022-12-06</t>
  </si>
  <si>
    <t>Python for Beginners</t>
  </si>
  <si>
    <t>ORD-20072</t>
  </si>
  <si>
    <t>ORD-20073</t>
  </si>
  <si>
    <t>2022-05-25</t>
  </si>
  <si>
    <t>ORD-20074</t>
  </si>
  <si>
    <t>2023-03-20</t>
  </si>
  <si>
    <t>ORD-20075</t>
  </si>
  <si>
    <t>2023-04-04</t>
  </si>
  <si>
    <t>ORD-20076</t>
  </si>
  <si>
    <t>2024-01-20</t>
  </si>
  <si>
    <t>ORD-20077</t>
  </si>
  <si>
    <t>2023-06-22</t>
  </si>
  <si>
    <t>ORD-20078</t>
  </si>
  <si>
    <t>2022-02-13</t>
  </si>
  <si>
    <t>ORD-20079</t>
  </si>
  <si>
    <t>ORD-20080</t>
  </si>
  <si>
    <t>2023-06-27</t>
  </si>
  <si>
    <t>ORD-20081</t>
  </si>
  <si>
    <t>2022-04-13</t>
  </si>
  <si>
    <t>ORD-20082</t>
  </si>
  <si>
    <t>2024-11-17</t>
  </si>
  <si>
    <t>ORD-20083</t>
  </si>
  <si>
    <t>ORD-20084</t>
  </si>
  <si>
    <t>2024-07-18</t>
  </si>
  <si>
    <t>ORD-20085</t>
  </si>
  <si>
    <t>2022-12-19</t>
  </si>
  <si>
    <t>ORD-20086</t>
  </si>
  <si>
    <t>2024-05-12</t>
  </si>
  <si>
    <t>ORD-20087</t>
  </si>
  <si>
    <t>2022-05-19</t>
  </si>
  <si>
    <t>ORD-20088</t>
  </si>
  <si>
    <t>2024-10-13</t>
  </si>
  <si>
    <t>ORD-20089</t>
  </si>
  <si>
    <t>2022-10-01</t>
  </si>
  <si>
    <t>ORD-20090</t>
  </si>
  <si>
    <t>2023-05-17</t>
  </si>
  <si>
    <t>ORD-20091</t>
  </si>
  <si>
    <t>2023-01-16</t>
  </si>
  <si>
    <t>ORD-20092</t>
  </si>
  <si>
    <t>2023-05-15</t>
  </si>
  <si>
    <t>ORD-20093</t>
  </si>
  <si>
    <t>2024-09-18</t>
  </si>
  <si>
    <t>ORD-20094</t>
  </si>
  <si>
    <t>2024-12-09</t>
  </si>
  <si>
    <t>ORD-20095</t>
  </si>
  <si>
    <t>2023-09-20</t>
  </si>
  <si>
    <t>ORD-20096</t>
  </si>
  <si>
    <t>2022-07-14</t>
  </si>
  <si>
    <t>ORD-20097</t>
  </si>
  <si>
    <t>2023-07-21</t>
  </si>
  <si>
    <t>ORD-20098</t>
  </si>
  <si>
    <t>2022-11-28</t>
  </si>
  <si>
    <t>ORD-20099</t>
  </si>
  <si>
    <t>2024-08-13</t>
  </si>
  <si>
    <t>ORD-20100</t>
  </si>
  <si>
    <t>ORD-20101</t>
  </si>
  <si>
    <t>2022-08-06</t>
  </si>
  <si>
    <t>ORD-20102</t>
  </si>
  <si>
    <t>2023-09-28</t>
  </si>
  <si>
    <t>ORD-20103</t>
  </si>
  <si>
    <t>2022-01-16</t>
  </si>
  <si>
    <t>ORD-20104</t>
  </si>
  <si>
    <t>2024-02-11</t>
  </si>
  <si>
    <t>ORD-20105</t>
  </si>
  <si>
    <t>2024-02-05</t>
  </si>
  <si>
    <t>ORD-20106</t>
  </si>
  <si>
    <t>ORD-20107</t>
  </si>
  <si>
    <t>2022-12-26</t>
  </si>
  <si>
    <t>ORD-20108</t>
  </si>
  <si>
    <t>2022-07-01</t>
  </si>
  <si>
    <t>ORD-20109</t>
  </si>
  <si>
    <t>ORD-20110</t>
  </si>
  <si>
    <t>2023-09-19</t>
  </si>
  <si>
    <t>ORD-20111</t>
  </si>
  <si>
    <t>2024-04-14</t>
  </si>
  <si>
    <t>ORD-20112</t>
  </si>
  <si>
    <t>2024-05-10</t>
  </si>
  <si>
    <t>ORD-20113</t>
  </si>
  <si>
    <t>2023-07-22</t>
  </si>
  <si>
    <t>ORD-20114</t>
  </si>
  <si>
    <t>2022-08-02</t>
  </si>
  <si>
    <t>ORD-20115</t>
  </si>
  <si>
    <t>2023-12-27</t>
  </si>
  <si>
    <t>ORD-20116</t>
  </si>
  <si>
    <t>2024-05-24</t>
  </si>
  <si>
    <t>ORD-20117</t>
  </si>
  <si>
    <t>2024-05-09</t>
  </si>
  <si>
    <t>ORD-20118</t>
  </si>
  <si>
    <t>2024-01-08</t>
  </si>
  <si>
    <t>ORD-20119</t>
  </si>
  <si>
    <t>2024-11-13</t>
  </si>
  <si>
    <t>ORD-20120</t>
  </si>
  <si>
    <t>ORD-20121</t>
  </si>
  <si>
    <t>2023-02-23</t>
  </si>
  <si>
    <t>ORD-20122</t>
  </si>
  <si>
    <t>ORD-20123</t>
  </si>
  <si>
    <t>2022-09-23</t>
  </si>
  <si>
    <t>ORD-20124</t>
  </si>
  <si>
    <t>2024-06-21</t>
  </si>
  <si>
    <t>ORD-20125</t>
  </si>
  <si>
    <t>2024-05-27</t>
  </si>
  <si>
    <t>ORD-20126</t>
  </si>
  <si>
    <t>ORD-20127</t>
  </si>
  <si>
    <t>2023-03-23</t>
  </si>
  <si>
    <t>ORD-20128</t>
  </si>
  <si>
    <t>ORD-20129</t>
  </si>
  <si>
    <t>2022-07-27</t>
  </si>
  <si>
    <t>ORD-20130</t>
  </si>
  <si>
    <t>2024-12-23</t>
  </si>
  <si>
    <t>ORD-20131</t>
  </si>
  <si>
    <t>2022-06-10</t>
  </si>
  <si>
    <t>ORD-20132</t>
  </si>
  <si>
    <t>2023-04-26</t>
  </si>
  <si>
    <t>ORD-20133</t>
  </si>
  <si>
    <t>2023-04-03</t>
  </si>
  <si>
    <t>ORD-20134</t>
  </si>
  <si>
    <t>2022-02-19</t>
  </si>
  <si>
    <t>ORD-20135</t>
  </si>
  <si>
    <t>2024-01-07</t>
  </si>
  <si>
    <t>ORD-20136</t>
  </si>
  <si>
    <t>ORD-20137</t>
  </si>
  <si>
    <t>2024-05-04</t>
  </si>
  <si>
    <t>ORD-20138</t>
  </si>
  <si>
    <t>2024-08-12</t>
  </si>
  <si>
    <t>ORD-20139</t>
  </si>
  <si>
    <t>2023-10-22</t>
  </si>
  <si>
    <t>ORD-20140</t>
  </si>
  <si>
    <t>ORD-20141</t>
  </si>
  <si>
    <t>2023-12-14</t>
  </si>
  <si>
    <t>ORD-20142</t>
  </si>
  <si>
    <t>ORD-20143</t>
  </si>
  <si>
    <t>2022-08-09</t>
  </si>
  <si>
    <t>ORD-20144</t>
  </si>
  <si>
    <t>2022-05-10</t>
  </si>
  <si>
    <t>ORD-20145</t>
  </si>
  <si>
    <t>2024-10-12</t>
  </si>
  <si>
    <t>ORD-20146</t>
  </si>
  <si>
    <t>2022-02-07</t>
  </si>
  <si>
    <t>ORD-20147</t>
  </si>
  <si>
    <t>2024-05-14</t>
  </si>
  <si>
    <t>ORD-20148</t>
  </si>
  <si>
    <t>2022-02-01</t>
  </si>
  <si>
    <t>ORD-20149</t>
  </si>
  <si>
    <t>ORD-20150</t>
  </si>
  <si>
    <t>2022-04-24</t>
  </si>
  <si>
    <t>ORD-20151</t>
  </si>
  <si>
    <t>2023-09-27</t>
  </si>
  <si>
    <t>ORD-20152</t>
  </si>
  <si>
    <t>2023-05-03</t>
  </si>
  <si>
    <t>ORD-20153</t>
  </si>
  <si>
    <t>2023-09-07</t>
  </si>
  <si>
    <t>ORD-20154</t>
  </si>
  <si>
    <t>2024-05-06</t>
  </si>
  <si>
    <t>ORD-20155</t>
  </si>
  <si>
    <t>2022-09-07</t>
  </si>
  <si>
    <t>ORD-20156</t>
  </si>
  <si>
    <t>2024-08-19</t>
  </si>
  <si>
    <t>ORD-20157</t>
  </si>
  <si>
    <t>2023-09-13</t>
  </si>
  <si>
    <t>ORD-20158</t>
  </si>
  <si>
    <t>2024-12-18</t>
  </si>
  <si>
    <t>ORD-20159</t>
  </si>
  <si>
    <t>2023-07-14</t>
  </si>
  <si>
    <t>ORD-20160</t>
  </si>
  <si>
    <t>2022-12-07</t>
  </si>
  <si>
    <t>ORD-20161</t>
  </si>
  <si>
    <t>2023-10-01</t>
  </si>
  <si>
    <t>ORD-20162</t>
  </si>
  <si>
    <t>2024-08-05</t>
  </si>
  <si>
    <t>ORD-20163</t>
  </si>
  <si>
    <t>2023-02-07</t>
  </si>
  <si>
    <t>ORD-20164</t>
  </si>
  <si>
    <t>ORD-20165</t>
  </si>
  <si>
    <t>2022-04-07</t>
  </si>
  <si>
    <t>ORD-20166</t>
  </si>
  <si>
    <t>ORD-20167</t>
  </si>
  <si>
    <t>2022-02-25</t>
  </si>
  <si>
    <t>ORD-20168</t>
  </si>
  <si>
    <t>2022-07-21</t>
  </si>
  <si>
    <t>ORD-20169</t>
  </si>
  <si>
    <t>2024-06-03</t>
  </si>
  <si>
    <t>ORD-20170</t>
  </si>
  <si>
    <t>2023-03-27</t>
  </si>
  <si>
    <t>ORD-20171</t>
  </si>
  <si>
    <t>2022-05-13</t>
  </si>
  <si>
    <t>ORD-20172</t>
  </si>
  <si>
    <t>2023-09-03</t>
  </si>
  <si>
    <t>ORD-20173</t>
  </si>
  <si>
    <t>2022-03-16</t>
  </si>
  <si>
    <t>ORD-20174</t>
  </si>
  <si>
    <t>ORD-20175</t>
  </si>
  <si>
    <t>2024-07-02</t>
  </si>
  <si>
    <t>ORD-20176</t>
  </si>
  <si>
    <t>2022-10-02</t>
  </si>
  <si>
    <t>ORD-20177</t>
  </si>
  <si>
    <t>ORD-20178</t>
  </si>
  <si>
    <t>2022-05-21</t>
  </si>
  <si>
    <t>ORD-20179</t>
  </si>
  <si>
    <t>2022-11-16</t>
  </si>
  <si>
    <t>ORD-20180</t>
  </si>
  <si>
    <t>2022-03-05</t>
  </si>
  <si>
    <t>ORD-20181</t>
  </si>
  <si>
    <t>ORD-20182</t>
  </si>
  <si>
    <t>ORD-20183</t>
  </si>
  <si>
    <t>ORD-20184</t>
  </si>
  <si>
    <t>2022-01-13</t>
  </si>
  <si>
    <t>ORD-20185</t>
  </si>
  <si>
    <t>2023-01-24</t>
  </si>
  <si>
    <t>ORD-20186</t>
  </si>
  <si>
    <t>2024-02-15</t>
  </si>
  <si>
    <t>ORD-20187</t>
  </si>
  <si>
    <t>2023-06-15</t>
  </si>
  <si>
    <t>ORD-20188</t>
  </si>
  <si>
    <t>ORD-20189</t>
  </si>
  <si>
    <t>2023-05-14</t>
  </si>
  <si>
    <t>ORD-20190</t>
  </si>
  <si>
    <t>ORD-20191</t>
  </si>
  <si>
    <t>2022-07-10</t>
  </si>
  <si>
    <t>ORD-20192</t>
  </si>
  <si>
    <t>2022-09-01</t>
  </si>
  <si>
    <t>ORD-20193</t>
  </si>
  <si>
    <t>2022-10-26</t>
  </si>
  <si>
    <t>ORD-20194</t>
  </si>
  <si>
    <t>2023-04-11</t>
  </si>
  <si>
    <t>ORD-20195</t>
  </si>
  <si>
    <t>2024-05-18</t>
  </si>
  <si>
    <t>ORD-20196</t>
  </si>
  <si>
    <t>2024-08-27</t>
  </si>
  <si>
    <t>ORD-20197</t>
  </si>
  <si>
    <t>ORD-20198</t>
  </si>
  <si>
    <t>2022-09-05</t>
  </si>
  <si>
    <t>ORD-20199</t>
  </si>
  <si>
    <t>2023-02-11</t>
  </si>
  <si>
    <t>ORD-20200</t>
  </si>
  <si>
    <t>ORD-20201</t>
  </si>
  <si>
    <t>2024-07-07</t>
  </si>
  <si>
    <t>ORD-20202</t>
  </si>
  <si>
    <t>2022-06-07</t>
  </si>
  <si>
    <t>ORD-20203</t>
  </si>
  <si>
    <t>2024-03-03</t>
  </si>
  <si>
    <t>ORD-20204</t>
  </si>
  <si>
    <t>2022-06-01</t>
  </si>
  <si>
    <t>ORD-20205</t>
  </si>
  <si>
    <t>2023-10-06</t>
  </si>
  <si>
    <t>ORD-20206</t>
  </si>
  <si>
    <t>2023-01-15</t>
  </si>
  <si>
    <t>ORD-20207</t>
  </si>
  <si>
    <t>2023-11-02</t>
  </si>
  <si>
    <t>ORD-20208</t>
  </si>
  <si>
    <t>2024-08-08</t>
  </si>
  <si>
    <t>ORD-20209</t>
  </si>
  <si>
    <t>2022-06-18</t>
  </si>
  <si>
    <t>ORD-20210</t>
  </si>
  <si>
    <t>ORD-20211</t>
  </si>
  <si>
    <t>ORD-20212</t>
  </si>
  <si>
    <t>2024-08-25</t>
  </si>
  <si>
    <t>ORD-20213</t>
  </si>
  <si>
    <t>ORD-20214</t>
  </si>
  <si>
    <t>2023-02-14</t>
  </si>
  <si>
    <t>ORD-20215</t>
  </si>
  <si>
    <t>ORD-20216</t>
  </si>
  <si>
    <t>2023-08-13</t>
  </si>
  <si>
    <t>ORD-20217</t>
  </si>
  <si>
    <t>2022-03-04</t>
  </si>
  <si>
    <t>ORD-20218</t>
  </si>
  <si>
    <t>2024-11-20</t>
  </si>
  <si>
    <t>ORD-20219</t>
  </si>
  <si>
    <t>2023-01-12</t>
  </si>
  <si>
    <t>ORD-20220</t>
  </si>
  <si>
    <t>ORD-20221</t>
  </si>
  <si>
    <t>2022-05-20</t>
  </si>
  <si>
    <t>ORD-20222</t>
  </si>
  <si>
    <t>2023-03-28</t>
  </si>
  <si>
    <t>ORD-20223</t>
  </si>
  <si>
    <t>2024-02-07</t>
  </si>
  <si>
    <t>ORD-20224</t>
  </si>
  <si>
    <t>2024-11-15</t>
  </si>
  <si>
    <t>ORD-20225</t>
  </si>
  <si>
    <t>ORD-20226</t>
  </si>
  <si>
    <t>2022-06-13</t>
  </si>
  <si>
    <t>ORD-20227</t>
  </si>
  <si>
    <t>2024-08-02</t>
  </si>
  <si>
    <t>ORD-20228</t>
  </si>
  <si>
    <t>2023-05-13</t>
  </si>
  <si>
    <t>ORD-20229</t>
  </si>
  <si>
    <t>ORD-20230</t>
  </si>
  <si>
    <t>ORD-20231</t>
  </si>
  <si>
    <t>2022-01-21</t>
  </si>
  <si>
    <t>ORD-20232</t>
  </si>
  <si>
    <t>ORD-20233</t>
  </si>
  <si>
    <t>2022-05-03</t>
  </si>
  <si>
    <t>ORD-20234</t>
  </si>
  <si>
    <t>2023-11-24</t>
  </si>
  <si>
    <t>ORD-20235</t>
  </si>
  <si>
    <t>ORD-20236</t>
  </si>
  <si>
    <t>2022-07-15</t>
  </si>
  <si>
    <t>ORD-20237</t>
  </si>
  <si>
    <t>ORD-20238</t>
  </si>
  <si>
    <t>ORD-20239</t>
  </si>
  <si>
    <t>2023-10-03</t>
  </si>
  <si>
    <t>ORD-20240</t>
  </si>
  <si>
    <t>2024-09-04</t>
  </si>
  <si>
    <t>ORD-20241</t>
  </si>
  <si>
    <t>2023-11-13</t>
  </si>
  <si>
    <t>ORD-20242</t>
  </si>
  <si>
    <t>ORD-20243</t>
  </si>
  <si>
    <t>2024-03-02</t>
  </si>
  <si>
    <t>ORD-20244</t>
  </si>
  <si>
    <t>2022-08-13</t>
  </si>
  <si>
    <t>ORD-20245</t>
  </si>
  <si>
    <t>ORD-20246</t>
  </si>
  <si>
    <t>2024-08-17</t>
  </si>
  <si>
    <t>ORD-20247</t>
  </si>
  <si>
    <t>2023-04-09</t>
  </si>
  <si>
    <t>ORD-20248</t>
  </si>
  <si>
    <t>2022-10-05</t>
  </si>
  <si>
    <t>ORD-20249</t>
  </si>
  <si>
    <t>ORD-20250</t>
  </si>
  <si>
    <t>2022-01-15</t>
  </si>
  <si>
    <t>ORD-20251</t>
  </si>
  <si>
    <t>2022-08-23</t>
  </si>
  <si>
    <t>ORD-20252</t>
  </si>
  <si>
    <t>2023-12-08</t>
  </si>
  <si>
    <t>ORD-20253</t>
  </si>
  <si>
    <t>ORD-20254</t>
  </si>
  <si>
    <t>ORD-20255</t>
  </si>
  <si>
    <t>ORD-20256</t>
  </si>
  <si>
    <t>ORD-20257</t>
  </si>
  <si>
    <t>2023-03-15</t>
  </si>
  <si>
    <t>ORD-20258</t>
  </si>
  <si>
    <t>2023-02-28</t>
  </si>
  <si>
    <t>ORD-20259</t>
  </si>
  <si>
    <t>2022-11-06</t>
  </si>
  <si>
    <t>ORD-20260</t>
  </si>
  <si>
    <t>2022-09-21</t>
  </si>
  <si>
    <t>ORD-20261</t>
  </si>
  <si>
    <t>2023-11-23</t>
  </si>
  <si>
    <t>ORD-20262</t>
  </si>
  <si>
    <t>2024-10-16</t>
  </si>
  <si>
    <t>ORD-20263</t>
  </si>
  <si>
    <t>2023-07-07</t>
  </si>
  <si>
    <t>ORD-20264</t>
  </si>
  <si>
    <t>2022-01-26</t>
  </si>
  <si>
    <t>ORD-20265</t>
  </si>
  <si>
    <t>ORD-20266</t>
  </si>
  <si>
    <t>2024-08-21</t>
  </si>
  <si>
    <t>ORD-20267</t>
  </si>
  <si>
    <t>2023-07-25</t>
  </si>
  <si>
    <t>ORD-20268</t>
  </si>
  <si>
    <t>2024-04-13</t>
  </si>
  <si>
    <t>ORD-20269</t>
  </si>
  <si>
    <t>2023-08-04</t>
  </si>
  <si>
    <t>ORD-20270</t>
  </si>
  <si>
    <t>2023-04-17</t>
  </si>
  <si>
    <t>ORD-20271</t>
  </si>
  <si>
    <t>2024-02-16</t>
  </si>
  <si>
    <t>ORD-20272</t>
  </si>
  <si>
    <t>2024-08-28</t>
  </si>
  <si>
    <t>ORD-20273</t>
  </si>
  <si>
    <t>ORD-20274</t>
  </si>
  <si>
    <t>ORD-20275</t>
  </si>
  <si>
    <t>2024-10-23</t>
  </si>
  <si>
    <t>ORD-20276</t>
  </si>
  <si>
    <t>ORD-20277</t>
  </si>
  <si>
    <t>ORD-20278</t>
  </si>
  <si>
    <t>ORD-20279</t>
  </si>
  <si>
    <t>2024-02-04</t>
  </si>
  <si>
    <t>ORD-20280</t>
  </si>
  <si>
    <t>2023-06-03</t>
  </si>
  <si>
    <t>ORD-20281</t>
  </si>
  <si>
    <t>2023-01-02</t>
  </si>
  <si>
    <t>ORD-20282</t>
  </si>
  <si>
    <t>2024-01-24</t>
  </si>
  <si>
    <t>ORD-20283</t>
  </si>
  <si>
    <t>2022-12-15</t>
  </si>
  <si>
    <t>ORD-20284</t>
  </si>
  <si>
    <t>2023-03-19</t>
  </si>
  <si>
    <t>ORD-20285</t>
  </si>
  <si>
    <t>2022-08-01</t>
  </si>
  <si>
    <t>ORD-20286</t>
  </si>
  <si>
    <t>2024-10-15</t>
  </si>
  <si>
    <t>ORD-20287</t>
  </si>
  <si>
    <t>2022-01-04</t>
  </si>
  <si>
    <t>ORD-20288</t>
  </si>
  <si>
    <t>2022-03-23</t>
  </si>
  <si>
    <t>ORD-20289</t>
  </si>
  <si>
    <t>2024-10-03</t>
  </si>
  <si>
    <t>ORD-20290</t>
  </si>
  <si>
    <t>ORD-20291</t>
  </si>
  <si>
    <t>2022-10-19</t>
  </si>
  <si>
    <t>ORD-20292</t>
  </si>
  <si>
    <t>ORD-20293</t>
  </si>
  <si>
    <t>2024-09-25</t>
  </si>
  <si>
    <t>ORD-20294</t>
  </si>
  <si>
    <t>2024-07-04</t>
  </si>
  <si>
    <t>ORD-20295</t>
  </si>
  <si>
    <t>ORD-20296</t>
  </si>
  <si>
    <t>2024-03-21</t>
  </si>
  <si>
    <t>ORD-20297</t>
  </si>
  <si>
    <t>ORD-20298</t>
  </si>
  <si>
    <t>ORD-20299</t>
  </si>
  <si>
    <t>ORD-20300</t>
  </si>
  <si>
    <t>2022-09-18</t>
  </si>
  <si>
    <t>ORD-20301</t>
  </si>
  <si>
    <t>2023-11-17</t>
  </si>
  <si>
    <t>ORD-20302</t>
  </si>
  <si>
    <t>2024-12-08</t>
  </si>
  <si>
    <t>ORD-20303</t>
  </si>
  <si>
    <t>ORD-20304</t>
  </si>
  <si>
    <t>2022-02-16</t>
  </si>
  <si>
    <t>ORD-20305</t>
  </si>
  <si>
    <t>2022-08-24</t>
  </si>
  <si>
    <t>ORD-20306</t>
  </si>
  <si>
    <t>ORD-20307</t>
  </si>
  <si>
    <t>ORD-20308</t>
  </si>
  <si>
    <t>2024-06-25</t>
  </si>
  <si>
    <t>ORD-20309</t>
  </si>
  <si>
    <t>2024-06-13</t>
  </si>
  <si>
    <t>ORD-20310</t>
  </si>
  <si>
    <t>ORD-20311</t>
  </si>
  <si>
    <t>2023-06-06</t>
  </si>
  <si>
    <t>ORD-20312</t>
  </si>
  <si>
    <t>2024-06-07</t>
  </si>
  <si>
    <t>ORD-20313</t>
  </si>
  <si>
    <t>2023-02-18</t>
  </si>
  <si>
    <t>ORD-20314</t>
  </si>
  <si>
    <t>2022-09-16</t>
  </si>
  <si>
    <t>ORD-20315</t>
  </si>
  <si>
    <t>ORD-20316</t>
  </si>
  <si>
    <t>2023-08-23</t>
  </si>
  <si>
    <t>ORD-20317</t>
  </si>
  <si>
    <t>ORD-20318</t>
  </si>
  <si>
    <t>ORD-20319</t>
  </si>
  <si>
    <t>2024-03-15</t>
  </si>
  <si>
    <t>ORD-20320</t>
  </si>
  <si>
    <t>ORD-20321</t>
  </si>
  <si>
    <t>2022-06-05</t>
  </si>
  <si>
    <t>ORD-20322</t>
  </si>
  <si>
    <t>2022-07-16</t>
  </si>
  <si>
    <t>ORD-20323</t>
  </si>
  <si>
    <t>2023-06-09</t>
  </si>
  <si>
    <t>ORD-20324</t>
  </si>
  <si>
    <t>ORD-20325</t>
  </si>
  <si>
    <t>ORD-20326</t>
  </si>
  <si>
    <t>2022-09-12</t>
  </si>
  <si>
    <t>ORD-20327</t>
  </si>
  <si>
    <t>2022-12-02</t>
  </si>
  <si>
    <t>ORD-20328</t>
  </si>
  <si>
    <t>2023-08-07</t>
  </si>
  <si>
    <t>ORD-20329</t>
  </si>
  <si>
    <t>2024-04-06</t>
  </si>
  <si>
    <t>ORD-20330</t>
  </si>
  <si>
    <t>2022-10-22</t>
  </si>
  <si>
    <t>ORD-20331</t>
  </si>
  <si>
    <t>2024-03-27</t>
  </si>
  <si>
    <t>ORD-20332</t>
  </si>
  <si>
    <t>ORD-20333</t>
  </si>
  <si>
    <t>ORD-20334</t>
  </si>
  <si>
    <t>ORD-20335</t>
  </si>
  <si>
    <t>2023-02-06</t>
  </si>
  <si>
    <t>ORD-20336</t>
  </si>
  <si>
    <t>2024-01-21</t>
  </si>
  <si>
    <t>ORD-20337</t>
  </si>
  <si>
    <t>2023-04-15</t>
  </si>
  <si>
    <t>ORD-20338</t>
  </si>
  <si>
    <t>ORD-20339</t>
  </si>
  <si>
    <t>ORD-20340</t>
  </si>
  <si>
    <t>2023-05-26</t>
  </si>
  <si>
    <t>ORD-20341</t>
  </si>
  <si>
    <t>2024-06-14</t>
  </si>
  <si>
    <t>ORD-20342</t>
  </si>
  <si>
    <t>2024-08-22</t>
  </si>
  <si>
    <t>ORD-20343</t>
  </si>
  <si>
    <t>ORD-20344</t>
  </si>
  <si>
    <t>2023-04-25</t>
  </si>
  <si>
    <t>ORD-20345</t>
  </si>
  <si>
    <t>2024-03-12</t>
  </si>
  <si>
    <t>ORD-20346</t>
  </si>
  <si>
    <t>ORD-20347</t>
  </si>
  <si>
    <t>2024-06-17</t>
  </si>
  <si>
    <t>ORD-20348</t>
  </si>
  <si>
    <t>2024-08-15</t>
  </si>
  <si>
    <t>ORD-20349</t>
  </si>
  <si>
    <t>ORD-20350</t>
  </si>
  <si>
    <t>ORD-20351</t>
  </si>
  <si>
    <t>ORD-20352</t>
  </si>
  <si>
    <t>2023-03-16</t>
  </si>
  <si>
    <t>ORD-20353</t>
  </si>
  <si>
    <t>ORD-20354</t>
  </si>
  <si>
    <t>2023-10-17</t>
  </si>
  <si>
    <t>ORD-20355</t>
  </si>
  <si>
    <t>ORD-20356</t>
  </si>
  <si>
    <t>ORD-20357</t>
  </si>
  <si>
    <t>ORD-20358</t>
  </si>
  <si>
    <t>2023-10-02</t>
  </si>
  <si>
    <t>ORD-20359</t>
  </si>
  <si>
    <t>2024-06-09</t>
  </si>
  <si>
    <t>ORD-20360</t>
  </si>
  <si>
    <t>ORD-20361</t>
  </si>
  <si>
    <t>ORD-20362</t>
  </si>
  <si>
    <t>2022-05-22</t>
  </si>
  <si>
    <t>ORD-20363</t>
  </si>
  <si>
    <t>ORD-20364</t>
  </si>
  <si>
    <t>2022-04-28</t>
  </si>
  <si>
    <t>ORD-20365</t>
  </si>
  <si>
    <t>ORD-20366</t>
  </si>
  <si>
    <t>2022-06-22</t>
  </si>
  <si>
    <t>ORD-20367</t>
  </si>
  <si>
    <t>ORD-20368</t>
  </si>
  <si>
    <t>ORD-20369</t>
  </si>
  <si>
    <t>2023-09-18</t>
  </si>
  <si>
    <t>ORD-20370</t>
  </si>
  <si>
    <t>2022-09-25</t>
  </si>
  <si>
    <t>ORD-20371</t>
  </si>
  <si>
    <t>2022-09-08</t>
  </si>
  <si>
    <t>ORD-20372</t>
  </si>
  <si>
    <t>2022-07-08</t>
  </si>
  <si>
    <t>ORD-20373</t>
  </si>
  <si>
    <t>2024-02-18</t>
  </si>
  <si>
    <t>ORD-20374</t>
  </si>
  <si>
    <t>2024-12-25</t>
  </si>
  <si>
    <t>ORD-20375</t>
  </si>
  <si>
    <t>2023-02-10</t>
  </si>
  <si>
    <t>ORD-20376</t>
  </si>
  <si>
    <t>2024-05-21</t>
  </si>
  <si>
    <t>ORD-20377</t>
  </si>
  <si>
    <t>2024-04-11</t>
  </si>
  <si>
    <t>ORD-20378</t>
  </si>
  <si>
    <t>2022-06-26</t>
  </si>
  <si>
    <t>ORD-20379</t>
  </si>
  <si>
    <t>ORD-20380</t>
  </si>
  <si>
    <t>2024-01-28</t>
  </si>
  <si>
    <t>ORD-20381</t>
  </si>
  <si>
    <t>2023-09-08</t>
  </si>
  <si>
    <t>ORD-20382</t>
  </si>
  <si>
    <t>ORD-20383</t>
  </si>
  <si>
    <t>ORD-20384</t>
  </si>
  <si>
    <t>ORD-20385</t>
  </si>
  <si>
    <t>ORD-20386</t>
  </si>
  <si>
    <t>2023-11-28</t>
  </si>
  <si>
    <t>ORD-20387</t>
  </si>
  <si>
    <t>2024-05-05</t>
  </si>
  <si>
    <t>ORD-20388</t>
  </si>
  <si>
    <t>2022-04-12</t>
  </si>
  <si>
    <t>ORD-20389</t>
  </si>
  <si>
    <t>2024-06-04</t>
  </si>
  <si>
    <t>ORD-20390</t>
  </si>
  <si>
    <t>ORD-20391</t>
  </si>
  <si>
    <t>2024-06-11</t>
  </si>
  <si>
    <t>ORD-20392</t>
  </si>
  <si>
    <t>2022-12-03</t>
  </si>
  <si>
    <t>ORD-20393</t>
  </si>
  <si>
    <t>2024-04-21</t>
  </si>
  <si>
    <t>ORD-20394</t>
  </si>
  <si>
    <t>ORD-20395</t>
  </si>
  <si>
    <t>2024-04-25</t>
  </si>
  <si>
    <t>ORD-20396</t>
  </si>
  <si>
    <t>2024-01-26</t>
  </si>
  <si>
    <t>ORD-20397</t>
  </si>
  <si>
    <t>2023-04-05</t>
  </si>
  <si>
    <t>ORD-20398</t>
  </si>
  <si>
    <t>ORD-20399</t>
  </si>
  <si>
    <t>2023-11-16</t>
  </si>
  <si>
    <t>ORD-20400</t>
  </si>
  <si>
    <t>2024-03-05</t>
  </si>
  <si>
    <t>ORD-20401</t>
  </si>
  <si>
    <t>ORD-20402</t>
  </si>
  <si>
    <t>2022-05-27</t>
  </si>
  <si>
    <t>ORD-20403</t>
  </si>
  <si>
    <t>ORD-20404</t>
  </si>
  <si>
    <t>2022-04-21</t>
  </si>
  <si>
    <t>ORD-20405</t>
  </si>
  <si>
    <t>2022-12-20</t>
  </si>
  <si>
    <t>ORD-20406</t>
  </si>
  <si>
    <t>2022-01-06</t>
  </si>
  <si>
    <t>ORD-20407</t>
  </si>
  <si>
    <t>2024-05-02</t>
  </si>
  <si>
    <t>ORD-20408</t>
  </si>
  <si>
    <t>ORD-20409</t>
  </si>
  <si>
    <t>2024-06-22</t>
  </si>
  <si>
    <t>ORD-20410</t>
  </si>
  <si>
    <t>ORD-20411</t>
  </si>
  <si>
    <t>2023-06-19</t>
  </si>
  <si>
    <t>ORD-20412</t>
  </si>
  <si>
    <t>2024-11-09</t>
  </si>
  <si>
    <t>ORD-20413</t>
  </si>
  <si>
    <t>ORD-20414</t>
  </si>
  <si>
    <t>2024-07-06</t>
  </si>
  <si>
    <t>ORD-20415</t>
  </si>
  <si>
    <t>2024-09-09</t>
  </si>
  <si>
    <t>ORD-20416</t>
  </si>
  <si>
    <t>2023-12-25</t>
  </si>
  <si>
    <t>ORD-20417</t>
  </si>
  <si>
    <t>2022-01-09</t>
  </si>
  <si>
    <t>ORD-20418</t>
  </si>
  <si>
    <t>2022-12-04</t>
  </si>
  <si>
    <t>ORD-20419</t>
  </si>
  <si>
    <t>ORD-20420</t>
  </si>
  <si>
    <t>2023-02-03</t>
  </si>
  <si>
    <t>ORD-20421</t>
  </si>
  <si>
    <t>ORD-20422</t>
  </si>
  <si>
    <t>2024-08-14</t>
  </si>
  <si>
    <t>ORD-20423</t>
  </si>
  <si>
    <t>2022-08-11</t>
  </si>
  <si>
    <t>ORD-20424</t>
  </si>
  <si>
    <t>ORD-20425</t>
  </si>
  <si>
    <t>ORD-20426</t>
  </si>
  <si>
    <t>2022-04-05</t>
  </si>
  <si>
    <t>ORD-20427</t>
  </si>
  <si>
    <t>2024-04-03</t>
  </si>
  <si>
    <t>ORD-20428</t>
  </si>
  <si>
    <t>2023-06-26</t>
  </si>
  <si>
    <t>ORD-20429</t>
  </si>
  <si>
    <t>2024-04-20</t>
  </si>
  <si>
    <t>ORD-20430</t>
  </si>
  <si>
    <t>ORD-20431</t>
  </si>
  <si>
    <t>2022-04-20</t>
  </si>
  <si>
    <t>ORD-20432</t>
  </si>
  <si>
    <t>2024-10-08</t>
  </si>
  <si>
    <t>ORD-20433</t>
  </si>
  <si>
    <t>ORD-20434</t>
  </si>
  <si>
    <t>ORD-20435</t>
  </si>
  <si>
    <t>ORD-20436</t>
  </si>
  <si>
    <t>2022-02-10</t>
  </si>
  <si>
    <t>ORD-20437</t>
  </si>
  <si>
    <t>ORD-20438</t>
  </si>
  <si>
    <t>2024-06-23</t>
  </si>
  <si>
    <t>ORD-20439</t>
  </si>
  <si>
    <t>2022-09-26</t>
  </si>
  <si>
    <t>ORD-20440</t>
  </si>
  <si>
    <t>2022-02-23</t>
  </si>
  <si>
    <t>ORD-20441</t>
  </si>
  <si>
    <t>ORD-20442</t>
  </si>
  <si>
    <t>2023-01-25</t>
  </si>
  <si>
    <t>ORD-20443</t>
  </si>
  <si>
    <t>ORD-20444</t>
  </si>
  <si>
    <t>2022-10-24</t>
  </si>
  <si>
    <t>ORD-20445</t>
  </si>
  <si>
    <t>2022-05-11</t>
  </si>
  <si>
    <t>ORD-20446</t>
  </si>
  <si>
    <t>2022-04-02</t>
  </si>
  <si>
    <t>ORD-20447</t>
  </si>
  <si>
    <t>ORD-20448</t>
  </si>
  <si>
    <t>2024-01-12</t>
  </si>
  <si>
    <t>ORD-20449</t>
  </si>
  <si>
    <t>2023-09-02</t>
  </si>
  <si>
    <t>ORD-20450</t>
  </si>
  <si>
    <t>ORD-20451</t>
  </si>
  <si>
    <t>2023-02-12</t>
  </si>
  <si>
    <t>ORD-20452</t>
  </si>
  <si>
    <t>ORD-20453</t>
  </si>
  <si>
    <t>ORD-20454</t>
  </si>
  <si>
    <t>2022-06-27</t>
  </si>
  <si>
    <t>ORD-20455</t>
  </si>
  <si>
    <t>ORD-20456</t>
  </si>
  <si>
    <t>2022-10-25</t>
  </si>
  <si>
    <t>ORD-20457</t>
  </si>
  <si>
    <t>2023-05-12</t>
  </si>
  <si>
    <t>ORD-20458</t>
  </si>
  <si>
    <t>ORD-20459</t>
  </si>
  <si>
    <t>ORD-20460</t>
  </si>
  <si>
    <t>2024-09-21</t>
  </si>
  <si>
    <t>ORD-20461</t>
  </si>
  <si>
    <t>ORD-20462</t>
  </si>
  <si>
    <t>ORD-20463</t>
  </si>
  <si>
    <t>2023-08-16</t>
  </si>
  <si>
    <t>ORD-20464</t>
  </si>
  <si>
    <t>2023-01-06</t>
  </si>
  <si>
    <t>ORD-20465</t>
  </si>
  <si>
    <t>2022-02-28</t>
  </si>
  <si>
    <t>ORD-20466</t>
  </si>
  <si>
    <t>2023-11-07</t>
  </si>
  <si>
    <t>ORD-20467</t>
  </si>
  <si>
    <t>ORD-20468</t>
  </si>
  <si>
    <t>ORD-20469</t>
  </si>
  <si>
    <t>ORD-20470</t>
  </si>
  <si>
    <t>2023-08-17</t>
  </si>
  <si>
    <t>ORD-20471</t>
  </si>
  <si>
    <t>ORD-20472</t>
  </si>
  <si>
    <t>2024-07-28</t>
  </si>
  <si>
    <t>ORD-20473</t>
  </si>
  <si>
    <t>2023-11-09</t>
  </si>
  <si>
    <t>ORD-20474</t>
  </si>
  <si>
    <t>2024-01-18</t>
  </si>
  <si>
    <t>ORD-20475</t>
  </si>
  <si>
    <t>ORD-20476</t>
  </si>
  <si>
    <t>ORD-20477</t>
  </si>
  <si>
    <t>ORD-20478</t>
  </si>
  <si>
    <t>ORD-20479</t>
  </si>
  <si>
    <t>ORD-20480</t>
  </si>
  <si>
    <t>ORD-20481</t>
  </si>
  <si>
    <t>2023-11-21</t>
  </si>
  <si>
    <t>ORD-20482</t>
  </si>
  <si>
    <t>2022-02-04</t>
  </si>
  <si>
    <t>ORD-20483</t>
  </si>
  <si>
    <t>ORD-20484</t>
  </si>
  <si>
    <t>2023-10-12</t>
  </si>
  <si>
    <t>ORD-20485</t>
  </si>
  <si>
    <t>2022-11-25</t>
  </si>
  <si>
    <t>ORD-20486</t>
  </si>
  <si>
    <t>2023-09-11</t>
  </si>
  <si>
    <t>ORD-20487</t>
  </si>
  <si>
    <t>2023-03-17</t>
  </si>
  <si>
    <t>ORD-20488</t>
  </si>
  <si>
    <t>2023-09-04</t>
  </si>
  <si>
    <t>ORD-20489</t>
  </si>
  <si>
    <t>2024-02-24</t>
  </si>
  <si>
    <t>ORD-20490</t>
  </si>
  <si>
    <t>ORD-20491</t>
  </si>
  <si>
    <t>2023-08-01</t>
  </si>
  <si>
    <t>ORD-20492</t>
  </si>
  <si>
    <t>ORD-20493</t>
  </si>
  <si>
    <t>2023-10-09</t>
  </si>
  <si>
    <t>ORD-20494</t>
  </si>
  <si>
    <t>ORD-20495</t>
  </si>
  <si>
    <t>2023-03-02</t>
  </si>
  <si>
    <t>ORD-20496</t>
  </si>
  <si>
    <t>2023-04-07</t>
  </si>
  <si>
    <t>ORD-20497</t>
  </si>
  <si>
    <t>2024-10-07</t>
  </si>
  <si>
    <t>ORD-20498</t>
  </si>
  <si>
    <t>ORD-20499</t>
  </si>
  <si>
    <t>2024-07-24</t>
  </si>
  <si>
    <t>ORD-20500</t>
  </si>
  <si>
    <t>ORD-20501</t>
  </si>
  <si>
    <t>2024-10-01</t>
  </si>
  <si>
    <t>ORD-20502</t>
  </si>
  <si>
    <t>ORD-20503</t>
  </si>
  <si>
    <t>ORD-20504</t>
  </si>
  <si>
    <t>2022-03-10</t>
  </si>
  <si>
    <t>ORD-20505</t>
  </si>
  <si>
    <t>2022-11-01</t>
  </si>
  <si>
    <t>ORD-20506</t>
  </si>
  <si>
    <t>2023-03-04</t>
  </si>
  <si>
    <t>ORD-20507</t>
  </si>
  <si>
    <t>2023-10-19</t>
  </si>
  <si>
    <t>ORD-20508</t>
  </si>
  <si>
    <t>ORD-20509</t>
  </si>
  <si>
    <t>2024-04-27</t>
  </si>
  <si>
    <t>ORD-20510</t>
  </si>
  <si>
    <t>ORD-20511</t>
  </si>
  <si>
    <t>ORD-20512</t>
  </si>
  <si>
    <t>2024-05-19</t>
  </si>
  <si>
    <t>ORD-20513</t>
  </si>
  <si>
    <t>2022-06-15</t>
  </si>
  <si>
    <t>ORD-20514</t>
  </si>
  <si>
    <t>ORD-20515</t>
  </si>
  <si>
    <t>2023-04-18</t>
  </si>
  <si>
    <t>ORD-20516</t>
  </si>
  <si>
    <t>ORD-20517</t>
  </si>
  <si>
    <t>ORD-20518</t>
  </si>
  <si>
    <t>2024-09-06</t>
  </si>
  <si>
    <t>ORD-20519</t>
  </si>
  <si>
    <t>ORD-20520</t>
  </si>
  <si>
    <t>ORD-20521</t>
  </si>
  <si>
    <t>2022-03-21</t>
  </si>
  <si>
    <t>ORD-20522</t>
  </si>
  <si>
    <t>ORD-20523</t>
  </si>
  <si>
    <t>2024-11-06</t>
  </si>
  <si>
    <t>ORD-20524</t>
  </si>
  <si>
    <t>2022-12-10</t>
  </si>
  <si>
    <t>ORD-20525</t>
  </si>
  <si>
    <t>ORD-20526</t>
  </si>
  <si>
    <t>2023-09-22</t>
  </si>
  <si>
    <t>ORD-20527</t>
  </si>
  <si>
    <t>2024-12-27</t>
  </si>
  <si>
    <t>ORD-20528</t>
  </si>
  <si>
    <t>ORD-20529</t>
  </si>
  <si>
    <t>ORD-20530</t>
  </si>
  <si>
    <t>2024-12-11</t>
  </si>
  <si>
    <t>ORD-20531</t>
  </si>
  <si>
    <t>2022-11-23</t>
  </si>
  <si>
    <t>ORD-20532</t>
  </si>
  <si>
    <t>2024-12-06</t>
  </si>
  <si>
    <t>ORD-20533</t>
  </si>
  <si>
    <t>2023-03-09</t>
  </si>
  <si>
    <t>ORD-20534</t>
  </si>
  <si>
    <t>2022-11-03</t>
  </si>
  <si>
    <t>ORD-20535</t>
  </si>
  <si>
    <t>2024-11-21</t>
  </si>
  <si>
    <t>ORD-20536</t>
  </si>
  <si>
    <t>2024-11-11</t>
  </si>
  <si>
    <t>ORD-20537</t>
  </si>
  <si>
    <t>2024-04-22</t>
  </si>
  <si>
    <t>ORD-20538</t>
  </si>
  <si>
    <t>2024-03-10</t>
  </si>
  <si>
    <t>ORD-20539</t>
  </si>
  <si>
    <t>ORD-20540</t>
  </si>
  <si>
    <t>2024-12-03</t>
  </si>
  <si>
    <t>ORD-20541</t>
  </si>
  <si>
    <t>2024-04-08</t>
  </si>
  <si>
    <t>ORD-20542</t>
  </si>
  <si>
    <t>ORD-20543</t>
  </si>
  <si>
    <t>ORD-20544</t>
  </si>
  <si>
    <t>ORD-20545</t>
  </si>
  <si>
    <t>ORD-20546</t>
  </si>
  <si>
    <t>2024-07-12</t>
  </si>
  <si>
    <t>ORD-20547</t>
  </si>
  <si>
    <t>2022-01-18</t>
  </si>
  <si>
    <t>ORD-20548</t>
  </si>
  <si>
    <t>2022-05-08</t>
  </si>
  <si>
    <t>ORD-20549</t>
  </si>
  <si>
    <t>ORD-20550</t>
  </si>
  <si>
    <t>ORD-20551</t>
  </si>
  <si>
    <t>ORD-20552</t>
  </si>
  <si>
    <t>ORD-20553</t>
  </si>
  <si>
    <t>ORD-20554</t>
  </si>
  <si>
    <t>ORD-20555</t>
  </si>
  <si>
    <t>2024-05-03</t>
  </si>
  <si>
    <t>ORD-20556</t>
  </si>
  <si>
    <t>2023-10-15</t>
  </si>
  <si>
    <t>ORD-20557</t>
  </si>
  <si>
    <t>ORD-20558</t>
  </si>
  <si>
    <t>2023-02-05</t>
  </si>
  <si>
    <t>ORD-20559</t>
  </si>
  <si>
    <t>2022-11-20</t>
  </si>
  <si>
    <t>ORD-20560</t>
  </si>
  <si>
    <t>ORD-20561</t>
  </si>
  <si>
    <t>ORD-20562</t>
  </si>
  <si>
    <t>ORD-20563</t>
  </si>
  <si>
    <t>2023-07-08</t>
  </si>
  <si>
    <t>ORD-20564</t>
  </si>
  <si>
    <t>2024-07-05</t>
  </si>
  <si>
    <t>ORD-20565</t>
  </si>
  <si>
    <t>2023-09-23</t>
  </si>
  <si>
    <t>ORD-20566</t>
  </si>
  <si>
    <t>2024-12-21</t>
  </si>
  <si>
    <t>ORD-20567</t>
  </si>
  <si>
    <t>2024-07-20</t>
  </si>
  <si>
    <t>ORD-20568</t>
  </si>
  <si>
    <t>ORD-20569</t>
  </si>
  <si>
    <t>ORD-20570</t>
  </si>
  <si>
    <t>ORD-20571</t>
  </si>
  <si>
    <t>ORD-20572</t>
  </si>
  <si>
    <t>2024-08-10</t>
  </si>
  <si>
    <t>ORD-20573</t>
  </si>
  <si>
    <t>2023-04-21</t>
  </si>
  <si>
    <t>ORD-20574</t>
  </si>
  <si>
    <t>ORD-20575</t>
  </si>
  <si>
    <t>2024-02-19</t>
  </si>
  <si>
    <t>ORD-20576</t>
  </si>
  <si>
    <t>ORD-20577</t>
  </si>
  <si>
    <t>ORD-20578</t>
  </si>
  <si>
    <t>2024-06-06</t>
  </si>
  <si>
    <t>ORD-20579</t>
  </si>
  <si>
    <t>ORD-20580</t>
  </si>
  <si>
    <t>ORD-20581</t>
  </si>
  <si>
    <t>ORD-20582</t>
  </si>
  <si>
    <t>2024-12-05</t>
  </si>
  <si>
    <t>ORD-20583</t>
  </si>
  <si>
    <t>ORD-20584</t>
  </si>
  <si>
    <t>2024-03-28</t>
  </si>
  <si>
    <t>ORD-20585</t>
  </si>
  <si>
    <t>2022-03-14</t>
  </si>
  <si>
    <t>ORD-20586</t>
  </si>
  <si>
    <t>2023-11-14</t>
  </si>
  <si>
    <t>ORD-20587</t>
  </si>
  <si>
    <t>ORD-20588</t>
  </si>
  <si>
    <t>2022-10-18</t>
  </si>
  <si>
    <t>ORD-20589</t>
  </si>
  <si>
    <t>2022-02-21</t>
  </si>
  <si>
    <t>ORD-20590</t>
  </si>
  <si>
    <t>ORD-20591</t>
  </si>
  <si>
    <t>2024-05-07</t>
  </si>
  <si>
    <t>ORD-20592</t>
  </si>
  <si>
    <t>2022-05-24</t>
  </si>
  <si>
    <t>ORD-20593</t>
  </si>
  <si>
    <t>ORD-20594</t>
  </si>
  <si>
    <t>ORD-20595</t>
  </si>
  <si>
    <t>ORD-20596</t>
  </si>
  <si>
    <t>ORD-20597</t>
  </si>
  <si>
    <t>ORD-20598</t>
  </si>
  <si>
    <t>2024-01-14</t>
  </si>
  <si>
    <t>ORD-20599</t>
  </si>
  <si>
    <t>ORD-20600</t>
  </si>
  <si>
    <t>ORD-20601</t>
  </si>
  <si>
    <t>ORD-20602</t>
  </si>
  <si>
    <t>2022-03-25</t>
  </si>
  <si>
    <t>ORD-20603</t>
  </si>
  <si>
    <t>2024-06-19</t>
  </si>
  <si>
    <t>ORD-20604</t>
  </si>
  <si>
    <t>2022-04-18</t>
  </si>
  <si>
    <t>ORD-20605</t>
  </si>
  <si>
    <t>ORD-20606</t>
  </si>
  <si>
    <t>ORD-20607</t>
  </si>
  <si>
    <t>ORD-20608</t>
  </si>
  <si>
    <t>ORD-20609</t>
  </si>
  <si>
    <t>2024-09-01</t>
  </si>
  <si>
    <t>ORD-20610</t>
  </si>
  <si>
    <t>ORD-20611</t>
  </si>
  <si>
    <t>2023-09-15</t>
  </si>
  <si>
    <t>ORD-20612</t>
  </si>
  <si>
    <t>ORD-20613</t>
  </si>
  <si>
    <t>2022-03-02</t>
  </si>
  <si>
    <t>ORD-20614</t>
  </si>
  <si>
    <t>ORD-20615</t>
  </si>
  <si>
    <t>ORD-20616</t>
  </si>
  <si>
    <t>2024-09-22</t>
  </si>
  <si>
    <t>ORD-20617</t>
  </si>
  <si>
    <t>2024-10-04</t>
  </si>
  <si>
    <t>ORD-20618</t>
  </si>
  <si>
    <t>ORD-20619</t>
  </si>
  <si>
    <t>ORD-20620</t>
  </si>
  <si>
    <t>ORD-20621</t>
  </si>
  <si>
    <t>ORD-20622</t>
  </si>
  <si>
    <t>2022-10-13</t>
  </si>
  <si>
    <t>ORD-20623</t>
  </si>
  <si>
    <t>ORD-20624</t>
  </si>
  <si>
    <t>ORD-20625</t>
  </si>
  <si>
    <t>ORD-20626</t>
  </si>
  <si>
    <t>2024-09-02</t>
  </si>
  <si>
    <t>ORD-20627</t>
  </si>
  <si>
    <t>2024-11-23</t>
  </si>
  <si>
    <t>ORD-20628</t>
  </si>
  <si>
    <t>2024-06-28</t>
  </si>
  <si>
    <t>ORD-20629</t>
  </si>
  <si>
    <t>ORD-20630</t>
  </si>
  <si>
    <t>ORD-20631</t>
  </si>
  <si>
    <t>ORD-20632</t>
  </si>
  <si>
    <t>2024-04-02</t>
  </si>
  <si>
    <t>ORD-20633</t>
  </si>
  <si>
    <t>ORD-20634</t>
  </si>
  <si>
    <t>2022-08-18</t>
  </si>
  <si>
    <t>ORD-20635</t>
  </si>
  <si>
    <t>ORD-20636</t>
  </si>
  <si>
    <t>2024-02-14</t>
  </si>
  <si>
    <t>ORD-20637</t>
  </si>
  <si>
    <t>2023-11-03</t>
  </si>
  <si>
    <t>ORD-20638</t>
  </si>
  <si>
    <t>ORD-20639</t>
  </si>
  <si>
    <t>ORD-20640</t>
  </si>
  <si>
    <t>2023-09-26</t>
  </si>
  <si>
    <t>ORD-20641</t>
  </si>
  <si>
    <t>ORD-20642</t>
  </si>
  <si>
    <t>2024-12-19</t>
  </si>
  <si>
    <t>ORD-20643</t>
  </si>
  <si>
    <t>2023-08-08</t>
  </si>
  <si>
    <t>ORD-20644</t>
  </si>
  <si>
    <t>2022-03-08</t>
  </si>
  <si>
    <t>ORD-20645</t>
  </si>
  <si>
    <t>ORD-20646</t>
  </si>
  <si>
    <t>ORD-20647</t>
  </si>
  <si>
    <t>2023-08-26</t>
  </si>
  <si>
    <t>ORD-20648</t>
  </si>
  <si>
    <t>ORD-20649</t>
  </si>
  <si>
    <t>2023-02-04</t>
  </si>
  <si>
    <t>ORD-20650</t>
  </si>
  <si>
    <t>2022-01-24</t>
  </si>
  <si>
    <t>ORD-20651</t>
  </si>
  <si>
    <t>2024-12-12</t>
  </si>
  <si>
    <t>ORD-20652</t>
  </si>
  <si>
    <t>2023-08-03</t>
  </si>
  <si>
    <t>ORD-20653</t>
  </si>
  <si>
    <t>2024-11-01</t>
  </si>
  <si>
    <t>ORD-20654</t>
  </si>
  <si>
    <t>ORD-20655</t>
  </si>
  <si>
    <t>ORD-20656</t>
  </si>
  <si>
    <t>2024-10-05</t>
  </si>
  <si>
    <t>ORD-20657</t>
  </si>
  <si>
    <t>ORD-20658</t>
  </si>
  <si>
    <t>ORD-20659</t>
  </si>
  <si>
    <t>ORD-20660</t>
  </si>
  <si>
    <t>2024-12-20</t>
  </si>
  <si>
    <t>ORD-20661</t>
  </si>
  <si>
    <t>ORD-20662</t>
  </si>
  <si>
    <t>2023-07-23</t>
  </si>
  <si>
    <t>ORD-20663</t>
  </si>
  <si>
    <t>ORD-20664</t>
  </si>
  <si>
    <t>2022-05-23</t>
  </si>
  <si>
    <t>ORD-20665</t>
  </si>
  <si>
    <t>2024-02-23</t>
  </si>
  <si>
    <t>ORD-20666</t>
  </si>
  <si>
    <t>ORD-20667</t>
  </si>
  <si>
    <t>ORD-20668</t>
  </si>
  <si>
    <t>ORD-20669</t>
  </si>
  <si>
    <t>ORD-20670</t>
  </si>
  <si>
    <t>ORD-20671</t>
  </si>
  <si>
    <t>ORD-20672</t>
  </si>
  <si>
    <t>2024-02-22</t>
  </si>
  <si>
    <t>ORD-20673</t>
  </si>
  <si>
    <t>ORD-20674</t>
  </si>
  <si>
    <t>ORD-20675</t>
  </si>
  <si>
    <t>2022-07-05</t>
  </si>
  <si>
    <t>ORD-20676</t>
  </si>
  <si>
    <t>ORD-20677</t>
  </si>
  <si>
    <t>2023-08-15</t>
  </si>
  <si>
    <t>ORD-20678</t>
  </si>
  <si>
    <t>ORD-20679</t>
  </si>
  <si>
    <t>ORD-20680</t>
  </si>
  <si>
    <t>2024-07-22</t>
  </si>
  <si>
    <t>ORD-20681</t>
  </si>
  <si>
    <t>ORD-20682</t>
  </si>
  <si>
    <t>2024-01-02</t>
  </si>
  <si>
    <t>ORD-20683</t>
  </si>
  <si>
    <t>ORD-20684</t>
  </si>
  <si>
    <t>ORD-20685</t>
  </si>
  <si>
    <t>2023-07-02</t>
  </si>
  <si>
    <t>ORD-20686</t>
  </si>
  <si>
    <t>ORD-20687</t>
  </si>
  <si>
    <t>ORD-20688</t>
  </si>
  <si>
    <t>ORD-20689</t>
  </si>
  <si>
    <t>2023-02-16</t>
  </si>
  <si>
    <t>ORD-20690</t>
  </si>
  <si>
    <t>2022-05-06</t>
  </si>
  <si>
    <t>ORD-20691</t>
  </si>
  <si>
    <t>2023-03-26</t>
  </si>
  <si>
    <t>ORD-20692</t>
  </si>
  <si>
    <t>ORD-20693</t>
  </si>
  <si>
    <t>2023-03-12</t>
  </si>
  <si>
    <t>ORD-20694</t>
  </si>
  <si>
    <t>2022-12-12</t>
  </si>
  <si>
    <t>ORD-20695</t>
  </si>
  <si>
    <t>2022-05-26</t>
  </si>
  <si>
    <t>ORD-20696</t>
  </si>
  <si>
    <t>ORD-20697</t>
  </si>
  <si>
    <t>ORD-20698</t>
  </si>
  <si>
    <t>ORD-20699</t>
  </si>
  <si>
    <t>ORD-20700</t>
  </si>
  <si>
    <t>ORD-20701</t>
  </si>
  <si>
    <t>2024-11-04</t>
  </si>
  <si>
    <t>ORD-20702</t>
  </si>
  <si>
    <t>2023-12-04</t>
  </si>
  <si>
    <t>ORD-20703</t>
  </si>
  <si>
    <t>ORD-20704</t>
  </si>
  <si>
    <t>2023-06-25</t>
  </si>
  <si>
    <t>ORD-20705</t>
  </si>
  <si>
    <t>ORD-20706</t>
  </si>
  <si>
    <t>ORD-20707</t>
  </si>
  <si>
    <t>ORD-20708</t>
  </si>
  <si>
    <t>ORD-20709</t>
  </si>
  <si>
    <t>2022-06-09</t>
  </si>
  <si>
    <t>ORD-20710</t>
  </si>
  <si>
    <t>ORD-20711</t>
  </si>
  <si>
    <t>2022-10-28</t>
  </si>
  <si>
    <t>ORD-20712</t>
  </si>
  <si>
    <t>ORD-20713</t>
  </si>
  <si>
    <t>2023-02-15</t>
  </si>
  <si>
    <t>ORD-20714</t>
  </si>
  <si>
    <t>ORD-20715</t>
  </si>
  <si>
    <t>2022-09-27</t>
  </si>
  <si>
    <t>ORD-20716</t>
  </si>
  <si>
    <t>2023-05-21</t>
  </si>
  <si>
    <t>ORD-20717</t>
  </si>
  <si>
    <t>ORD-20718</t>
  </si>
  <si>
    <t>2023-02-09</t>
  </si>
  <si>
    <t>ORD-20719</t>
  </si>
  <si>
    <t>ORD-20720</t>
  </si>
  <si>
    <t>2023-01-01</t>
  </si>
  <si>
    <t>ORD-20721</t>
  </si>
  <si>
    <t>ORD-20722</t>
  </si>
  <si>
    <t>ORD-20723</t>
  </si>
  <si>
    <t>2022-01-11</t>
  </si>
  <si>
    <t>ORD-20724</t>
  </si>
  <si>
    <t>2024-11-02</t>
  </si>
  <si>
    <t>ORD-20725</t>
  </si>
  <si>
    <t>2024-09-07</t>
  </si>
  <si>
    <t>ORD-20726</t>
  </si>
  <si>
    <t>ORD-20727</t>
  </si>
  <si>
    <t>2024-02-20</t>
  </si>
  <si>
    <t>ORD-20728</t>
  </si>
  <si>
    <t>2024-08-24</t>
  </si>
  <si>
    <t>ORD-20729</t>
  </si>
  <si>
    <t>ORD-20730</t>
  </si>
  <si>
    <t>2024-10-25</t>
  </si>
  <si>
    <t>ORD-20731</t>
  </si>
  <si>
    <t>2024-06-16</t>
  </si>
  <si>
    <t>ORD-20732</t>
  </si>
  <si>
    <t>ORD-20733</t>
  </si>
  <si>
    <t>2024-03-08</t>
  </si>
  <si>
    <t>ORD-20734</t>
  </si>
  <si>
    <t>2022-02-03</t>
  </si>
  <si>
    <t>ORD-20735</t>
  </si>
  <si>
    <t>ORD-20736</t>
  </si>
  <si>
    <t>ORD-20737</t>
  </si>
  <si>
    <t>ORD-20738</t>
  </si>
  <si>
    <t>ORD-20739</t>
  </si>
  <si>
    <t>ORD-20740</t>
  </si>
  <si>
    <t>2024-07-13</t>
  </si>
  <si>
    <t>ORD-20741</t>
  </si>
  <si>
    <t>ORD-20742</t>
  </si>
  <si>
    <t>2022-12-18</t>
  </si>
  <si>
    <t>ORD-20743</t>
  </si>
  <si>
    <t>ORD-20744</t>
  </si>
  <si>
    <t>ORD-20745</t>
  </si>
  <si>
    <t>2024-07-21</t>
  </si>
  <si>
    <t>ORD-20746</t>
  </si>
  <si>
    <t>2022-11-18</t>
  </si>
  <si>
    <t>ORD-20747</t>
  </si>
  <si>
    <t>ORD-20748</t>
  </si>
  <si>
    <t>ORD-20749</t>
  </si>
  <si>
    <t>ORD-20750</t>
  </si>
  <si>
    <t>ORD-20751</t>
  </si>
  <si>
    <t>ORD-20752</t>
  </si>
  <si>
    <t>2023-01-04</t>
  </si>
  <si>
    <t>ORD-20753</t>
  </si>
  <si>
    <t>ORD-20754</t>
  </si>
  <si>
    <t>2023-12-11</t>
  </si>
  <si>
    <t>ORD-20755</t>
  </si>
  <si>
    <t>ORD-20756</t>
  </si>
  <si>
    <t>2023-04-14</t>
  </si>
  <si>
    <t>ORD-20757</t>
  </si>
  <si>
    <t>ORD-20758</t>
  </si>
  <si>
    <t>ORD-20759</t>
  </si>
  <si>
    <t>ORD-20760</t>
  </si>
  <si>
    <t>2023-04-28</t>
  </si>
  <si>
    <t>ORD-20761</t>
  </si>
  <si>
    <t>ORD-20762</t>
  </si>
  <si>
    <t>2023-04-22</t>
  </si>
  <si>
    <t>ORD-20763</t>
  </si>
  <si>
    <t>2022-06-17</t>
  </si>
  <si>
    <t>ORD-20764</t>
  </si>
  <si>
    <t>2024-08-09</t>
  </si>
  <si>
    <t>ORD-20765</t>
  </si>
  <si>
    <t>ORD-20766</t>
  </si>
  <si>
    <t>2024-10-18</t>
  </si>
  <si>
    <t>ORD-20767</t>
  </si>
  <si>
    <t>2022-05-02</t>
  </si>
  <si>
    <t>ORD-20768</t>
  </si>
  <si>
    <t>ORD-20769</t>
  </si>
  <si>
    <t>ORD-20770</t>
  </si>
  <si>
    <t>ORD-20771</t>
  </si>
  <si>
    <t>2023-08-05</t>
  </si>
  <si>
    <t>ORD-20772</t>
  </si>
  <si>
    <t>2022-04-09</t>
  </si>
  <si>
    <t>ORD-20773</t>
  </si>
  <si>
    <t>ORD-20774</t>
  </si>
  <si>
    <t>ORD-20775</t>
  </si>
  <si>
    <t>2022-01-07</t>
  </si>
  <si>
    <t>ORD-20776</t>
  </si>
  <si>
    <t>2022-02-09</t>
  </si>
  <si>
    <t>ORD-20777</t>
  </si>
  <si>
    <t>ORD-20778</t>
  </si>
  <si>
    <t>2022-06-16</t>
  </si>
  <si>
    <t>ORD-20779</t>
  </si>
  <si>
    <t>2022-02-24</t>
  </si>
  <si>
    <t>ORD-20780</t>
  </si>
  <si>
    <t>ORD-20781</t>
  </si>
  <si>
    <t>2024-06-26</t>
  </si>
  <si>
    <t>ORD-20782</t>
  </si>
  <si>
    <t>2022-03-20</t>
  </si>
  <si>
    <t>ORD-20783</t>
  </si>
  <si>
    <t>ORD-20784</t>
  </si>
  <si>
    <t>ORD-20785</t>
  </si>
  <si>
    <t>2024-10-24</t>
  </si>
  <si>
    <t>ORD-20786</t>
  </si>
  <si>
    <t>ORD-20787</t>
  </si>
  <si>
    <t>ORD-20788</t>
  </si>
  <si>
    <t>2023-10-13</t>
  </si>
  <si>
    <t>ORD-20789</t>
  </si>
  <si>
    <t>ORD-20790</t>
  </si>
  <si>
    <t>ORD-20791</t>
  </si>
  <si>
    <t>ORD-20792</t>
  </si>
  <si>
    <t>ORD-20793</t>
  </si>
  <si>
    <t>ORD-20794</t>
  </si>
  <si>
    <t>2022-05-16</t>
  </si>
  <si>
    <t>ORD-20795</t>
  </si>
  <si>
    <t>2024-01-10</t>
  </si>
  <si>
    <t>ORD-20796</t>
  </si>
  <si>
    <t>2024-02-06</t>
  </si>
  <si>
    <t>ORD-20797</t>
  </si>
  <si>
    <t>2022-09-09</t>
  </si>
  <si>
    <t>ORD-20798</t>
  </si>
  <si>
    <t>2024-06-15</t>
  </si>
  <si>
    <t>ORD-20799</t>
  </si>
  <si>
    <t>2024-01-19</t>
  </si>
  <si>
    <t>ORD-20800</t>
  </si>
  <si>
    <t>ORD-20801</t>
  </si>
  <si>
    <t>2022-12-23</t>
  </si>
  <si>
    <t>ORD-20802</t>
  </si>
  <si>
    <t>2023-09-16</t>
  </si>
  <si>
    <t>ORD-20803</t>
  </si>
  <si>
    <t>ORD-20804</t>
  </si>
  <si>
    <t>ORD-20805</t>
  </si>
  <si>
    <t>ORD-20806</t>
  </si>
  <si>
    <t>ORD-20807</t>
  </si>
  <si>
    <t>2024-04-15</t>
  </si>
  <si>
    <t>ORD-20808</t>
  </si>
  <si>
    <t>ORD-20809</t>
  </si>
  <si>
    <t>ORD-20810</t>
  </si>
  <si>
    <t>ORD-20811</t>
  </si>
  <si>
    <t>2022-04-03</t>
  </si>
  <si>
    <t>ORD-20812</t>
  </si>
  <si>
    <t>2022-11-17</t>
  </si>
  <si>
    <t>ORD-20813</t>
  </si>
  <si>
    <t>2024-09-13</t>
  </si>
  <si>
    <t>ORD-20814</t>
  </si>
  <si>
    <t>ORD-20815</t>
  </si>
  <si>
    <t>ORD-20816</t>
  </si>
  <si>
    <t>ORD-20817</t>
  </si>
  <si>
    <t>2022-04-01</t>
  </si>
  <si>
    <t>ORD-20818</t>
  </si>
  <si>
    <t>ORD-20819</t>
  </si>
  <si>
    <t>2024-04-16</t>
  </si>
  <si>
    <t>ORD-20820</t>
  </si>
  <si>
    <t>ORD-20821</t>
  </si>
  <si>
    <t>ORD-20822</t>
  </si>
  <si>
    <t>ORD-20823</t>
  </si>
  <si>
    <t>ORD-20824</t>
  </si>
  <si>
    <t>2023-01-19</t>
  </si>
  <si>
    <t>ORD-20825</t>
  </si>
  <si>
    <t>ORD-20826</t>
  </si>
  <si>
    <t>ORD-20827</t>
  </si>
  <si>
    <t>2022-09-15</t>
  </si>
  <si>
    <t>ORD-20828</t>
  </si>
  <si>
    <t>ORD-20829</t>
  </si>
  <si>
    <t>ORD-20830</t>
  </si>
  <si>
    <t>ORD-20831</t>
  </si>
  <si>
    <t>2022-04-25</t>
  </si>
  <si>
    <t>ORD-20832</t>
  </si>
  <si>
    <t>ORD-20833</t>
  </si>
  <si>
    <t>ORD-20834</t>
  </si>
  <si>
    <t>ORD-20835</t>
  </si>
  <si>
    <t>2023-12-10</t>
  </si>
  <si>
    <t>ORD-20836</t>
  </si>
  <si>
    <t>ORD-20837</t>
  </si>
  <si>
    <t>2024-03-24</t>
  </si>
  <si>
    <t>ORD-20838</t>
  </si>
  <si>
    <t>ORD-20839</t>
  </si>
  <si>
    <t>2024-12-26</t>
  </si>
  <si>
    <t>ORD-20840</t>
  </si>
  <si>
    <t>ORD-20841</t>
  </si>
  <si>
    <t>ORD-20842</t>
  </si>
  <si>
    <t>ORD-20843</t>
  </si>
  <si>
    <t>ORD-20844</t>
  </si>
  <si>
    <t>2022-07-20</t>
  </si>
  <si>
    <t>ORD-20845</t>
  </si>
  <si>
    <t>ORD-20846</t>
  </si>
  <si>
    <t>ORD-20847</t>
  </si>
  <si>
    <t>ORD-20848</t>
  </si>
  <si>
    <t>ORD-20849</t>
  </si>
  <si>
    <t>ORD-20850</t>
  </si>
  <si>
    <t>ORD-20851</t>
  </si>
  <si>
    <t>ORD-20852</t>
  </si>
  <si>
    <t>2022-01-19</t>
  </si>
  <si>
    <t>ORD-20853</t>
  </si>
  <si>
    <t>ORD-20854</t>
  </si>
  <si>
    <t>2024-01-17</t>
  </si>
  <si>
    <t>ORD-20855</t>
  </si>
  <si>
    <t>2024-11-28</t>
  </si>
  <si>
    <t>ORD-20856</t>
  </si>
  <si>
    <t>ORD-20857</t>
  </si>
  <si>
    <t>ORD-20858</t>
  </si>
  <si>
    <t>ORD-20859</t>
  </si>
  <si>
    <t>ORD-20860</t>
  </si>
  <si>
    <t>2023-02-27</t>
  </si>
  <si>
    <t>ORD-20861</t>
  </si>
  <si>
    <t>ORD-20862</t>
  </si>
  <si>
    <t>ORD-20863</t>
  </si>
  <si>
    <t>ORD-20864</t>
  </si>
  <si>
    <t>ORD-20865</t>
  </si>
  <si>
    <t>2024-09-12</t>
  </si>
  <si>
    <t>ORD-20866</t>
  </si>
  <si>
    <t>ORD-20867</t>
  </si>
  <si>
    <t>ORD-20868</t>
  </si>
  <si>
    <t>ORD-20869</t>
  </si>
  <si>
    <t>ORD-20870</t>
  </si>
  <si>
    <t>2024-12-13</t>
  </si>
  <si>
    <t>ORD-20871</t>
  </si>
  <si>
    <t>2022-04-17</t>
  </si>
  <si>
    <t>ORD-20872</t>
  </si>
  <si>
    <t>2022-04-14</t>
  </si>
  <si>
    <t>ORD-20873</t>
  </si>
  <si>
    <t>2023-03-07</t>
  </si>
  <si>
    <t>ORD-20874</t>
  </si>
  <si>
    <t>ORD-20875</t>
  </si>
  <si>
    <t>2022-01-01</t>
  </si>
  <si>
    <t>ORD-20876</t>
  </si>
  <si>
    <t>ORD-20877</t>
  </si>
  <si>
    <t>2023-12-23</t>
  </si>
  <si>
    <t>ORD-20878</t>
  </si>
  <si>
    <t>2023-12-17</t>
  </si>
  <si>
    <t>ORD-20879</t>
  </si>
  <si>
    <t>ORD-20880</t>
  </si>
  <si>
    <t>ORD-20881</t>
  </si>
  <si>
    <t>2024-02-28</t>
  </si>
  <si>
    <t>ORD-20882</t>
  </si>
  <si>
    <t>ORD-20883</t>
  </si>
  <si>
    <t>2024-10-21</t>
  </si>
  <si>
    <t>ORD-20884</t>
  </si>
  <si>
    <t>ORD-20885</t>
  </si>
  <si>
    <t>ORD-20886</t>
  </si>
  <si>
    <t>ORD-20887</t>
  </si>
  <si>
    <t>ORD-20888</t>
  </si>
  <si>
    <t>ORD-20889</t>
  </si>
  <si>
    <t>ORD-20890</t>
  </si>
  <si>
    <t>2023-02-24</t>
  </si>
  <si>
    <t>ORD-20891</t>
  </si>
  <si>
    <t>2024-02-02</t>
  </si>
  <si>
    <t>ORD-20892</t>
  </si>
  <si>
    <t>2023-12-01</t>
  </si>
  <si>
    <t>ORD-20893</t>
  </si>
  <si>
    <t>2024-08-16</t>
  </si>
  <si>
    <t>ORD-20894</t>
  </si>
  <si>
    <t>ORD-20895</t>
  </si>
  <si>
    <t>2022-12-09</t>
  </si>
  <si>
    <t>ORD-20896</t>
  </si>
  <si>
    <t>2022-08-28</t>
  </si>
  <si>
    <t>ORD-20897</t>
  </si>
  <si>
    <t>ORD-20898</t>
  </si>
  <si>
    <t>ORD-20899</t>
  </si>
  <si>
    <t>2024-12-22</t>
  </si>
  <si>
    <t>ORD-20900</t>
  </si>
  <si>
    <t>ORD-20901</t>
  </si>
  <si>
    <t>ORD-20902</t>
  </si>
  <si>
    <t>2023-12-05</t>
  </si>
  <si>
    <t>ORD-20903</t>
  </si>
  <si>
    <t>ORD-20904</t>
  </si>
  <si>
    <t>ORD-20905</t>
  </si>
  <si>
    <t>ORD-20906</t>
  </si>
  <si>
    <t>ORD-20907</t>
  </si>
  <si>
    <t>2023-02-22</t>
  </si>
  <si>
    <t>ORD-20908</t>
  </si>
  <si>
    <t>2024-07-23</t>
  </si>
  <si>
    <t>ORD-20909</t>
  </si>
  <si>
    <t>ORD-20910</t>
  </si>
  <si>
    <t>ORD-20911</t>
  </si>
  <si>
    <t>2022-06-12</t>
  </si>
  <si>
    <t>ORD-20912</t>
  </si>
  <si>
    <t>ORD-20913</t>
  </si>
  <si>
    <t>ORD-20914</t>
  </si>
  <si>
    <t>2022-10-14</t>
  </si>
  <si>
    <t>ORD-20915</t>
  </si>
  <si>
    <t>ORD-20916</t>
  </si>
  <si>
    <t>ORD-20917</t>
  </si>
  <si>
    <t>ORD-20918</t>
  </si>
  <si>
    <t>ORD-20919</t>
  </si>
  <si>
    <t>2024-09-05</t>
  </si>
  <si>
    <t>ORD-20920</t>
  </si>
  <si>
    <t>ORD-20921</t>
  </si>
  <si>
    <t>2022-04-27</t>
  </si>
  <si>
    <t>ORD-20922</t>
  </si>
  <si>
    <t>ORD-20923</t>
  </si>
  <si>
    <t>ORD-20924</t>
  </si>
  <si>
    <t>ORD-20925</t>
  </si>
  <si>
    <t>ORD-20926</t>
  </si>
  <si>
    <t>2022-11-10</t>
  </si>
  <si>
    <t>ORD-20927</t>
  </si>
  <si>
    <t>2022-08-08</t>
  </si>
  <si>
    <t>ORD-20928</t>
  </si>
  <si>
    <t>2023-08-27</t>
  </si>
  <si>
    <t>ORD-20929</t>
  </si>
  <si>
    <t>ORD-20930</t>
  </si>
  <si>
    <t>ORD-20931</t>
  </si>
  <si>
    <t>2024-10-19</t>
  </si>
  <si>
    <t>ORD-20932</t>
  </si>
  <si>
    <t>ORD-20933</t>
  </si>
  <si>
    <t>ORD-20934</t>
  </si>
  <si>
    <t>ORD-20935</t>
  </si>
  <si>
    <t>ORD-20936</t>
  </si>
  <si>
    <t>ORD-20937</t>
  </si>
  <si>
    <t>2024-10-26</t>
  </si>
  <si>
    <t>ORD-20938</t>
  </si>
  <si>
    <t>ORD-20939</t>
  </si>
  <si>
    <t>ORD-20940</t>
  </si>
  <si>
    <t>ORD-20941</t>
  </si>
  <si>
    <t>2022-09-06</t>
  </si>
  <si>
    <t>ORD-20942</t>
  </si>
  <si>
    <t>ORD-20943</t>
  </si>
  <si>
    <t>ORD-20944</t>
  </si>
  <si>
    <t>2024-09-03</t>
  </si>
  <si>
    <t>ORD-20945</t>
  </si>
  <si>
    <t>ORD-20946</t>
  </si>
  <si>
    <t>ORD-20947</t>
  </si>
  <si>
    <t>ORD-20948</t>
  </si>
  <si>
    <t>2024-08-04</t>
  </si>
  <si>
    <t>ORD-20949</t>
  </si>
  <si>
    <t>2023-11-15</t>
  </si>
  <si>
    <t>ORD-20950</t>
  </si>
  <si>
    <t>2023-02-25</t>
  </si>
  <si>
    <t>ORD-20951</t>
  </si>
  <si>
    <t>ORD-20952</t>
  </si>
  <si>
    <t>2024-04-26</t>
  </si>
  <si>
    <t>ORD-20953</t>
  </si>
  <si>
    <t>ORD-20954</t>
  </si>
  <si>
    <t>ORD-20955</t>
  </si>
  <si>
    <t>ORD-20956</t>
  </si>
  <si>
    <t>ORD-20957</t>
  </si>
  <si>
    <t>2022-07-03</t>
  </si>
  <si>
    <t>ORD-20958</t>
  </si>
  <si>
    <t>2022-06-14</t>
  </si>
  <si>
    <t>ORD-20959</t>
  </si>
  <si>
    <t>ORD-20960</t>
  </si>
  <si>
    <t>2024-06-27</t>
  </si>
  <si>
    <t>ORD-20961</t>
  </si>
  <si>
    <t>ORD-20962</t>
  </si>
  <si>
    <t>ORD-20963</t>
  </si>
  <si>
    <t>2024-06-24</t>
  </si>
  <si>
    <t>ORD-20964</t>
  </si>
  <si>
    <t>ORD-20965</t>
  </si>
  <si>
    <t>ORD-20966</t>
  </si>
  <si>
    <t>ORD-20967</t>
  </si>
  <si>
    <t>ORD-20968</t>
  </si>
  <si>
    <t>2024-08-20</t>
  </si>
  <si>
    <t>ORD-20969</t>
  </si>
  <si>
    <t>2024-01-09</t>
  </si>
  <si>
    <t>ORD-20970</t>
  </si>
  <si>
    <t>2024-01-22</t>
  </si>
  <si>
    <t>ORD-20971</t>
  </si>
  <si>
    <t>ORD-20972</t>
  </si>
  <si>
    <t>2024-11-24</t>
  </si>
  <si>
    <t>ORD-20973</t>
  </si>
  <si>
    <t>ORD-20974</t>
  </si>
  <si>
    <t>ORD-20975</t>
  </si>
  <si>
    <t>2023-10-05</t>
  </si>
  <si>
    <t>ORD-20976</t>
  </si>
  <si>
    <t>ORD-20977</t>
  </si>
  <si>
    <t>2022-10-21</t>
  </si>
  <si>
    <t>ORD-20978</t>
  </si>
  <si>
    <t>2022-12-21</t>
  </si>
  <si>
    <t>ORD-20979</t>
  </si>
  <si>
    <t>ORD-20980</t>
  </si>
  <si>
    <t>ORD-20981</t>
  </si>
  <si>
    <t>ORD-20982</t>
  </si>
  <si>
    <t>ORD-20983</t>
  </si>
  <si>
    <t>2022-04-22</t>
  </si>
  <si>
    <t>ORD-20984</t>
  </si>
  <si>
    <t>ORD-20985</t>
  </si>
  <si>
    <t>ORD-20986</t>
  </si>
  <si>
    <t>2022-09-13</t>
  </si>
  <si>
    <t>ORD-20987</t>
  </si>
  <si>
    <t>ORD-20988</t>
  </si>
  <si>
    <t>2022-02-06</t>
  </si>
  <si>
    <t>ORD-20989</t>
  </si>
  <si>
    <t>ORD-20990</t>
  </si>
  <si>
    <t>ORD-20991</t>
  </si>
  <si>
    <t>2024-11-22</t>
  </si>
  <si>
    <t>ORD-20992</t>
  </si>
  <si>
    <t>ORD-20993</t>
  </si>
  <si>
    <t>2023-03-22</t>
  </si>
  <si>
    <t>ORD-20994</t>
  </si>
  <si>
    <t>ORD-20995</t>
  </si>
  <si>
    <t>ORD-20996</t>
  </si>
  <si>
    <t>ORD-20997</t>
  </si>
  <si>
    <t>2024-11-08</t>
  </si>
  <si>
    <t>ORD-20998</t>
  </si>
  <si>
    <t>2024-09-26</t>
  </si>
  <si>
    <t>ORD-20999</t>
  </si>
  <si>
    <t>ORD-21000</t>
  </si>
  <si>
    <t>2024-06-05</t>
  </si>
  <si>
    <t>ORD-21001</t>
  </si>
  <si>
    <t>ORD-21002</t>
  </si>
  <si>
    <t>2022-12-01</t>
  </si>
  <si>
    <t>ORD-21003</t>
  </si>
  <si>
    <t>ORD-21004</t>
  </si>
  <si>
    <t>2024-09-15</t>
  </si>
  <si>
    <t>ORD-21005</t>
  </si>
  <si>
    <t>2024-11-16</t>
  </si>
  <si>
    <t>ORD-21006</t>
  </si>
  <si>
    <t>2022-07-19</t>
  </si>
  <si>
    <t>ORD-21007</t>
  </si>
  <si>
    <t>ORD-21008</t>
  </si>
  <si>
    <t>ORD-21009</t>
  </si>
  <si>
    <t>ORD-21010</t>
  </si>
  <si>
    <t>ORD-21011</t>
  </si>
  <si>
    <t>ORD-21012</t>
  </si>
  <si>
    <t>2022-05-07</t>
  </si>
  <si>
    <t>ORD-21013</t>
  </si>
  <si>
    <t>ORD-21014</t>
  </si>
  <si>
    <t>ORD-21015</t>
  </si>
  <si>
    <t>ORD-21016</t>
  </si>
  <si>
    <t>2023-05-27</t>
  </si>
  <si>
    <t>ORD-21017</t>
  </si>
  <si>
    <t>2024-07-26</t>
  </si>
  <si>
    <t>ORD-21018</t>
  </si>
  <si>
    <t>2022-07-07</t>
  </si>
  <si>
    <t>ORD-21019</t>
  </si>
  <si>
    <t>ORD-21020</t>
  </si>
  <si>
    <t>ORD-21021</t>
  </si>
  <si>
    <t>ORD-21022</t>
  </si>
  <si>
    <t>2022-09-20</t>
  </si>
  <si>
    <t>ORD-21023</t>
  </si>
  <si>
    <t>ORD-21024</t>
  </si>
  <si>
    <t>2024-03-14</t>
  </si>
  <si>
    <t>ORD-21025</t>
  </si>
  <si>
    <t>ORD-21026</t>
  </si>
  <si>
    <t>ORD-21027</t>
  </si>
  <si>
    <t>ORD-21028</t>
  </si>
  <si>
    <t>ORD-21029</t>
  </si>
  <si>
    <t>ORD-21030</t>
  </si>
  <si>
    <t>2024-08-11</t>
  </si>
  <si>
    <t>ORD-21031</t>
  </si>
  <si>
    <t>2024-08-01</t>
  </si>
  <si>
    <t>ORD-21032</t>
  </si>
  <si>
    <t>ORD-21033</t>
  </si>
  <si>
    <t>ORD-21034</t>
  </si>
  <si>
    <t>ORD-21035</t>
  </si>
  <si>
    <t>ORD-21036</t>
  </si>
  <si>
    <t>ORD-21037</t>
  </si>
  <si>
    <t>ORD-21038</t>
  </si>
  <si>
    <t>ORD-21039</t>
  </si>
  <si>
    <t>ORD-21040</t>
  </si>
  <si>
    <t>ORD-21041</t>
  </si>
  <si>
    <t>2024-03-18</t>
  </si>
  <si>
    <t>ORD-21042</t>
  </si>
  <si>
    <t>2023-11-27</t>
  </si>
  <si>
    <t>ORD-21043</t>
  </si>
  <si>
    <t>ORD-21044</t>
  </si>
  <si>
    <t>2024-01-13</t>
  </si>
  <si>
    <t>ORD-21045</t>
  </si>
  <si>
    <t>ORD-21046</t>
  </si>
  <si>
    <t>2022-08-03</t>
  </si>
  <si>
    <t>ORD-21047</t>
  </si>
  <si>
    <t>ORD-21048</t>
  </si>
  <si>
    <t>2023-01-21</t>
  </si>
  <si>
    <t>ORD-21049</t>
  </si>
  <si>
    <t>ORD-21050</t>
  </si>
  <si>
    <t>ORD-21051</t>
  </si>
  <si>
    <t>ORD-21052</t>
  </si>
  <si>
    <t>ORD-21053</t>
  </si>
  <si>
    <t>ORD-21054</t>
  </si>
  <si>
    <t>ORD-21055</t>
  </si>
  <si>
    <t>2023-05-07</t>
  </si>
  <si>
    <t>ORD-21056</t>
  </si>
  <si>
    <t>ORD-21057</t>
  </si>
  <si>
    <t>2024-04-24</t>
  </si>
  <si>
    <t>ORD-21058</t>
  </si>
  <si>
    <t>ORD-21059</t>
  </si>
  <si>
    <t>ORD-21060</t>
  </si>
  <si>
    <t>ORD-21061</t>
  </si>
  <si>
    <t>2024-03-01</t>
  </si>
  <si>
    <t>ORD-21062</t>
  </si>
  <si>
    <t>2024-05-13</t>
  </si>
  <si>
    <t>ORD-21063</t>
  </si>
  <si>
    <t>2024-04-19</t>
  </si>
  <si>
    <t>ORD-21064</t>
  </si>
  <si>
    <t>ORD-21065</t>
  </si>
  <si>
    <t>ORD-21066</t>
  </si>
  <si>
    <t>ORD-21067</t>
  </si>
  <si>
    <t>ORD-21068</t>
  </si>
  <si>
    <t>ORD-21069</t>
  </si>
  <si>
    <t>ORD-21070</t>
  </si>
  <si>
    <t>ORD-21071</t>
  </si>
  <si>
    <t>2024-03-06</t>
  </si>
  <si>
    <t>ORD-21072</t>
  </si>
  <si>
    <t>2023-07-19</t>
  </si>
  <si>
    <t>ORD-21073</t>
  </si>
  <si>
    <t>ORD-21074</t>
  </si>
  <si>
    <t>ORD-21075</t>
  </si>
  <si>
    <t>ORD-21076</t>
  </si>
  <si>
    <t>2022-08-25</t>
  </si>
  <si>
    <t>ORD-21077</t>
  </si>
  <si>
    <t>2024-07-09</t>
  </si>
  <si>
    <t>ORD-21078</t>
  </si>
  <si>
    <t>2024-10-20</t>
  </si>
  <si>
    <t>ORD-21079</t>
  </si>
  <si>
    <t>2023-12-07</t>
  </si>
  <si>
    <t>ORD-21080</t>
  </si>
  <si>
    <t>2022-10-03</t>
  </si>
  <si>
    <t>ORD-21081</t>
  </si>
  <si>
    <t>2024-08-23</t>
  </si>
  <si>
    <t>ORD-21082</t>
  </si>
  <si>
    <t>ORD-21083</t>
  </si>
  <si>
    <t>ORD-21084</t>
  </si>
  <si>
    <t>ORD-21085</t>
  </si>
  <si>
    <t>ORD-21086</t>
  </si>
  <si>
    <t>ORD-21087</t>
  </si>
  <si>
    <t>ORD-21088</t>
  </si>
  <si>
    <t>2022-08-12</t>
  </si>
  <si>
    <t>ORD-21089</t>
  </si>
  <si>
    <t>2023-06-24</t>
  </si>
  <si>
    <t>ORD-21090</t>
  </si>
  <si>
    <t>ORD-21091</t>
  </si>
  <si>
    <t>ORD-21092</t>
  </si>
  <si>
    <t>2024-11-03</t>
  </si>
  <si>
    <t>ORD-21093</t>
  </si>
  <si>
    <t>ORD-21094</t>
  </si>
  <si>
    <t>ORD-21095</t>
  </si>
  <si>
    <t>ORD-21096</t>
  </si>
  <si>
    <t>ORD-21097</t>
  </si>
  <si>
    <t>ORD-21098</t>
  </si>
  <si>
    <t>ORD-21099</t>
  </si>
  <si>
    <t>2022-11-24</t>
  </si>
  <si>
    <t>ORD-21100</t>
  </si>
  <si>
    <t>ORD-21101</t>
  </si>
  <si>
    <t>ORD-21102</t>
  </si>
  <si>
    <t>2023-04-01</t>
  </si>
  <si>
    <t>ORD-21103</t>
  </si>
  <si>
    <t>ORD-21104</t>
  </si>
  <si>
    <t>ORD-21105</t>
  </si>
  <si>
    <t>2023-11-12</t>
  </si>
  <si>
    <t>ORD-21106</t>
  </si>
  <si>
    <t>ORD-21107</t>
  </si>
  <si>
    <t>2022-03-26</t>
  </si>
  <si>
    <t>ORD-21108</t>
  </si>
  <si>
    <t>ORD-21109</t>
  </si>
  <si>
    <t>2024-04-18</t>
  </si>
  <si>
    <t>ORD-21110</t>
  </si>
  <si>
    <t>ORD-21111</t>
  </si>
  <si>
    <t>ORD-21112</t>
  </si>
  <si>
    <t>ORD-21113</t>
  </si>
  <si>
    <t>ORD-21114</t>
  </si>
  <si>
    <t>2024-07-16</t>
  </si>
  <si>
    <t>ORD-21115</t>
  </si>
  <si>
    <t>2022-12-05</t>
  </si>
  <si>
    <t>ORD-21116</t>
  </si>
  <si>
    <t>ORD-21117</t>
  </si>
  <si>
    <t>ORD-21118</t>
  </si>
  <si>
    <t>2023-03-01</t>
  </si>
  <si>
    <t>ORD-21119</t>
  </si>
  <si>
    <t>2024-07-25</t>
  </si>
  <si>
    <t>ORD-21120</t>
  </si>
  <si>
    <t>ORD-21121</t>
  </si>
  <si>
    <t>ORD-21122</t>
  </si>
  <si>
    <t>ORD-21123</t>
  </si>
  <si>
    <t>ORD-21124</t>
  </si>
  <si>
    <t>ORD-21125</t>
  </si>
  <si>
    <t>ORD-21126</t>
  </si>
  <si>
    <t>ORD-21127</t>
  </si>
  <si>
    <t>ORD-21128</t>
  </si>
  <si>
    <t>2023-04-27</t>
  </si>
  <si>
    <t>ORD-21129</t>
  </si>
  <si>
    <t>2023-06-28</t>
  </si>
  <si>
    <t>ORD-21130</t>
  </si>
  <si>
    <t>2024-05-23</t>
  </si>
  <si>
    <t>ORD-21131</t>
  </si>
  <si>
    <t>ORD-21132</t>
  </si>
  <si>
    <t>ORD-21133</t>
  </si>
  <si>
    <t>2022-07-26</t>
  </si>
  <si>
    <t>ORD-21134</t>
  </si>
  <si>
    <t>ORD-21135</t>
  </si>
  <si>
    <t>ORD-21136</t>
  </si>
  <si>
    <t>ORD-21137</t>
  </si>
  <si>
    <t>ORD-21138</t>
  </si>
  <si>
    <t>2024-05-20</t>
  </si>
  <si>
    <t>ORD-21139</t>
  </si>
  <si>
    <t>ORD-21140</t>
  </si>
  <si>
    <t>ORD-21141</t>
  </si>
  <si>
    <t>ORD-21142</t>
  </si>
  <si>
    <t>ORD-21143</t>
  </si>
  <si>
    <t>ORD-21144</t>
  </si>
  <si>
    <t>ORD-21145</t>
  </si>
  <si>
    <t>ORD-21146</t>
  </si>
  <si>
    <t>2024-09-17</t>
  </si>
  <si>
    <t>ORD-21147</t>
  </si>
  <si>
    <t>ORD-21148</t>
  </si>
  <si>
    <t>2022-12-11</t>
  </si>
  <si>
    <t>ORD-21149</t>
  </si>
  <si>
    <t>ORD-21150</t>
  </si>
  <si>
    <t>2023-11-26</t>
  </si>
  <si>
    <t>ORD-21151</t>
  </si>
  <si>
    <t>2022-10-23</t>
  </si>
  <si>
    <t>ORD-21152</t>
  </si>
  <si>
    <t>2024-11-05</t>
  </si>
  <si>
    <t>ORD-21153</t>
  </si>
  <si>
    <t>2024-01-15</t>
  </si>
  <si>
    <t>ORD-21154</t>
  </si>
  <si>
    <t>2022-01-03</t>
  </si>
  <si>
    <t>ORD-21155</t>
  </si>
  <si>
    <t>ORD-21156</t>
  </si>
  <si>
    <t>ORD-21157</t>
  </si>
  <si>
    <t>ORD-21158</t>
  </si>
  <si>
    <t>ORD-21159</t>
  </si>
  <si>
    <t>2024-05-08</t>
  </si>
  <si>
    <t>ORD-21160</t>
  </si>
  <si>
    <t>ORD-21161</t>
  </si>
  <si>
    <t>ORD-21162</t>
  </si>
  <si>
    <t>2022-10-11</t>
  </si>
  <si>
    <t>ORD-21163</t>
  </si>
  <si>
    <t>ORD-21164</t>
  </si>
  <si>
    <t>ORD-21165</t>
  </si>
  <si>
    <t>ORD-21166</t>
  </si>
  <si>
    <t>ORD-21167</t>
  </si>
  <si>
    <t>2024-04-04</t>
  </si>
  <si>
    <t>ORD-21168</t>
  </si>
  <si>
    <t>2022-10-20</t>
  </si>
  <si>
    <t>ORD-21169</t>
  </si>
  <si>
    <t>ORD-21170</t>
  </si>
  <si>
    <t>ORD-21171</t>
  </si>
  <si>
    <t>2024-07-19</t>
  </si>
  <si>
    <t>ORD-21172</t>
  </si>
  <si>
    <t>ORD-21173</t>
  </si>
  <si>
    <t>ORD-21174</t>
  </si>
  <si>
    <t>ORD-21175</t>
  </si>
  <si>
    <t>ORD-21176</t>
  </si>
  <si>
    <t>2023-09-05</t>
  </si>
  <si>
    <t>ORD-21177</t>
  </si>
  <si>
    <t>ORD-21178</t>
  </si>
  <si>
    <t>2023-10-16</t>
  </si>
  <si>
    <t>ORD-21179</t>
  </si>
  <si>
    <t>ORD-21180</t>
  </si>
  <si>
    <t>ORD-21181</t>
  </si>
  <si>
    <t>2023-04-20</t>
  </si>
  <si>
    <t>ORD-21182</t>
  </si>
  <si>
    <t>2022-02-20</t>
  </si>
  <si>
    <t>ORD-21183</t>
  </si>
  <si>
    <t>ORD-21184</t>
  </si>
  <si>
    <t>2023-09-06</t>
  </si>
  <si>
    <t>ORD-21185</t>
  </si>
  <si>
    <t>ORD-21186</t>
  </si>
  <si>
    <t>ORD-21187</t>
  </si>
  <si>
    <t>ORD-21188</t>
  </si>
  <si>
    <t>ORD-21189</t>
  </si>
  <si>
    <t>ORD-21190</t>
  </si>
  <si>
    <t>2022-11-08</t>
  </si>
  <si>
    <t>ORD-21191</t>
  </si>
  <si>
    <t>ORD-21192</t>
  </si>
  <si>
    <t>ORD-21193</t>
  </si>
  <si>
    <t>ORD-21194</t>
  </si>
  <si>
    <t>ORD-21195</t>
  </si>
  <si>
    <t>ORD-21196</t>
  </si>
  <si>
    <t>ORD-21197</t>
  </si>
  <si>
    <t>ORD-21198</t>
  </si>
  <si>
    <t>ORD-21199</t>
  </si>
  <si>
    <t>2024-04-28</t>
  </si>
  <si>
    <t>ORD-21200</t>
  </si>
  <si>
    <t>ORD-21201</t>
  </si>
  <si>
    <t>ORD-21202</t>
  </si>
  <si>
    <t>ORD-21203</t>
  </si>
  <si>
    <t>ORD-21204</t>
  </si>
  <si>
    <t>2023-04-13</t>
  </si>
  <si>
    <t>ORD-21205</t>
  </si>
  <si>
    <t>ORD-21206</t>
  </si>
  <si>
    <t>ORD-21207</t>
  </si>
  <si>
    <t>ORD-21208</t>
  </si>
  <si>
    <t>ORD-21209</t>
  </si>
  <si>
    <t>ORD-21210</t>
  </si>
  <si>
    <t>ORD-21211</t>
  </si>
  <si>
    <t>2024-06-08</t>
  </si>
  <si>
    <t>ORD-21212</t>
  </si>
  <si>
    <t>2024-04-23</t>
  </si>
  <si>
    <t>ORD-21213</t>
  </si>
  <si>
    <t>ORD-21214</t>
  </si>
  <si>
    <t>2023-11-19</t>
  </si>
  <si>
    <t>ORD-21215</t>
  </si>
  <si>
    <t>ORD-21216</t>
  </si>
  <si>
    <t>ORD-21217</t>
  </si>
  <si>
    <t>ORD-21218</t>
  </si>
  <si>
    <t>ORD-21219</t>
  </si>
  <si>
    <t>ORD-21220</t>
  </si>
  <si>
    <t>ORD-21221</t>
  </si>
  <si>
    <t>2023-05-05</t>
  </si>
  <si>
    <t>ORD-21222</t>
  </si>
  <si>
    <t>ORD-21223</t>
  </si>
  <si>
    <t>2024-02-10</t>
  </si>
  <si>
    <t>ORD-21224</t>
  </si>
  <si>
    <t>2023-06-20</t>
  </si>
  <si>
    <t>ORD-21225</t>
  </si>
  <si>
    <t>ORD-21226</t>
  </si>
  <si>
    <t>ORD-21227</t>
  </si>
  <si>
    <t>ORD-21228</t>
  </si>
  <si>
    <t>2024-09-08</t>
  </si>
  <si>
    <t>ORD-21229</t>
  </si>
  <si>
    <t>2024-12-17</t>
  </si>
  <si>
    <t>ORD-21230</t>
  </si>
  <si>
    <t>2023-04-19</t>
  </si>
  <si>
    <t>ORD-21231</t>
  </si>
  <si>
    <t>2024-07-15</t>
  </si>
  <si>
    <t>ORD-21232</t>
  </si>
  <si>
    <t>ORD-21233</t>
  </si>
  <si>
    <t>2023-07-12</t>
  </si>
  <si>
    <t>ORD-21234</t>
  </si>
  <si>
    <t>ORD-21235</t>
  </si>
  <si>
    <t>ORD-21236</t>
  </si>
  <si>
    <t>ORD-21237</t>
  </si>
  <si>
    <t>ORD-21238</t>
  </si>
  <si>
    <t>ORD-21239</t>
  </si>
  <si>
    <t>ORD-21240</t>
  </si>
  <si>
    <t>ORD-21241</t>
  </si>
  <si>
    <t>ORD-21242</t>
  </si>
  <si>
    <t>ORD-21243</t>
  </si>
  <si>
    <t>ORD-21244</t>
  </si>
  <si>
    <t>ORD-21245</t>
  </si>
  <si>
    <t>2022-11-21</t>
  </si>
  <si>
    <t>ORD-21246</t>
  </si>
  <si>
    <t>ORD-21247</t>
  </si>
  <si>
    <t>ORD-21248</t>
  </si>
  <si>
    <t>2024-09-27</t>
  </si>
  <si>
    <t>ORD-21249</t>
  </si>
  <si>
    <t>ORD-21250</t>
  </si>
  <si>
    <t>2022-07-06</t>
  </si>
  <si>
    <t>ORD-21251</t>
  </si>
  <si>
    <t>2024-03-26</t>
  </si>
  <si>
    <t>ORD-21252</t>
  </si>
  <si>
    <t>ORD-21253</t>
  </si>
  <si>
    <t>ORD-21254</t>
  </si>
  <si>
    <t>2023-07-17</t>
  </si>
  <si>
    <t>ORD-21255</t>
  </si>
  <si>
    <t>ORD-21256</t>
  </si>
  <si>
    <t>ORD-21257</t>
  </si>
  <si>
    <t>ORD-21258</t>
  </si>
  <si>
    <t>2022-06-21</t>
  </si>
  <si>
    <t>ORD-21259</t>
  </si>
  <si>
    <t>ORD-21260</t>
  </si>
  <si>
    <t>ORD-21261</t>
  </si>
  <si>
    <t>2022-02-26</t>
  </si>
  <si>
    <t>ORD-21262</t>
  </si>
  <si>
    <t>2023-08-19</t>
  </si>
  <si>
    <t>ORD-21263</t>
  </si>
  <si>
    <t>ORD-21264</t>
  </si>
  <si>
    <t>2024-06-10</t>
  </si>
  <si>
    <t>ORD-21265</t>
  </si>
  <si>
    <t>2024-02-12</t>
  </si>
  <si>
    <t>ORD-21266</t>
  </si>
  <si>
    <t>2022-05-18</t>
  </si>
  <si>
    <t>ORD-21267</t>
  </si>
  <si>
    <t>ORD-21268</t>
  </si>
  <si>
    <t>ORD-21269</t>
  </si>
  <si>
    <t>ORD-21270</t>
  </si>
  <si>
    <t>ORD-21271</t>
  </si>
  <si>
    <t>ORD-21272</t>
  </si>
  <si>
    <t>ORD-21273</t>
  </si>
  <si>
    <t>ORD-21274</t>
  </si>
  <si>
    <t>ORD-21275</t>
  </si>
  <si>
    <t>2024-12-16</t>
  </si>
  <si>
    <t>ORD-21276</t>
  </si>
  <si>
    <t>ORD-21277</t>
  </si>
  <si>
    <t>ORD-21278</t>
  </si>
  <si>
    <t>ORD-21279</t>
  </si>
  <si>
    <t>ORD-21280</t>
  </si>
  <si>
    <t>ORD-21281</t>
  </si>
  <si>
    <t>ORD-21282</t>
  </si>
  <si>
    <t>2023-10-26</t>
  </si>
  <si>
    <t>ORD-21283</t>
  </si>
  <si>
    <t>ORD-21284</t>
  </si>
  <si>
    <t>2024-07-08</t>
  </si>
  <si>
    <t>ORD-21285</t>
  </si>
  <si>
    <t>ORD-21286</t>
  </si>
  <si>
    <t>ORD-21287</t>
  </si>
  <si>
    <t>ORD-21288</t>
  </si>
  <si>
    <t>2023-11-10</t>
  </si>
  <si>
    <t>ORD-21289</t>
  </si>
  <si>
    <t>2024-05-28</t>
  </si>
  <si>
    <t>ORD-21290</t>
  </si>
  <si>
    <t>2022-10-10</t>
  </si>
  <si>
    <t>ORD-21291</t>
  </si>
  <si>
    <t>ORD-21292</t>
  </si>
  <si>
    <t>ORD-21293</t>
  </si>
  <si>
    <t>ORD-21294</t>
  </si>
  <si>
    <t>ORD-21295</t>
  </si>
  <si>
    <t>ORD-21296</t>
  </si>
  <si>
    <t>2023-02-13</t>
  </si>
  <si>
    <t>ORD-21297</t>
  </si>
  <si>
    <t>2022-01-27</t>
  </si>
  <si>
    <t>ORD-21298</t>
  </si>
  <si>
    <t>2023-08-11</t>
  </si>
  <si>
    <t>ORD-21299</t>
  </si>
  <si>
    <t>2024-06-12</t>
  </si>
  <si>
    <t>ORD-21300</t>
  </si>
  <si>
    <t>ORD-21301</t>
  </si>
  <si>
    <t>ORD-21302</t>
  </si>
  <si>
    <t>ORD-21303</t>
  </si>
  <si>
    <t>ORD-21304</t>
  </si>
  <si>
    <t>2023-07-06</t>
  </si>
  <si>
    <t>ORD-21305</t>
  </si>
  <si>
    <t>ORD-21306</t>
  </si>
  <si>
    <t>ORD-21307</t>
  </si>
  <si>
    <t>2024-03-17</t>
  </si>
  <si>
    <t>ORD-21308</t>
  </si>
  <si>
    <t>ORD-21309</t>
  </si>
  <si>
    <t>ORD-21310</t>
  </si>
  <si>
    <t>ORD-21311</t>
  </si>
  <si>
    <t>ORD-21312</t>
  </si>
  <si>
    <t>ORD-21313</t>
  </si>
  <si>
    <t>2023-12-24</t>
  </si>
  <si>
    <t>ORD-21314</t>
  </si>
  <si>
    <t>ORD-21315</t>
  </si>
  <si>
    <t>ORD-21316</t>
  </si>
  <si>
    <t>2022-04-23</t>
  </si>
  <si>
    <t>ORD-21317</t>
  </si>
  <si>
    <t>ORD-21318</t>
  </si>
  <si>
    <t>ORD-21319</t>
  </si>
  <si>
    <t>ORD-21320</t>
  </si>
  <si>
    <t>2023-09-24</t>
  </si>
  <si>
    <t>ORD-21321</t>
  </si>
  <si>
    <t>2023-10-28</t>
  </si>
  <si>
    <t>ORD-21322</t>
  </si>
  <si>
    <t>ORD-21323</t>
  </si>
  <si>
    <t>ORD-21324</t>
  </si>
  <si>
    <t>ORD-21325</t>
  </si>
  <si>
    <t>2023-05-06</t>
  </si>
  <si>
    <t>ORD-21326</t>
  </si>
  <si>
    <t>ORD-21327</t>
  </si>
  <si>
    <t>ORD-21328</t>
  </si>
  <si>
    <t>2022-12-13</t>
  </si>
  <si>
    <t>ORD-21329</t>
  </si>
  <si>
    <t>2022-03-12</t>
  </si>
  <si>
    <t>ORD-21330</t>
  </si>
  <si>
    <t>ORD-21331</t>
  </si>
  <si>
    <t>2023-08-10</t>
  </si>
  <si>
    <t>ORD-21332</t>
  </si>
  <si>
    <t>ORD-21333</t>
  </si>
  <si>
    <t>ORD-21334</t>
  </si>
  <si>
    <t>2022-08-05</t>
  </si>
  <si>
    <t>ORD-21335</t>
  </si>
  <si>
    <t>ORD-21336</t>
  </si>
  <si>
    <t>ORD-21337</t>
  </si>
  <si>
    <t>ORD-21338</t>
  </si>
  <si>
    <t>ORD-21339</t>
  </si>
  <si>
    <t>2023-01-07</t>
  </si>
  <si>
    <t>ORD-21340</t>
  </si>
  <si>
    <t>ORD-21341</t>
  </si>
  <si>
    <t>2022-10-09</t>
  </si>
  <si>
    <t>ORD-21342</t>
  </si>
  <si>
    <t>2024-02-25</t>
  </si>
  <si>
    <t>ORD-21343</t>
  </si>
  <si>
    <t>ORD-21344</t>
  </si>
  <si>
    <t>ORD-21345</t>
  </si>
  <si>
    <t>ORD-21346</t>
  </si>
  <si>
    <t>ORD-21347</t>
  </si>
  <si>
    <t>ORD-21348</t>
  </si>
  <si>
    <t>ORD-21349</t>
  </si>
  <si>
    <t>ORD-21350</t>
  </si>
  <si>
    <t>2022-11-27</t>
  </si>
  <si>
    <t>ORD-21351</t>
  </si>
  <si>
    <t>ORD-21352</t>
  </si>
  <si>
    <t>ORD-21353</t>
  </si>
  <si>
    <t>ORD-21354</t>
  </si>
  <si>
    <t>ORD-21355</t>
  </si>
  <si>
    <t>ORD-21356</t>
  </si>
  <si>
    <t>ORD-21357</t>
  </si>
  <si>
    <t>ORD-21358</t>
  </si>
  <si>
    <t>ORD-21359</t>
  </si>
  <si>
    <t>ORD-21360</t>
  </si>
  <si>
    <t>2023-07-05</t>
  </si>
  <si>
    <t>ORD-21361</t>
  </si>
  <si>
    <t>2024-01-05</t>
  </si>
  <si>
    <t>ORD-21362</t>
  </si>
  <si>
    <t>ORD-21363</t>
  </si>
  <si>
    <t>ORD-21364</t>
  </si>
  <si>
    <t>ORD-21365</t>
  </si>
  <si>
    <t>ORD-21366</t>
  </si>
  <si>
    <t>ORD-21367</t>
  </si>
  <si>
    <t>ORD-21368</t>
  </si>
  <si>
    <t>ORD-21369</t>
  </si>
  <si>
    <t>ORD-21370</t>
  </si>
  <si>
    <t>ORD-21371</t>
  </si>
  <si>
    <t>2023-09-09</t>
  </si>
  <si>
    <t>ORD-21372</t>
  </si>
  <si>
    <t>ORD-21373</t>
  </si>
  <si>
    <t>2023-11-22</t>
  </si>
  <si>
    <t>ORD-21374</t>
  </si>
  <si>
    <t>2022-03-11</t>
  </si>
  <si>
    <t>ORD-21375</t>
  </si>
  <si>
    <t>ORD-21376</t>
  </si>
  <si>
    <t>ORD-21377</t>
  </si>
  <si>
    <t>2023-01-08</t>
  </si>
  <si>
    <t>ORD-21378</t>
  </si>
  <si>
    <t>ORD-21379</t>
  </si>
  <si>
    <t>ORD-21380</t>
  </si>
  <si>
    <t>ORD-21381</t>
  </si>
  <si>
    <t>ORD-21382</t>
  </si>
  <si>
    <t>ORD-21383</t>
  </si>
  <si>
    <t>ORD-21384</t>
  </si>
  <si>
    <t>2023-05-25</t>
  </si>
  <si>
    <t>ORD-21385</t>
  </si>
  <si>
    <t>2023-03-14</t>
  </si>
  <si>
    <t>ORD-21386</t>
  </si>
  <si>
    <t>ORD-21387</t>
  </si>
  <si>
    <t>ORD-21388</t>
  </si>
  <si>
    <t>ORD-21389</t>
  </si>
  <si>
    <t>ORD-21390</t>
  </si>
  <si>
    <t>2022-01-02</t>
  </si>
  <si>
    <t>ORD-21391</t>
  </si>
  <si>
    <t>ORD-21392</t>
  </si>
  <si>
    <t>ORD-21393</t>
  </si>
  <si>
    <t>ORD-21394</t>
  </si>
  <si>
    <t>ORD-21395</t>
  </si>
  <si>
    <t>ORD-21396</t>
  </si>
  <si>
    <t>ORD-21397</t>
  </si>
  <si>
    <t>ORD-21398</t>
  </si>
  <si>
    <t>2023-04-24</t>
  </si>
  <si>
    <t>ORD-21399</t>
  </si>
  <si>
    <t>ORD-21400</t>
  </si>
  <si>
    <t>ORD-21401</t>
  </si>
  <si>
    <t>2022-02-05</t>
  </si>
  <si>
    <t>ORD-21402</t>
  </si>
  <si>
    <t>2024-01-25</t>
  </si>
  <si>
    <t>ORD-21403</t>
  </si>
  <si>
    <t>ORD-21404</t>
  </si>
  <si>
    <t>ORD-21405</t>
  </si>
  <si>
    <t>2024-07-03</t>
  </si>
  <si>
    <t>ORD-21406</t>
  </si>
  <si>
    <t>ORD-21407</t>
  </si>
  <si>
    <t>ORD-21408</t>
  </si>
  <si>
    <t>ORD-21409</t>
  </si>
  <si>
    <t>ORD-21410</t>
  </si>
  <si>
    <t>2022-01-28</t>
  </si>
  <si>
    <t>ORD-21411</t>
  </si>
  <si>
    <t>2023-05-02</t>
  </si>
  <si>
    <t>ORD-21412</t>
  </si>
  <si>
    <t>ORD-21413</t>
  </si>
  <si>
    <t>ORD-21414</t>
  </si>
  <si>
    <t>ORD-21415</t>
  </si>
  <si>
    <t>ORD-21416</t>
  </si>
  <si>
    <t>2024-07-17</t>
  </si>
  <si>
    <t>ORD-21417</t>
  </si>
  <si>
    <t>ORD-21418</t>
  </si>
  <si>
    <t>ORD-21419</t>
  </si>
  <si>
    <t>ORD-21420</t>
  </si>
  <si>
    <t>ORD-21421</t>
  </si>
  <si>
    <t>ORD-21422</t>
  </si>
  <si>
    <t>ORD-21423</t>
  </si>
  <si>
    <t>ORD-21424</t>
  </si>
  <si>
    <t>2024-09-28</t>
  </si>
  <si>
    <t>ORD-21425</t>
  </si>
  <si>
    <t>ORD-21426</t>
  </si>
  <si>
    <t>2023-08-09</t>
  </si>
  <si>
    <t>ORD-21427</t>
  </si>
  <si>
    <t>ORD-21428</t>
  </si>
  <si>
    <t>ORD-21429</t>
  </si>
  <si>
    <t>ORD-21430</t>
  </si>
  <si>
    <t>ORD-21431</t>
  </si>
  <si>
    <t>ORD-21432</t>
  </si>
  <si>
    <t>ORD-21433</t>
  </si>
  <si>
    <t>ORD-21434</t>
  </si>
  <si>
    <t>ORD-21435</t>
  </si>
  <si>
    <t>2024-02-21</t>
  </si>
  <si>
    <t>ORD-21436</t>
  </si>
  <si>
    <t>ORD-21437</t>
  </si>
  <si>
    <t>ORD-21438</t>
  </si>
  <si>
    <t>ORD-21439</t>
  </si>
  <si>
    <t>ORD-21440</t>
  </si>
  <si>
    <t>ORD-21441</t>
  </si>
  <si>
    <t>ORD-21442</t>
  </si>
  <si>
    <t>ORD-21443</t>
  </si>
  <si>
    <t>ORD-21444</t>
  </si>
  <si>
    <t>ORD-21445</t>
  </si>
  <si>
    <t>ORD-21446</t>
  </si>
  <si>
    <t>2022-07-09</t>
  </si>
  <si>
    <t>ORD-21447</t>
  </si>
  <si>
    <t>ORD-21448</t>
  </si>
  <si>
    <t>ORD-21449</t>
  </si>
  <si>
    <t>2024-04-17</t>
  </si>
  <si>
    <t>ORD-21450</t>
  </si>
  <si>
    <t>2024-02-26</t>
  </si>
  <si>
    <t>ORD-21451</t>
  </si>
  <si>
    <t>ORD-21452</t>
  </si>
  <si>
    <t>ORD-21453</t>
  </si>
  <si>
    <t>ORD-21454</t>
  </si>
  <si>
    <t>ORD-21455</t>
  </si>
  <si>
    <t>2024-11-12</t>
  </si>
  <si>
    <t>ORD-21456</t>
  </si>
  <si>
    <t>ORD-21457</t>
  </si>
  <si>
    <t>ORD-21458</t>
  </si>
  <si>
    <t>2022-11-11</t>
  </si>
  <si>
    <t>ORD-21459</t>
  </si>
  <si>
    <t>2022-12-25</t>
  </si>
  <si>
    <t>ORD-21460</t>
  </si>
  <si>
    <t>2022-09-04</t>
  </si>
  <si>
    <t>ORD-21461</t>
  </si>
  <si>
    <t>ORD-21462</t>
  </si>
  <si>
    <t>ORD-21463</t>
  </si>
  <si>
    <t>2024-10-09</t>
  </si>
  <si>
    <t>ORD-21464</t>
  </si>
  <si>
    <t>ORD-21465</t>
  </si>
  <si>
    <t>ORD-21466</t>
  </si>
  <si>
    <t>ORD-21467</t>
  </si>
  <si>
    <t>2024-10-28</t>
  </si>
  <si>
    <t>ORD-21468</t>
  </si>
  <si>
    <t>2024-11-19</t>
  </si>
  <si>
    <t>ORD-21469</t>
  </si>
  <si>
    <t>ORD-21470</t>
  </si>
  <si>
    <t>ORD-21471</t>
  </si>
  <si>
    <t>2022-01-12</t>
  </si>
  <si>
    <t>ORD-21472</t>
  </si>
  <si>
    <t>ORD-21473</t>
  </si>
  <si>
    <t>ORD-21474</t>
  </si>
  <si>
    <t>ORD-21475</t>
  </si>
  <si>
    <t>ORD-21476</t>
  </si>
  <si>
    <t>ORD-21477</t>
  </si>
  <si>
    <t>2024-10-06</t>
  </si>
  <si>
    <t>ORD-21478</t>
  </si>
  <si>
    <t>ORD-21479</t>
  </si>
  <si>
    <t>ORD-21480</t>
  </si>
  <si>
    <t>ORD-21481</t>
  </si>
  <si>
    <t>ORD-21482</t>
  </si>
  <si>
    <t>ORD-21483</t>
  </si>
  <si>
    <t>ORD-21484</t>
  </si>
  <si>
    <t>ORD-21485</t>
  </si>
  <si>
    <t>ORD-21486</t>
  </si>
  <si>
    <t>ORD-21487</t>
  </si>
  <si>
    <t>ORD-21488</t>
  </si>
  <si>
    <t>2023-08-14</t>
  </si>
  <si>
    <t>ORD-21489</t>
  </si>
  <si>
    <t>ORD-21490</t>
  </si>
  <si>
    <t>ORD-21491</t>
  </si>
  <si>
    <t>ORD-21492</t>
  </si>
  <si>
    <t>ORD-21493</t>
  </si>
  <si>
    <t>2024-03-23</t>
  </si>
  <si>
    <t>ORD-21494</t>
  </si>
  <si>
    <t>ORD-21495</t>
  </si>
  <si>
    <t>ORD-21496</t>
  </si>
  <si>
    <t>ORD-21497</t>
  </si>
  <si>
    <t>ORD-21498</t>
  </si>
  <si>
    <t>ORD-21499</t>
  </si>
  <si>
    <t>ORD-21500</t>
  </si>
  <si>
    <t>ORD-21501</t>
  </si>
  <si>
    <t>ORD-21502</t>
  </si>
  <si>
    <t>ORD-21503</t>
  </si>
  <si>
    <t>ORD-21504</t>
  </si>
  <si>
    <t>2022-01-14</t>
  </si>
  <si>
    <t>ORD-21505</t>
  </si>
  <si>
    <t>2024-12-24</t>
  </si>
  <si>
    <t>ORD-21506</t>
  </si>
  <si>
    <t>ORD-21507</t>
  </si>
  <si>
    <t>ORD-21508</t>
  </si>
  <si>
    <t>ORD-21509</t>
  </si>
  <si>
    <t>ORD-21510</t>
  </si>
  <si>
    <t>ORD-21511</t>
  </si>
  <si>
    <t>2023-03-10</t>
  </si>
  <si>
    <t>ORD-21512</t>
  </si>
  <si>
    <t>ORD-21513</t>
  </si>
  <si>
    <t>ORD-21514</t>
  </si>
  <si>
    <t>ORD-21515</t>
  </si>
  <si>
    <t>ORD-21516</t>
  </si>
  <si>
    <t>ORD-21517</t>
  </si>
  <si>
    <t>ORD-21518</t>
  </si>
  <si>
    <t>ORD-21519</t>
  </si>
  <si>
    <t>ORD-21520</t>
  </si>
  <si>
    <t>ORD-21521</t>
  </si>
  <si>
    <t>ORD-21522</t>
  </si>
  <si>
    <t>ORD-21523</t>
  </si>
  <si>
    <t>ORD-21524</t>
  </si>
  <si>
    <t>ORD-21525</t>
  </si>
  <si>
    <t>ORD-21526</t>
  </si>
  <si>
    <t>ORD-21527</t>
  </si>
  <si>
    <t>ORD-21528</t>
  </si>
  <si>
    <t>ORD-21529</t>
  </si>
  <si>
    <t>ORD-21530</t>
  </si>
  <si>
    <t>2024-08-18</t>
  </si>
  <si>
    <t>ORD-21531</t>
  </si>
  <si>
    <t>ORD-21532</t>
  </si>
  <si>
    <t>ORD-21533</t>
  </si>
  <si>
    <t>ORD-21534</t>
  </si>
  <si>
    <t>2024-09-11</t>
  </si>
  <si>
    <t>ORD-21535</t>
  </si>
  <si>
    <t>2023-05-18</t>
  </si>
  <si>
    <t>ORD-21536</t>
  </si>
  <si>
    <t>ORD-21537</t>
  </si>
  <si>
    <t>ORD-21538</t>
  </si>
  <si>
    <t>ORD-21539</t>
  </si>
  <si>
    <t>ORD-21540</t>
  </si>
  <si>
    <t>ORD-21541</t>
  </si>
  <si>
    <t>2023-10-04</t>
  </si>
  <si>
    <t>ORD-21542</t>
  </si>
  <si>
    <t>ORD-21543</t>
  </si>
  <si>
    <t>ORD-21544</t>
  </si>
  <si>
    <t>ORD-21545</t>
  </si>
  <si>
    <t>ORD-21546</t>
  </si>
  <si>
    <t>ORD-21547</t>
  </si>
  <si>
    <t>ORD-21548</t>
  </si>
  <si>
    <t>ORD-21549</t>
  </si>
  <si>
    <t>2022-05-01</t>
  </si>
  <si>
    <t>ORD-21550</t>
  </si>
  <si>
    <t>ORD-21551</t>
  </si>
  <si>
    <t>ORD-21552</t>
  </si>
  <si>
    <t>ORD-21553</t>
  </si>
  <si>
    <t>ORD-21554</t>
  </si>
  <si>
    <t>ORD-21555</t>
  </si>
  <si>
    <t>ORD-21556</t>
  </si>
  <si>
    <t>ORD-21557</t>
  </si>
  <si>
    <t>2024-05-15</t>
  </si>
  <si>
    <t>ORD-21558</t>
  </si>
  <si>
    <t>ORD-21559</t>
  </si>
  <si>
    <t>2023-10-07</t>
  </si>
  <si>
    <t>ORD-21560</t>
  </si>
  <si>
    <t>ORD-21561</t>
  </si>
  <si>
    <t>ORD-21562</t>
  </si>
  <si>
    <t>2022-07-02</t>
  </si>
  <si>
    <t>ORD-21563</t>
  </si>
  <si>
    <t>ORD-21564</t>
  </si>
  <si>
    <t>ORD-21565</t>
  </si>
  <si>
    <t>2022-09-02</t>
  </si>
  <si>
    <t>ORD-21566</t>
  </si>
  <si>
    <t>ORD-21567</t>
  </si>
  <si>
    <t>2022-01-22</t>
  </si>
  <si>
    <t>ORD-21568</t>
  </si>
  <si>
    <t>ORD-21569</t>
  </si>
  <si>
    <t>ORD-21570</t>
  </si>
  <si>
    <t>ORD-21571</t>
  </si>
  <si>
    <t>ORD-21572</t>
  </si>
  <si>
    <t>2023-08-24</t>
  </si>
  <si>
    <t>ORD-21573</t>
  </si>
  <si>
    <t>ORD-21574</t>
  </si>
  <si>
    <t>ORD-21575</t>
  </si>
  <si>
    <t>2022-10-12</t>
  </si>
  <si>
    <t>ORD-21576</t>
  </si>
  <si>
    <t>ORD-21577</t>
  </si>
  <si>
    <t>ORD-21578</t>
  </si>
  <si>
    <t>ORD-21579</t>
  </si>
  <si>
    <t>ORD-21580</t>
  </si>
  <si>
    <t>ORD-21581</t>
  </si>
  <si>
    <t>ORD-21582</t>
  </si>
  <si>
    <t>ORD-21583</t>
  </si>
  <si>
    <t>2023-11-11</t>
  </si>
  <si>
    <t>ORD-21584</t>
  </si>
  <si>
    <t>ORD-21585</t>
  </si>
  <si>
    <t>2022-11-22</t>
  </si>
  <si>
    <t>ORD-21586</t>
  </si>
  <si>
    <t>ORD-21587</t>
  </si>
  <si>
    <t>ORD-21588</t>
  </si>
  <si>
    <t>2022-04-08</t>
  </si>
  <si>
    <t>ORD-21589</t>
  </si>
  <si>
    <t>ORD-21590</t>
  </si>
  <si>
    <t>ORD-21591</t>
  </si>
  <si>
    <t>ORD-21592</t>
  </si>
  <si>
    <t>ORD-21593</t>
  </si>
  <si>
    <t>ORD-21594</t>
  </si>
  <si>
    <t>ORD-21595</t>
  </si>
  <si>
    <t>ORD-21596</t>
  </si>
  <si>
    <t>2022-08-14</t>
  </si>
  <si>
    <t>ORD-21597</t>
  </si>
  <si>
    <t>2022-05-09</t>
  </si>
  <si>
    <t>ORD-21598</t>
  </si>
  <si>
    <t>ORD-21599</t>
  </si>
  <si>
    <t>ORD-21600</t>
  </si>
  <si>
    <t>2023-04-23</t>
  </si>
  <si>
    <t>ORD-21601</t>
  </si>
  <si>
    <t>ORD-21602</t>
  </si>
  <si>
    <t>ORD-21603</t>
  </si>
  <si>
    <t>ORD-21604</t>
  </si>
  <si>
    <t>ORD-21605</t>
  </si>
  <si>
    <t>ORD-21606</t>
  </si>
  <si>
    <t>ORD-21607</t>
  </si>
  <si>
    <t>2023-06-14</t>
  </si>
  <si>
    <t>ORD-21608</t>
  </si>
  <si>
    <t>ORD-21609</t>
  </si>
  <si>
    <t>ORD-21610</t>
  </si>
  <si>
    <t>ORD-21611</t>
  </si>
  <si>
    <t>ORD-21612</t>
  </si>
  <si>
    <t>ORD-21613</t>
  </si>
  <si>
    <t>ORD-21614</t>
  </si>
  <si>
    <t>ORD-21615</t>
  </si>
  <si>
    <t>2023-05-10</t>
  </si>
  <si>
    <t>ORD-21616</t>
  </si>
  <si>
    <t>ORD-21617</t>
  </si>
  <si>
    <t>ORD-21618</t>
  </si>
  <si>
    <t>ORD-21619</t>
  </si>
  <si>
    <t>ORD-21620</t>
  </si>
  <si>
    <t>ORD-21621</t>
  </si>
  <si>
    <t>ORD-21622</t>
  </si>
  <si>
    <t>ORD-21623</t>
  </si>
  <si>
    <t>ORD-21624</t>
  </si>
  <si>
    <t>ORD-21625</t>
  </si>
  <si>
    <t>ORD-21626</t>
  </si>
  <si>
    <t>ORD-21627</t>
  </si>
  <si>
    <t>ORD-21628</t>
  </si>
  <si>
    <t>ORD-21629</t>
  </si>
  <si>
    <t>2023-10-27</t>
  </si>
  <si>
    <t>ORD-21630</t>
  </si>
  <si>
    <t>ORD-21631</t>
  </si>
  <si>
    <t>ORD-21632</t>
  </si>
  <si>
    <t>ORD-21633</t>
  </si>
  <si>
    <t>ORD-21634</t>
  </si>
  <si>
    <t>2024-01-23</t>
  </si>
  <si>
    <t>ORD-21635</t>
  </si>
  <si>
    <t>ORD-21636</t>
  </si>
  <si>
    <t>ORD-21637</t>
  </si>
  <si>
    <t>ORD-21638</t>
  </si>
  <si>
    <t>ORD-21639</t>
  </si>
  <si>
    <t>ORD-21640</t>
  </si>
  <si>
    <t>2023-07-13</t>
  </si>
  <si>
    <t>ORD-21641</t>
  </si>
  <si>
    <t>2023-11-18</t>
  </si>
  <si>
    <t>ORD-21642</t>
  </si>
  <si>
    <t>2023-02-26</t>
  </si>
  <si>
    <t>ORD-21643</t>
  </si>
  <si>
    <t>ORD-21644</t>
  </si>
  <si>
    <t>ORD-21645</t>
  </si>
  <si>
    <t>ORD-21646</t>
  </si>
  <si>
    <t>ORD-21647</t>
  </si>
  <si>
    <t>ORD-21648</t>
  </si>
  <si>
    <t>ORD-21649</t>
  </si>
  <si>
    <t>ORD-21650</t>
  </si>
  <si>
    <t>ORD-21651</t>
  </si>
  <si>
    <t>ORD-21652</t>
  </si>
  <si>
    <t>ORD-21653</t>
  </si>
  <si>
    <t>2023-07-28</t>
  </si>
  <si>
    <t>ORD-21654</t>
  </si>
  <si>
    <t>Analysis Tasks for This Project</t>
  </si>
  <si>
    <t>1. Customer Segmentation</t>
  </si>
  <si>
    <t>Segment customers by membership tier and analyze AOV, frequency</t>
  </si>
  <si>
    <t>2. Cohort Retention</t>
  </si>
  <si>
    <t>Group customers by join quarter; track repeat purchase rates</t>
  </si>
  <si>
    <t>3. Category Performance</t>
  </si>
  <si>
    <t>Revenue, units sold, avg discount, and return rate by category</t>
  </si>
  <si>
    <t>4. Payment Method Trends</t>
  </si>
  <si>
    <t>Preferred payment by age group and membership tier</t>
  </si>
  <si>
    <t>5. Rating vs Revenue</t>
  </si>
  <si>
    <t>Correlation between product ratings and repeat purchases</t>
  </si>
  <si>
    <t>6. RFM Analysis</t>
  </si>
  <si>
    <t>Recency, Frequency, Monetary segmentation using SQL or Excel</t>
  </si>
  <si>
    <t>7. Top Cities Dashboard</t>
  </si>
  <si>
    <t>Revenue by city on a Tableau map visualization</t>
  </si>
  <si>
    <t>Customer Age</t>
  </si>
  <si>
    <t>Customer City</t>
  </si>
  <si>
    <t>Membership</t>
  </si>
  <si>
    <t>Gender</t>
  </si>
  <si>
    <t>Row Labels</t>
  </si>
  <si>
    <t>Grand Total</t>
  </si>
  <si>
    <t>Sum of order_total</t>
  </si>
  <si>
    <t>Count of order_id</t>
  </si>
  <si>
    <t>rati</t>
  </si>
  <si>
    <t>Average of rating</t>
  </si>
  <si>
    <t>Average of order_total2</t>
  </si>
  <si>
    <t>Date_Check</t>
  </si>
  <si>
    <t>Month_Start</t>
  </si>
  <si>
    <t>2022</t>
  </si>
  <si>
    <t>2023</t>
  </si>
  <si>
    <t>2024</t>
  </si>
  <si>
    <t>Total Revenue</t>
  </si>
  <si>
    <t>Total Orders</t>
  </si>
  <si>
    <t>Avg Order Value</t>
  </si>
  <si>
    <t>Return Rate</t>
  </si>
  <si>
    <t>Top Category</t>
  </si>
  <si>
    <t xml:space="preserve">Total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</si>
</sst>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77" formatCode="0.0000000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3"/>
      <name val="Cambria"/>
      <charset val="1"/>
    </font>
    <font>
      <b/>
      <sz val="11"/>
      <color rgb="FFFFFFFF"/>
      <name val="Arial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3" borderId="2" xfId="0" applyNumberFormat="1" applyFill="1" applyBorder="1"/>
    <xf numFmtId="14" fontId="0" fillId="0" borderId="2" xfId="0" applyNumberFormat="1" applyBorder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77" fontId="0" fillId="0" borderId="4" xfId="0" applyNumberFormat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ith" refreshedDate="46270.540989004628" createdVersion="8" refreshedVersion="8" minRefreshableVersion="3" recordCount="1654" xr:uid="{59DADB85-0541-4212-9701-E1367941F6B9}">
  <cacheSource type="worksheet">
    <worksheetSource ref="A1:Q1655" sheet="Master"/>
  </cacheSource>
  <cacheFields count="17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2-01-01T00:00:00" maxDate="2024-12-28T00:00:00"/>
    </cacheField>
    <cacheField name="category" numFmtId="0">
      <sharedItems count="7">
        <s v="Books"/>
        <s v="Toys"/>
        <s v="Home &amp; Kitchen"/>
        <s v="Clothing"/>
        <s v="Sports"/>
        <s v="Electronics"/>
        <s v="Beauty"/>
      </sharedItems>
    </cacheField>
    <cacheField name="product_name" numFmtId="0">
      <sharedItems/>
    </cacheField>
    <cacheField name="unit_price" numFmtId="0">
      <sharedItems containsSemiMixedTypes="0" containsString="0" containsNumber="1" minValue="14.99" maxValue="199.99"/>
    </cacheField>
    <cacheField name="quantity" numFmtId="0">
      <sharedItems containsSemiMixedTypes="0" containsString="0" containsNumber="1" containsInteger="1" minValue="1" maxValue="4"/>
    </cacheField>
    <cacheField name="discount_pct" numFmtId="0">
      <sharedItems containsSemiMixedTypes="0" containsString="0" containsNumber="1" containsInteger="1" minValue="0" maxValue="20"/>
    </cacheField>
    <cacheField name="final_price" numFmtId="0">
      <sharedItems containsSemiMixedTypes="0" containsString="0" containsNumber="1" minValue="11.99" maxValue="199.99"/>
    </cacheField>
    <cacheField name="order_total" numFmtId="0">
      <sharedItems containsSemiMixedTypes="0" containsString="0" containsNumber="1" minValue="11.99" maxValue="799.96"/>
    </cacheField>
    <cacheField name="payment_method" numFmtId="0">
      <sharedItems/>
    </cacheField>
    <cacheField name="order_status" numFmtId="0">
      <sharedItems count="5">
        <s v="Delivered"/>
        <s v="Cancelled"/>
        <s v="Processing"/>
        <s v="Returned"/>
        <s v="Shipped"/>
      </sharedItems>
    </cacheField>
    <cacheField name="rating" numFmtId="0">
      <sharedItems containsString="0" containsBlank="1" containsNumber="1" containsInteger="1" minValue="1" maxValue="5"/>
    </cacheField>
    <cacheField name="Customer Age" numFmtId="0">
      <sharedItems containsSemiMixedTypes="0" containsString="0" containsNumber="1" containsInteger="1" minValue="18" maxValue="65"/>
    </cacheField>
    <cacheField name="Customer City" numFmtId="0">
      <sharedItems/>
    </cacheField>
    <cacheField name="Membership" numFmtId="0">
      <sharedItems count="4">
        <s v="Platinum"/>
        <s v="Gold"/>
        <s v="Free"/>
        <s v="Silver"/>
      </sharedItems>
    </cacheField>
    <cacheField name="Gen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ith" refreshedDate="46270.541624768521" createdVersion="8" refreshedVersion="8" minRefreshableVersion="3" recordCount="1654" xr:uid="{EAEB8A11-3944-4797-8BC9-B3BFC91C59D8}">
  <cacheSource type="worksheet">
    <worksheetSource ref="A1:S1655" sheet="Master"/>
  </cacheSource>
  <cacheFields count="22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2-01-01T00:00:00" maxDate="2024-12-28T00:00:00"/>
    </cacheField>
    <cacheField name="category" numFmtId="0">
      <sharedItems/>
    </cacheField>
    <cacheField name="product_name" numFmtId="0">
      <sharedItems/>
    </cacheField>
    <cacheField name="unit_price" numFmtId="0">
      <sharedItems containsSemiMixedTypes="0" containsString="0" containsNumber="1" minValue="14.99" maxValue="199.99"/>
    </cacheField>
    <cacheField name="quantity" numFmtId="0">
      <sharedItems containsSemiMixedTypes="0" containsString="0" containsNumber="1" containsInteger="1" minValue="1" maxValue="4"/>
    </cacheField>
    <cacheField name="discount_pct" numFmtId="0">
      <sharedItems containsSemiMixedTypes="0" containsString="0" containsNumber="1" containsInteger="1" minValue="0" maxValue="20"/>
    </cacheField>
    <cacheField name="final_price" numFmtId="0">
      <sharedItems containsSemiMixedTypes="0" containsString="0" containsNumber="1" minValue="11.99" maxValue="199.99"/>
    </cacheField>
    <cacheField name="order_total" numFmtId="0">
      <sharedItems containsSemiMixedTypes="0" containsString="0" containsNumber="1" minValue="11.99" maxValue="799.96"/>
    </cacheField>
    <cacheField name="payment_method" numFmtId="0">
      <sharedItems/>
    </cacheField>
    <cacheField name="order_status" numFmtId="0">
      <sharedItems/>
    </cacheField>
    <cacheField name="rating" numFmtId="0">
      <sharedItems containsString="0" containsBlank="1" containsNumber="1" containsInteger="1" minValue="1" maxValue="5"/>
    </cacheField>
    <cacheField name="Customer Age" numFmtId="0">
      <sharedItems containsSemiMixedTypes="0" containsString="0" containsNumber="1" containsInteger="1" minValue="18" maxValue="65"/>
    </cacheField>
    <cacheField name="Customer City" numFmtId="0">
      <sharedItems/>
    </cacheField>
    <cacheField name="Membership" numFmtId="0">
      <sharedItems/>
    </cacheField>
    <cacheField name="Gender" numFmtId="0">
      <sharedItems/>
    </cacheField>
    <cacheField name="Date_Check" numFmtId="0">
      <sharedItems/>
    </cacheField>
    <cacheField name="Month_Start" numFmtId="164">
      <sharedItems containsSemiMixedTypes="0" containsNonDate="0" containsDate="1" containsString="0" minDate="2022-01-01T00:00:00" maxDate="2024-12-02T00:00:00" count="36">
        <d v="2024-02-01T00:00:00"/>
        <d v="2024-03-01T00:00:00"/>
        <d v="2022-01-01T00:00:00"/>
        <d v="2022-11-01T00:00:00"/>
        <d v="2024-07-01T00:00:00"/>
        <d v="2023-05-01T00:00:00"/>
        <d v="2023-09-01T00:00:00"/>
        <d v="2022-08-01T00:00:00"/>
        <d v="2022-06-01T00:00:00"/>
        <d v="2023-07-01T00:00:00"/>
        <d v="2023-01-01T00:00:00"/>
        <d v="2022-03-01T00:00:00"/>
        <d v="2022-04-01T00:00:00"/>
        <d v="2023-10-01T00:00:00"/>
        <d v="2023-12-01T00:00:00"/>
        <d v="2024-09-01T00:00:00"/>
        <d v="2024-11-01T00:00:00"/>
        <d v="2022-02-01T00:00:00"/>
        <d v="2023-04-01T00:00:00"/>
        <d v="2023-06-01T00:00:00"/>
        <d v="2022-10-01T00:00:00"/>
        <d v="2024-10-01T00:00:00"/>
        <d v="2022-09-01T00:00:00"/>
        <d v="2023-03-01T00:00:00"/>
        <d v="2023-08-01T00:00:00"/>
        <d v="2024-01-01T00:00:00"/>
        <d v="2024-08-01T00:00:00"/>
        <d v="2024-04-01T00:00:00"/>
        <d v="2022-12-01T00:00:00"/>
        <d v="2023-11-01T00:00:00"/>
        <d v="2024-05-01T00:00:00"/>
        <d v="2022-05-01T00:00:00"/>
        <d v="2024-12-01T00:00:00"/>
        <d v="2022-07-01T00:00:00"/>
        <d v="2023-02-01T00:00:00"/>
        <d v="2024-06-01T00:00:00"/>
      </sharedItems>
      <fieldGroup par="21"/>
    </cacheField>
    <cacheField name="Months (Month_Start)" numFmtId="0" databaseField="0">
      <fieldGroup base="18">
        <rangePr groupBy="months" startDate="2022-01-01T00:00:00" endDate="2024-12-02T00:00:00"/>
        <groupItems count="14">
          <s v="&lt;01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4"/>
        </groupItems>
      </fieldGroup>
    </cacheField>
    <cacheField name="Quarters (Month_Start)" numFmtId="0" databaseField="0">
      <fieldGroup base="18">
        <rangePr groupBy="quarters" startDate="2022-01-01T00:00:00" endDate="2024-12-02T00:00:00"/>
        <groupItems count="6">
          <s v="&lt;01-01-22"/>
          <s v="Qtr1"/>
          <s v="Qtr2"/>
          <s v="Qtr3"/>
          <s v="Qtr4"/>
          <s v="&gt;02-12-24"/>
        </groupItems>
      </fieldGroup>
    </cacheField>
    <cacheField name="Years (Month_Start)" numFmtId="0" databaseField="0">
      <fieldGroup base="18">
        <rangePr groupBy="years" startDate="2022-01-01T00:00:00" endDate="2024-12-02T00:00:00"/>
        <groupItems count="5">
          <s v="&lt;01-01-22"/>
          <s v="2022"/>
          <s v="2023"/>
          <s v="2024"/>
          <s v="&gt;02-12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4">
  <r>
    <s v="ORD-20001"/>
    <s v="CUST-5001"/>
    <d v="2024-02-27T00:00:00"/>
    <x v="0"/>
    <s v="Business Analytics"/>
    <n v="39.99"/>
    <n v="1"/>
    <n v="0"/>
    <n v="39.99"/>
    <n v="39.99"/>
    <s v="PayPal"/>
    <x v="0"/>
    <n v="4"/>
    <n v="25"/>
    <s v="Phoenix"/>
    <x v="0"/>
    <s v="Female"/>
  </r>
  <r>
    <s v="ORD-20002"/>
    <s v="CUST-5001"/>
    <d v="2024-03-19T00:00:00"/>
    <x v="1"/>
    <s v="Action Figure"/>
    <n v="19.989999999999998"/>
    <n v="2"/>
    <n v="0"/>
    <n v="19.989999999999998"/>
    <n v="39.979999999999997"/>
    <s v="Wallet"/>
    <x v="0"/>
    <n v="5"/>
    <n v="25"/>
    <s v="Phoenix"/>
    <x v="0"/>
    <s v="Female"/>
  </r>
  <r>
    <s v="ORD-20003"/>
    <s v="CUST-5001"/>
    <d v="2022-01-05T00:00:00"/>
    <x v="1"/>
    <s v="Puzzle 1000pcs"/>
    <n v="24.99"/>
    <n v="2"/>
    <n v="15"/>
    <n v="21.24"/>
    <n v="42.48"/>
    <s v="Wallet"/>
    <x v="0"/>
    <n v="5"/>
    <n v="25"/>
    <s v="Phoenix"/>
    <x v="0"/>
    <s v="Female"/>
  </r>
  <r>
    <s v="ORD-20004"/>
    <s v="CUST-5001"/>
    <d v="2022-11-14T00:00:00"/>
    <x v="2"/>
    <s v="Blender"/>
    <n v="64.989999999999995"/>
    <n v="3"/>
    <n v="0"/>
    <n v="64.989999999999995"/>
    <n v="194.97"/>
    <s v="Credit Card"/>
    <x v="0"/>
    <m/>
    <n v="25"/>
    <s v="Phoenix"/>
    <x v="0"/>
    <s v="Female"/>
  </r>
  <r>
    <s v="ORD-20005"/>
    <s v="CUST-5001"/>
    <d v="2024-07-01T00:00:00"/>
    <x v="3"/>
    <s v="Cotton T-Shirt"/>
    <n v="24.99"/>
    <n v="4"/>
    <n v="0"/>
    <n v="24.99"/>
    <n v="99.96"/>
    <s v="Credit Card"/>
    <x v="0"/>
    <n v="4"/>
    <n v="25"/>
    <s v="Phoenix"/>
    <x v="0"/>
    <s v="Female"/>
  </r>
  <r>
    <s v="ORD-20006"/>
    <s v="CUST-5001"/>
    <d v="2023-05-11T00:00:00"/>
    <x v="2"/>
    <s v="Blender"/>
    <n v="64.989999999999995"/>
    <n v="2"/>
    <n v="5"/>
    <n v="61.74"/>
    <n v="123.48"/>
    <s v="UPI"/>
    <x v="0"/>
    <n v="5"/>
    <n v="25"/>
    <s v="Phoenix"/>
    <x v="0"/>
    <s v="Female"/>
  </r>
  <r>
    <s v="ORD-20007"/>
    <s v="CUST-5002"/>
    <d v="2023-09-10T00:00:00"/>
    <x v="2"/>
    <s v="Blender"/>
    <n v="64.989999999999995"/>
    <n v="1"/>
    <n v="15"/>
    <n v="55.24"/>
    <n v="55.24"/>
    <s v="PayPal"/>
    <x v="0"/>
    <m/>
    <n v="18"/>
    <s v="San Jose"/>
    <x v="1"/>
    <s v="Female"/>
  </r>
  <r>
    <s v="ORD-20008"/>
    <s v="CUST-5003"/>
    <d v="2022-08-20T00:00:00"/>
    <x v="4"/>
    <s v="Resistance Bands"/>
    <n v="19.989999999999998"/>
    <n v="3"/>
    <n v="0"/>
    <n v="19.989999999999998"/>
    <n v="59.97"/>
    <s v="Debit Card"/>
    <x v="0"/>
    <n v="5"/>
    <n v="29"/>
    <s v="San Diego"/>
    <x v="2"/>
    <s v="Female"/>
  </r>
  <r>
    <s v="ORD-20009"/>
    <s v="CUST-5003"/>
    <d v="2022-06-04T00:00:00"/>
    <x v="5"/>
    <s v="Bluetooth Speaker"/>
    <n v="49.99"/>
    <n v="4"/>
    <n v="5"/>
    <n v="47.49"/>
    <n v="189.96"/>
    <s v="UPI"/>
    <x v="0"/>
    <m/>
    <n v="29"/>
    <s v="San Diego"/>
    <x v="2"/>
    <s v="Female"/>
  </r>
  <r>
    <s v="ORD-20010"/>
    <s v="CUST-5003"/>
    <d v="2023-07-16T00:00:00"/>
    <x v="4"/>
    <s v="Yoga Mat"/>
    <n v="29.99"/>
    <n v="3"/>
    <n v="15"/>
    <n v="25.49"/>
    <n v="76.47"/>
    <s v="UPI"/>
    <x v="0"/>
    <n v="4"/>
    <n v="29"/>
    <s v="San Diego"/>
    <x v="2"/>
    <s v="Female"/>
  </r>
  <r>
    <s v="ORD-20011"/>
    <s v="CUST-5003"/>
    <d v="2023-07-26T00:00:00"/>
    <x v="4"/>
    <s v="Resistance Bands"/>
    <n v="19.989999999999998"/>
    <n v="3"/>
    <n v="0"/>
    <n v="19.989999999999998"/>
    <n v="59.97"/>
    <s v="UPI"/>
    <x v="0"/>
    <n v="5"/>
    <n v="29"/>
    <s v="San Diego"/>
    <x v="2"/>
    <s v="Female"/>
  </r>
  <r>
    <s v="ORD-20012"/>
    <s v="CUST-5003"/>
    <d v="2023-01-05T00:00:00"/>
    <x v="1"/>
    <s v="Puzzle 1000pcs"/>
    <n v="24.99"/>
    <n v="1"/>
    <n v="10"/>
    <n v="22.49"/>
    <n v="22.49"/>
    <s v="PayPal"/>
    <x v="1"/>
    <n v="3"/>
    <n v="29"/>
    <s v="San Diego"/>
    <x v="2"/>
    <s v="Female"/>
  </r>
  <r>
    <s v="ORD-20013"/>
    <s v="CUST-5003"/>
    <d v="2022-03-01T00:00:00"/>
    <x v="2"/>
    <s v="Coffee Maker"/>
    <n v="59.99"/>
    <n v="4"/>
    <n v="0"/>
    <n v="59.99"/>
    <n v="239.96"/>
    <s v="UPI"/>
    <x v="0"/>
    <n v="5"/>
    <n v="29"/>
    <s v="San Diego"/>
    <x v="2"/>
    <s v="Female"/>
  </r>
  <r>
    <s v="ORD-20014"/>
    <s v="CUST-5003"/>
    <d v="2022-06-24T00:00:00"/>
    <x v="2"/>
    <s v="Air Fryer"/>
    <n v="89.99"/>
    <n v="1"/>
    <n v="5"/>
    <n v="85.49"/>
    <n v="85.49"/>
    <s v="Wallet"/>
    <x v="0"/>
    <n v="5"/>
    <n v="29"/>
    <s v="San Diego"/>
    <x v="2"/>
    <s v="Female"/>
  </r>
  <r>
    <s v="ORD-20015"/>
    <s v="CUST-5003"/>
    <d v="2022-03-17T00:00:00"/>
    <x v="5"/>
    <s v="Smart Watch"/>
    <n v="199.99"/>
    <n v="3"/>
    <n v="10"/>
    <n v="179.99"/>
    <n v="539.97"/>
    <s v="Credit Card"/>
    <x v="0"/>
    <m/>
    <n v="29"/>
    <s v="San Diego"/>
    <x v="2"/>
    <s v="Female"/>
  </r>
  <r>
    <s v="ORD-20016"/>
    <s v="CUST-5003"/>
    <d v="2022-04-06T00:00:00"/>
    <x v="5"/>
    <s v="Wireless Earbuds"/>
    <n v="79.989999999999995"/>
    <n v="1"/>
    <n v="5"/>
    <n v="75.989999999999995"/>
    <n v="75.989999999999995"/>
    <s v="PayPal"/>
    <x v="0"/>
    <n v="5"/>
    <n v="29"/>
    <s v="San Diego"/>
    <x v="2"/>
    <s v="Female"/>
  </r>
  <r>
    <s v="ORD-20017"/>
    <s v="CUST-5003"/>
    <d v="2023-10-11T00:00:00"/>
    <x v="4"/>
    <s v="Water Bottle"/>
    <n v="24.99"/>
    <n v="3"/>
    <n v="20"/>
    <n v="19.989999999999998"/>
    <n v="59.97"/>
    <s v="Wallet"/>
    <x v="0"/>
    <m/>
    <n v="29"/>
    <s v="San Diego"/>
    <x v="2"/>
    <s v="Female"/>
  </r>
  <r>
    <s v="ORD-20018"/>
    <s v="CUST-5003"/>
    <d v="2023-12-02T00:00:00"/>
    <x v="6"/>
    <s v="Lip Balm Set"/>
    <n v="14.99"/>
    <n v="3"/>
    <n v="5"/>
    <n v="14.24"/>
    <n v="42.72"/>
    <s v="Credit Card"/>
    <x v="0"/>
    <n v="4"/>
    <n v="29"/>
    <s v="San Diego"/>
    <x v="2"/>
    <s v="Female"/>
  </r>
  <r>
    <s v="ORD-20019"/>
    <s v="CUST-5004"/>
    <d v="2024-07-11T00:00:00"/>
    <x v="2"/>
    <s v="Non-stick Pan Set"/>
    <n v="44.99"/>
    <n v="1"/>
    <n v="20"/>
    <n v="35.99"/>
    <n v="35.99"/>
    <s v="PayPal"/>
    <x v="0"/>
    <n v="5"/>
    <n v="32"/>
    <s v="Dallas"/>
    <x v="2"/>
    <s v="Male"/>
  </r>
  <r>
    <s v="ORD-20020"/>
    <s v="CUST-5004"/>
    <d v="2023-01-23T00:00:00"/>
    <x v="2"/>
    <s v="Coffee Maker"/>
    <n v="59.99"/>
    <n v="2"/>
    <n v="0"/>
    <n v="59.99"/>
    <n v="119.98"/>
    <s v="Debit Card"/>
    <x v="0"/>
    <n v="5"/>
    <n v="32"/>
    <s v="Dallas"/>
    <x v="2"/>
    <s v="Male"/>
  </r>
  <r>
    <s v="ORD-20021"/>
    <s v="CUST-5004"/>
    <d v="2022-03-22T00:00:00"/>
    <x v="2"/>
    <s v="Non-stick Pan Set"/>
    <n v="44.99"/>
    <n v="4"/>
    <n v="15"/>
    <n v="38.24"/>
    <n v="152.96"/>
    <s v="Credit Card"/>
    <x v="0"/>
    <n v="5"/>
    <n v="32"/>
    <s v="Dallas"/>
    <x v="2"/>
    <s v="Male"/>
  </r>
  <r>
    <s v="ORD-20022"/>
    <s v="CUST-5004"/>
    <d v="2024-09-19T00:00:00"/>
    <x v="6"/>
    <s v="Hair Mask"/>
    <n v="24.99"/>
    <n v="4"/>
    <n v="0"/>
    <n v="24.99"/>
    <n v="99.96"/>
    <s v="Credit Card"/>
    <x v="0"/>
    <n v="1"/>
    <n v="32"/>
    <s v="Dallas"/>
    <x v="2"/>
    <s v="Male"/>
  </r>
  <r>
    <s v="ORD-20023"/>
    <s v="CUST-5004"/>
    <d v="2024-03-16T00:00:00"/>
    <x v="3"/>
    <s v="Running Shoes"/>
    <n v="89.99"/>
    <n v="2"/>
    <n v="10"/>
    <n v="80.989999999999995"/>
    <n v="161.97999999999999"/>
    <s v="UPI"/>
    <x v="0"/>
    <n v="4"/>
    <n v="32"/>
    <s v="Dallas"/>
    <x v="2"/>
    <s v="Male"/>
  </r>
  <r>
    <s v="ORD-20024"/>
    <s v="CUST-5004"/>
    <d v="2024-11-07T00:00:00"/>
    <x v="0"/>
    <s v="Fiction Novel"/>
    <n v="14.99"/>
    <n v="1"/>
    <n v="10"/>
    <n v="13.49"/>
    <n v="13.49"/>
    <s v="Credit Card"/>
    <x v="0"/>
    <n v="5"/>
    <n v="32"/>
    <s v="Dallas"/>
    <x v="2"/>
    <s v="Male"/>
  </r>
  <r>
    <s v="ORD-20025"/>
    <s v="CUST-5004"/>
    <d v="2023-01-20T00:00:00"/>
    <x v="6"/>
    <s v="Face Serum"/>
    <n v="39.99"/>
    <n v="4"/>
    <n v="10"/>
    <n v="35.99"/>
    <n v="143.96"/>
    <s v="Wallet"/>
    <x v="0"/>
    <m/>
    <n v="32"/>
    <s v="Dallas"/>
    <x v="2"/>
    <s v="Male"/>
  </r>
  <r>
    <s v="ORD-20026"/>
    <s v="CUST-5004"/>
    <d v="2024-03-13T00:00:00"/>
    <x v="6"/>
    <s v="Hair Mask"/>
    <n v="24.99"/>
    <n v="2"/>
    <n v="15"/>
    <n v="21.24"/>
    <n v="42.48"/>
    <s v="Wallet"/>
    <x v="0"/>
    <n v="4"/>
    <n v="32"/>
    <s v="Dallas"/>
    <x v="2"/>
    <s v="Male"/>
  </r>
  <r>
    <s v="ORD-20027"/>
    <s v="CUST-5004"/>
    <d v="2022-02-27T00:00:00"/>
    <x v="3"/>
    <s v="Yoga Pants"/>
    <n v="44.99"/>
    <n v="2"/>
    <n v="5"/>
    <n v="42.74"/>
    <n v="85.48"/>
    <s v="UPI"/>
    <x v="0"/>
    <n v="3"/>
    <n v="32"/>
    <s v="Dallas"/>
    <x v="2"/>
    <s v="Male"/>
  </r>
  <r>
    <s v="ORD-20028"/>
    <s v="CUST-5004"/>
    <d v="2022-03-01T00:00:00"/>
    <x v="3"/>
    <s v="Yoga Pants"/>
    <n v="44.99"/>
    <n v="1"/>
    <n v="0"/>
    <n v="44.99"/>
    <n v="44.99"/>
    <s v="Debit Card"/>
    <x v="0"/>
    <n v="5"/>
    <n v="32"/>
    <s v="Dallas"/>
    <x v="2"/>
    <s v="Male"/>
  </r>
  <r>
    <s v="ORD-20029"/>
    <s v="CUST-5004"/>
    <d v="2023-04-12T00:00:00"/>
    <x v="6"/>
    <s v="Face Serum"/>
    <n v="39.99"/>
    <n v="3"/>
    <n v="20"/>
    <n v="31.99"/>
    <n v="95.97"/>
    <s v="Credit Card"/>
    <x v="2"/>
    <m/>
    <n v="32"/>
    <s v="Dallas"/>
    <x v="2"/>
    <s v="Male"/>
  </r>
  <r>
    <s v="ORD-20030"/>
    <s v="CUST-5004"/>
    <d v="2023-06-16T00:00:00"/>
    <x v="5"/>
    <s v="Smart Watch"/>
    <n v="199.99"/>
    <n v="4"/>
    <n v="20"/>
    <n v="159.99"/>
    <n v="639.96"/>
    <s v="UPI"/>
    <x v="0"/>
    <n v="5"/>
    <n v="32"/>
    <s v="Dallas"/>
    <x v="2"/>
    <s v="Male"/>
  </r>
  <r>
    <s v="ORD-20031"/>
    <s v="CUST-5004"/>
    <d v="2022-10-06T00:00:00"/>
    <x v="1"/>
    <s v="Action Figure"/>
    <n v="19.989999999999998"/>
    <n v="4"/>
    <n v="0"/>
    <n v="19.989999999999998"/>
    <n v="79.959999999999994"/>
    <s v="Debit Card"/>
    <x v="0"/>
    <n v="5"/>
    <n v="32"/>
    <s v="Dallas"/>
    <x v="2"/>
    <s v="Male"/>
  </r>
  <r>
    <s v="ORD-20032"/>
    <s v="CUST-5005"/>
    <d v="2023-10-10T00:00:00"/>
    <x v="6"/>
    <s v="Moisturizer SPF 50"/>
    <n v="29.99"/>
    <n v="3"/>
    <n v="20"/>
    <n v="23.99"/>
    <n v="71.97"/>
    <s v="Wallet"/>
    <x v="0"/>
    <m/>
    <n v="24"/>
    <s v="Houston"/>
    <x v="2"/>
    <s v="Male"/>
  </r>
  <r>
    <s v="ORD-20033"/>
    <s v="CUST-5005"/>
    <d v="2024-10-10T00:00:00"/>
    <x v="3"/>
    <s v="Running Shoes"/>
    <n v="89.99"/>
    <n v="1"/>
    <n v="0"/>
    <n v="89.99"/>
    <n v="89.99"/>
    <s v="UPI"/>
    <x v="0"/>
    <n v="5"/>
    <n v="24"/>
    <s v="Houston"/>
    <x v="2"/>
    <s v="Male"/>
  </r>
  <r>
    <s v="ORD-20034"/>
    <s v="CUST-5005"/>
    <d v="2022-09-11T00:00:00"/>
    <x v="4"/>
    <s v="Jump Rope"/>
    <n v="14.99"/>
    <n v="2"/>
    <n v="0"/>
    <n v="14.99"/>
    <n v="29.98"/>
    <s v="Credit Card"/>
    <x v="0"/>
    <n v="3"/>
    <n v="24"/>
    <s v="Houston"/>
    <x v="2"/>
    <s v="Male"/>
  </r>
  <r>
    <s v="ORD-20035"/>
    <s v="CUST-5005"/>
    <d v="2022-11-13T00:00:00"/>
    <x v="0"/>
    <s v="Fiction Novel"/>
    <n v="14.99"/>
    <n v="1"/>
    <n v="15"/>
    <n v="12.74"/>
    <n v="12.74"/>
    <s v="UPI"/>
    <x v="0"/>
    <n v="5"/>
    <n v="24"/>
    <s v="Houston"/>
    <x v="2"/>
    <s v="Male"/>
  </r>
  <r>
    <s v="ORD-20036"/>
    <s v="CUST-5005"/>
    <d v="2023-10-21T00:00:00"/>
    <x v="6"/>
    <s v="Moisturizer SPF 50"/>
    <n v="29.99"/>
    <n v="1"/>
    <n v="20"/>
    <n v="23.99"/>
    <n v="23.99"/>
    <s v="PayPal"/>
    <x v="0"/>
    <n v="3"/>
    <n v="24"/>
    <s v="Houston"/>
    <x v="2"/>
    <s v="Male"/>
  </r>
  <r>
    <s v="ORD-20037"/>
    <s v="CUST-5005"/>
    <d v="2024-10-14T00:00:00"/>
    <x v="2"/>
    <s v="Air Fryer"/>
    <n v="89.99"/>
    <n v="2"/>
    <n v="20"/>
    <n v="71.989999999999995"/>
    <n v="143.97999999999999"/>
    <s v="Debit Card"/>
    <x v="0"/>
    <n v="5"/>
    <n v="24"/>
    <s v="Houston"/>
    <x v="2"/>
    <s v="Male"/>
  </r>
  <r>
    <s v="ORD-20038"/>
    <s v="CUST-5005"/>
    <d v="2023-01-13T00:00:00"/>
    <x v="5"/>
    <s v="Bluetooth Speaker"/>
    <n v="49.99"/>
    <n v="1"/>
    <n v="15"/>
    <n v="42.49"/>
    <n v="42.49"/>
    <s v="Wallet"/>
    <x v="0"/>
    <m/>
    <n v="24"/>
    <s v="Houston"/>
    <x v="2"/>
    <s v="Male"/>
  </r>
  <r>
    <s v="ORD-20039"/>
    <s v="CUST-5005"/>
    <d v="2023-03-24T00:00:00"/>
    <x v="5"/>
    <s v="Wireless Earbuds"/>
    <n v="79.989999999999995"/>
    <n v="3"/>
    <n v="5"/>
    <n v="75.989999999999995"/>
    <n v="227.97"/>
    <s v="Wallet"/>
    <x v="0"/>
    <n v="5"/>
    <n v="24"/>
    <s v="Houston"/>
    <x v="2"/>
    <s v="Male"/>
  </r>
  <r>
    <s v="ORD-20040"/>
    <s v="CUST-5005"/>
    <d v="2023-08-18T00:00:00"/>
    <x v="1"/>
    <s v="LEGO Classic Set"/>
    <n v="49.99"/>
    <n v="3"/>
    <n v="20"/>
    <n v="39.99"/>
    <n v="119.97"/>
    <s v="UPI"/>
    <x v="0"/>
    <m/>
    <n v="24"/>
    <s v="Houston"/>
    <x v="2"/>
    <s v="Male"/>
  </r>
  <r>
    <s v="ORD-20041"/>
    <s v="CUST-5006"/>
    <d v="2022-03-18T00:00:00"/>
    <x v="4"/>
    <s v="Resistance Bands"/>
    <n v="19.989999999999998"/>
    <n v="1"/>
    <n v="15"/>
    <n v="16.989999999999998"/>
    <n v="16.989999999999998"/>
    <s v="Debit Card"/>
    <x v="0"/>
    <n v="4"/>
    <n v="52"/>
    <s v="Los Angeles"/>
    <x v="2"/>
    <s v="Male"/>
  </r>
  <r>
    <s v="ORD-20042"/>
    <s v="CUST-5006"/>
    <d v="2024-07-10T00:00:00"/>
    <x v="3"/>
    <s v="Cotton T-Shirt"/>
    <n v="24.99"/>
    <n v="4"/>
    <n v="0"/>
    <n v="24.99"/>
    <n v="99.96"/>
    <s v="Credit Card"/>
    <x v="0"/>
    <m/>
    <n v="52"/>
    <s v="Los Angeles"/>
    <x v="2"/>
    <s v="Male"/>
  </r>
  <r>
    <s v="ORD-20043"/>
    <s v="CUST-5006"/>
    <d v="2024-01-03T00:00:00"/>
    <x v="0"/>
    <s v="Data Science Handbook"/>
    <n v="49.99"/>
    <n v="1"/>
    <n v="0"/>
    <n v="49.99"/>
    <n v="49.99"/>
    <s v="Wallet"/>
    <x v="0"/>
    <n v="4"/>
    <n v="52"/>
    <s v="Los Angeles"/>
    <x v="2"/>
    <s v="Male"/>
  </r>
  <r>
    <s v="ORD-20044"/>
    <s v="CUST-5006"/>
    <d v="2022-08-27T00:00:00"/>
    <x v="0"/>
    <s v="Business Analytics"/>
    <n v="39.99"/>
    <n v="4"/>
    <n v="15"/>
    <n v="33.99"/>
    <n v="135.96"/>
    <s v="Debit Card"/>
    <x v="0"/>
    <n v="5"/>
    <n v="52"/>
    <s v="Los Angeles"/>
    <x v="2"/>
    <s v="Male"/>
  </r>
  <r>
    <s v="ORD-20045"/>
    <s v="CUST-5006"/>
    <d v="2022-06-23T00:00:00"/>
    <x v="4"/>
    <s v="Jump Rope"/>
    <n v="14.99"/>
    <n v="2"/>
    <n v="15"/>
    <n v="12.74"/>
    <n v="25.48"/>
    <s v="Credit Card"/>
    <x v="0"/>
    <n v="5"/>
    <n v="52"/>
    <s v="Los Angeles"/>
    <x v="2"/>
    <s v="Male"/>
  </r>
  <r>
    <s v="ORD-20046"/>
    <s v="CUST-5006"/>
    <d v="2024-08-26T00:00:00"/>
    <x v="2"/>
    <s v="Air Fryer"/>
    <n v="89.99"/>
    <n v="1"/>
    <n v="15"/>
    <n v="76.489999999999995"/>
    <n v="76.489999999999995"/>
    <s v="Debit Card"/>
    <x v="2"/>
    <n v="5"/>
    <n v="52"/>
    <s v="Los Angeles"/>
    <x v="2"/>
    <s v="Male"/>
  </r>
  <r>
    <s v="ORD-20047"/>
    <s v="CUST-5006"/>
    <d v="2022-08-19T00:00:00"/>
    <x v="1"/>
    <s v="Action Figure"/>
    <n v="19.989999999999998"/>
    <n v="4"/>
    <n v="0"/>
    <n v="19.989999999999998"/>
    <n v="79.959999999999994"/>
    <s v="Debit Card"/>
    <x v="0"/>
    <n v="5"/>
    <n v="52"/>
    <s v="Los Angeles"/>
    <x v="2"/>
    <s v="Male"/>
  </r>
  <r>
    <s v="ORD-20048"/>
    <s v="CUST-5006"/>
    <d v="2023-03-18T00:00:00"/>
    <x v="2"/>
    <s v="Coffee Maker"/>
    <n v="59.99"/>
    <n v="4"/>
    <n v="0"/>
    <n v="59.99"/>
    <n v="239.96"/>
    <s v="UPI"/>
    <x v="0"/>
    <n v="3"/>
    <n v="52"/>
    <s v="Los Angeles"/>
    <x v="2"/>
    <s v="Male"/>
  </r>
  <r>
    <s v="ORD-20049"/>
    <s v="CUST-5006"/>
    <d v="2022-06-11T00:00:00"/>
    <x v="4"/>
    <s v="Yoga Mat"/>
    <n v="29.99"/>
    <n v="4"/>
    <n v="0"/>
    <n v="29.99"/>
    <n v="119.96"/>
    <s v="PayPal"/>
    <x v="0"/>
    <n v="3"/>
    <n v="52"/>
    <s v="Los Angeles"/>
    <x v="2"/>
    <s v="Male"/>
  </r>
  <r>
    <s v="ORD-20050"/>
    <s v="CUST-5006"/>
    <d v="2022-02-27T00:00:00"/>
    <x v="2"/>
    <s v="Non-stick Pan Set"/>
    <n v="44.99"/>
    <n v="2"/>
    <n v="0"/>
    <n v="44.99"/>
    <n v="89.98"/>
    <s v="Debit Card"/>
    <x v="0"/>
    <m/>
    <n v="52"/>
    <s v="Los Angeles"/>
    <x v="2"/>
    <s v="Male"/>
  </r>
  <r>
    <s v="ORD-20051"/>
    <s v="CUST-5006"/>
    <d v="2023-05-24T00:00:00"/>
    <x v="2"/>
    <s v="Air Fryer"/>
    <n v="89.99"/>
    <n v="1"/>
    <n v="0"/>
    <n v="89.99"/>
    <n v="89.99"/>
    <s v="Credit Card"/>
    <x v="3"/>
    <m/>
    <n v="52"/>
    <s v="Los Angeles"/>
    <x v="2"/>
    <s v="Male"/>
  </r>
  <r>
    <s v="ORD-20052"/>
    <s v="CUST-5006"/>
    <d v="2023-07-24T00:00:00"/>
    <x v="4"/>
    <s v="Jump Rope"/>
    <n v="14.99"/>
    <n v="2"/>
    <n v="5"/>
    <n v="14.24"/>
    <n v="28.48"/>
    <s v="Wallet"/>
    <x v="4"/>
    <n v="5"/>
    <n v="52"/>
    <s v="Los Angeles"/>
    <x v="2"/>
    <s v="Male"/>
  </r>
  <r>
    <s v="ORD-20053"/>
    <s v="CUST-5006"/>
    <d v="2024-04-07T00:00:00"/>
    <x v="6"/>
    <s v="Moisturizer SPF 50"/>
    <n v="29.99"/>
    <n v="2"/>
    <n v="10"/>
    <n v="26.99"/>
    <n v="53.98"/>
    <s v="PayPal"/>
    <x v="0"/>
    <m/>
    <n v="52"/>
    <s v="Los Angeles"/>
    <x v="2"/>
    <s v="Male"/>
  </r>
  <r>
    <s v="ORD-20054"/>
    <s v="CUST-5007"/>
    <d v="2022-03-19T00:00:00"/>
    <x v="4"/>
    <s v="Water Bottle"/>
    <n v="24.99"/>
    <n v="2"/>
    <n v="0"/>
    <n v="24.99"/>
    <n v="49.98"/>
    <s v="Wallet"/>
    <x v="0"/>
    <m/>
    <n v="43"/>
    <s v="Dallas"/>
    <x v="3"/>
    <s v="Male"/>
  </r>
  <r>
    <s v="ORD-20055"/>
    <s v="CUST-5007"/>
    <d v="2024-04-05T00:00:00"/>
    <x v="4"/>
    <s v="Resistance Bands"/>
    <n v="19.989999999999998"/>
    <n v="2"/>
    <n v="0"/>
    <n v="19.989999999999998"/>
    <n v="39.979999999999997"/>
    <s v="Debit Card"/>
    <x v="0"/>
    <n v="5"/>
    <n v="43"/>
    <s v="Dallas"/>
    <x v="3"/>
    <s v="Male"/>
  </r>
  <r>
    <s v="ORD-20056"/>
    <s v="CUST-5007"/>
    <d v="2023-12-12T00:00:00"/>
    <x v="4"/>
    <s v="Water Bottle"/>
    <n v="24.99"/>
    <n v="3"/>
    <n v="20"/>
    <n v="19.989999999999998"/>
    <n v="59.97"/>
    <s v="UPI"/>
    <x v="0"/>
    <m/>
    <n v="43"/>
    <s v="Dallas"/>
    <x v="3"/>
    <s v="Male"/>
  </r>
  <r>
    <s v="ORD-20057"/>
    <s v="CUST-5007"/>
    <d v="2022-12-08T00:00:00"/>
    <x v="3"/>
    <s v="Yoga Pants"/>
    <n v="44.99"/>
    <n v="4"/>
    <n v="20"/>
    <n v="35.99"/>
    <n v="143.96"/>
    <s v="UPI"/>
    <x v="0"/>
    <m/>
    <n v="43"/>
    <s v="Dallas"/>
    <x v="3"/>
    <s v="Male"/>
  </r>
  <r>
    <s v="ORD-20058"/>
    <s v="CUST-5007"/>
    <d v="2023-06-23T00:00:00"/>
    <x v="2"/>
    <s v="Air Fryer"/>
    <n v="89.99"/>
    <n v="4"/>
    <n v="0"/>
    <n v="89.99"/>
    <n v="359.96"/>
    <s v="Debit Card"/>
    <x v="4"/>
    <n v="5"/>
    <n v="43"/>
    <s v="Dallas"/>
    <x v="3"/>
    <s v="Male"/>
  </r>
  <r>
    <s v="ORD-20059"/>
    <s v="CUST-5007"/>
    <d v="2022-02-15T00:00:00"/>
    <x v="3"/>
    <s v="Denim Jacket"/>
    <n v="69.989999999999995"/>
    <n v="2"/>
    <n v="20"/>
    <n v="55.99"/>
    <n v="111.98"/>
    <s v="Credit Card"/>
    <x v="0"/>
    <m/>
    <n v="43"/>
    <s v="Dallas"/>
    <x v="3"/>
    <s v="Male"/>
  </r>
  <r>
    <s v="ORD-20060"/>
    <s v="CUST-5007"/>
    <d v="2022-04-19T00:00:00"/>
    <x v="0"/>
    <s v="Fiction Novel"/>
    <n v="14.99"/>
    <n v="1"/>
    <n v="10"/>
    <n v="13.49"/>
    <n v="13.49"/>
    <s v="Wallet"/>
    <x v="0"/>
    <n v="5"/>
    <n v="43"/>
    <s v="Dallas"/>
    <x v="3"/>
    <s v="Male"/>
  </r>
  <r>
    <s v="ORD-20061"/>
    <s v="CUST-5007"/>
    <d v="2024-11-10T00:00:00"/>
    <x v="6"/>
    <s v="Hair Mask"/>
    <n v="24.99"/>
    <n v="4"/>
    <n v="15"/>
    <n v="21.24"/>
    <n v="84.96"/>
    <s v="Credit Card"/>
    <x v="0"/>
    <m/>
    <n v="43"/>
    <s v="Dallas"/>
    <x v="3"/>
    <s v="Male"/>
  </r>
  <r>
    <s v="ORD-20062"/>
    <s v="CUST-5007"/>
    <d v="2023-07-11T00:00:00"/>
    <x v="4"/>
    <s v="Jump Rope"/>
    <n v="14.99"/>
    <n v="2"/>
    <n v="20"/>
    <n v="11.99"/>
    <n v="23.98"/>
    <s v="Debit Card"/>
    <x v="0"/>
    <n v="4"/>
    <n v="43"/>
    <s v="Dallas"/>
    <x v="3"/>
    <s v="Male"/>
  </r>
  <r>
    <s v="ORD-20063"/>
    <s v="CUST-5007"/>
    <d v="2022-02-18T00:00:00"/>
    <x v="6"/>
    <s v="Moisturizer SPF 50"/>
    <n v="29.99"/>
    <n v="2"/>
    <n v="0"/>
    <n v="29.99"/>
    <n v="59.98"/>
    <s v="Debit Card"/>
    <x v="0"/>
    <n v="5"/>
    <n v="43"/>
    <s v="Dallas"/>
    <x v="3"/>
    <s v="Male"/>
  </r>
  <r>
    <s v="ORD-20064"/>
    <s v="CUST-5007"/>
    <d v="2024-04-12T00:00:00"/>
    <x v="1"/>
    <s v="Action Figure"/>
    <n v="19.989999999999998"/>
    <n v="2"/>
    <n v="10"/>
    <n v="17.989999999999998"/>
    <n v="35.979999999999997"/>
    <s v="Credit Card"/>
    <x v="0"/>
    <n v="3"/>
    <n v="43"/>
    <s v="Dallas"/>
    <x v="3"/>
    <s v="Male"/>
  </r>
  <r>
    <s v="ORD-20065"/>
    <s v="CUST-5008"/>
    <d v="2022-10-27T00:00:00"/>
    <x v="5"/>
    <s v="USB-C Hub"/>
    <n v="34.99"/>
    <n v="3"/>
    <n v="15"/>
    <n v="29.74"/>
    <n v="89.22"/>
    <s v="Credit Card"/>
    <x v="0"/>
    <m/>
    <n v="21"/>
    <s v="San Antonio"/>
    <x v="2"/>
    <s v="Female"/>
  </r>
  <r>
    <s v="ORD-20066"/>
    <s v="CUST-5008"/>
    <d v="2023-08-06T00:00:00"/>
    <x v="5"/>
    <s v="Smart Watch"/>
    <n v="199.99"/>
    <n v="4"/>
    <n v="0"/>
    <n v="199.99"/>
    <n v="799.96"/>
    <s v="Wallet"/>
    <x v="0"/>
    <n v="5"/>
    <n v="21"/>
    <s v="San Antonio"/>
    <x v="2"/>
    <s v="Female"/>
  </r>
  <r>
    <s v="ORD-20067"/>
    <s v="CUST-5008"/>
    <d v="2022-03-09T00:00:00"/>
    <x v="1"/>
    <s v="Remote Control Car"/>
    <n v="39.99"/>
    <n v="4"/>
    <n v="5"/>
    <n v="37.99"/>
    <n v="151.96"/>
    <s v="PayPal"/>
    <x v="0"/>
    <n v="5"/>
    <n v="21"/>
    <s v="San Antonio"/>
    <x v="2"/>
    <s v="Female"/>
  </r>
  <r>
    <s v="ORD-20068"/>
    <s v="CUST-5008"/>
    <d v="2023-08-02T00:00:00"/>
    <x v="2"/>
    <s v="Blender"/>
    <n v="64.989999999999995"/>
    <n v="3"/>
    <n v="0"/>
    <n v="64.989999999999995"/>
    <n v="194.97"/>
    <s v="PayPal"/>
    <x v="0"/>
    <n v="5"/>
    <n v="21"/>
    <s v="San Antonio"/>
    <x v="2"/>
    <s v="Female"/>
  </r>
  <r>
    <s v="ORD-20069"/>
    <s v="CUST-5008"/>
    <d v="2023-11-06T00:00:00"/>
    <x v="1"/>
    <s v="Remote Control Car"/>
    <n v="39.99"/>
    <n v="4"/>
    <n v="0"/>
    <n v="39.99"/>
    <n v="159.96"/>
    <s v="Debit Card"/>
    <x v="0"/>
    <n v="4"/>
    <n v="21"/>
    <s v="San Antonio"/>
    <x v="2"/>
    <s v="Female"/>
  </r>
  <r>
    <s v="ORD-20070"/>
    <s v="CUST-5008"/>
    <d v="2024-05-01T00:00:00"/>
    <x v="0"/>
    <s v="Business Analytics"/>
    <n v="39.99"/>
    <n v="3"/>
    <n v="5"/>
    <n v="37.99"/>
    <n v="113.97"/>
    <s v="Credit Card"/>
    <x v="0"/>
    <m/>
    <n v="21"/>
    <s v="San Antonio"/>
    <x v="2"/>
    <s v="Female"/>
  </r>
  <r>
    <s v="ORD-20071"/>
    <s v="CUST-5008"/>
    <d v="2022-12-06T00:00:00"/>
    <x v="0"/>
    <s v="Python for Beginners"/>
    <n v="29.99"/>
    <n v="3"/>
    <n v="0"/>
    <n v="29.99"/>
    <n v="89.97"/>
    <s v="UPI"/>
    <x v="0"/>
    <n v="5"/>
    <n v="21"/>
    <s v="San Antonio"/>
    <x v="2"/>
    <s v="Female"/>
  </r>
  <r>
    <s v="ORD-20072"/>
    <s v="CUST-5008"/>
    <d v="2022-11-13T00:00:00"/>
    <x v="0"/>
    <s v="Python for Beginners"/>
    <n v="29.99"/>
    <n v="3"/>
    <n v="0"/>
    <n v="29.99"/>
    <n v="89.97"/>
    <s v="UPI"/>
    <x v="0"/>
    <m/>
    <n v="21"/>
    <s v="San Antonio"/>
    <x v="2"/>
    <s v="Female"/>
  </r>
  <r>
    <s v="ORD-20073"/>
    <s v="CUST-5009"/>
    <d v="2022-05-25T00:00:00"/>
    <x v="1"/>
    <s v="Puzzle 1000pcs"/>
    <n v="24.99"/>
    <n v="1"/>
    <n v="15"/>
    <n v="21.24"/>
    <n v="21.24"/>
    <s v="Debit Card"/>
    <x v="0"/>
    <n v="4"/>
    <n v="54"/>
    <s v="Philadelphia"/>
    <x v="3"/>
    <s v="Female"/>
  </r>
  <r>
    <s v="ORD-20074"/>
    <s v="CUST-5009"/>
    <d v="2023-03-20T00:00:00"/>
    <x v="6"/>
    <s v="Lip Balm Set"/>
    <n v="14.99"/>
    <n v="4"/>
    <n v="20"/>
    <n v="11.99"/>
    <n v="47.96"/>
    <s v="Wallet"/>
    <x v="0"/>
    <n v="4"/>
    <n v="54"/>
    <s v="Philadelphia"/>
    <x v="3"/>
    <s v="Female"/>
  </r>
  <r>
    <s v="ORD-20075"/>
    <s v="CUST-5009"/>
    <d v="2023-04-04T00:00:00"/>
    <x v="1"/>
    <s v="Action Figure"/>
    <n v="19.989999999999998"/>
    <n v="1"/>
    <n v="15"/>
    <n v="16.989999999999998"/>
    <n v="16.989999999999998"/>
    <s v="UPI"/>
    <x v="0"/>
    <n v="4"/>
    <n v="54"/>
    <s v="Philadelphia"/>
    <x v="3"/>
    <s v="Female"/>
  </r>
  <r>
    <s v="ORD-20076"/>
    <s v="CUST-5009"/>
    <d v="2024-01-20T00:00:00"/>
    <x v="1"/>
    <s v="Remote Control Car"/>
    <n v="39.99"/>
    <n v="4"/>
    <n v="20"/>
    <n v="31.99"/>
    <n v="127.96"/>
    <s v="UPI"/>
    <x v="4"/>
    <n v="5"/>
    <n v="54"/>
    <s v="Philadelphia"/>
    <x v="3"/>
    <s v="Female"/>
  </r>
  <r>
    <s v="ORD-20077"/>
    <s v="CUST-5009"/>
    <d v="2023-06-22T00:00:00"/>
    <x v="2"/>
    <s v="Blender"/>
    <n v="64.989999999999995"/>
    <n v="1"/>
    <n v="0"/>
    <n v="64.989999999999995"/>
    <n v="64.989999999999995"/>
    <s v="PayPal"/>
    <x v="3"/>
    <n v="4"/>
    <n v="54"/>
    <s v="Philadelphia"/>
    <x v="3"/>
    <s v="Female"/>
  </r>
  <r>
    <s v="ORD-20078"/>
    <s v="CUST-5009"/>
    <d v="2022-02-13T00:00:00"/>
    <x v="6"/>
    <s v="Hair Mask"/>
    <n v="24.99"/>
    <n v="2"/>
    <n v="0"/>
    <n v="24.99"/>
    <n v="49.98"/>
    <s v="UPI"/>
    <x v="0"/>
    <n v="5"/>
    <n v="54"/>
    <s v="Philadelphia"/>
    <x v="3"/>
    <s v="Female"/>
  </r>
  <r>
    <s v="ORD-20079"/>
    <s v="CUST-5009"/>
    <d v="2023-07-24T00:00:00"/>
    <x v="1"/>
    <s v="LEGO Classic Set"/>
    <n v="49.99"/>
    <n v="3"/>
    <n v="0"/>
    <n v="49.99"/>
    <n v="149.97"/>
    <s v="Wallet"/>
    <x v="0"/>
    <n v="5"/>
    <n v="54"/>
    <s v="Philadelphia"/>
    <x v="3"/>
    <s v="Female"/>
  </r>
  <r>
    <s v="ORD-20080"/>
    <s v="CUST-5009"/>
    <d v="2023-06-27T00:00:00"/>
    <x v="5"/>
    <s v="USB-C Hub"/>
    <n v="34.99"/>
    <n v="2"/>
    <n v="0"/>
    <n v="34.99"/>
    <n v="69.98"/>
    <s v="PayPal"/>
    <x v="0"/>
    <n v="3"/>
    <n v="54"/>
    <s v="Philadelphia"/>
    <x v="3"/>
    <s v="Female"/>
  </r>
  <r>
    <s v="ORD-20081"/>
    <s v="CUST-5009"/>
    <d v="2022-04-13T00:00:00"/>
    <x v="2"/>
    <s v="Coffee Maker"/>
    <n v="59.99"/>
    <n v="1"/>
    <n v="15"/>
    <n v="50.99"/>
    <n v="50.99"/>
    <s v="Wallet"/>
    <x v="0"/>
    <n v="4"/>
    <n v="54"/>
    <s v="Philadelphia"/>
    <x v="3"/>
    <s v="Female"/>
  </r>
  <r>
    <s v="ORD-20082"/>
    <s v="CUST-5009"/>
    <d v="2024-11-17T00:00:00"/>
    <x v="6"/>
    <s v="Hair Mask"/>
    <n v="24.99"/>
    <n v="3"/>
    <n v="20"/>
    <n v="19.989999999999998"/>
    <n v="59.97"/>
    <s v="UPI"/>
    <x v="0"/>
    <n v="5"/>
    <n v="54"/>
    <s v="Philadelphia"/>
    <x v="3"/>
    <s v="Female"/>
  </r>
  <r>
    <s v="ORD-20083"/>
    <s v="CUST-5009"/>
    <d v="2023-04-02T00:00:00"/>
    <x v="2"/>
    <s v="Air Fryer"/>
    <n v="89.99"/>
    <n v="3"/>
    <n v="5"/>
    <n v="85.49"/>
    <n v="256.47000000000003"/>
    <s v="UPI"/>
    <x v="0"/>
    <n v="5"/>
    <n v="54"/>
    <s v="Philadelphia"/>
    <x v="3"/>
    <s v="Female"/>
  </r>
  <r>
    <s v="ORD-20084"/>
    <s v="CUST-5009"/>
    <d v="2024-07-18T00:00:00"/>
    <x v="3"/>
    <s v="Running Shoes"/>
    <n v="89.99"/>
    <n v="3"/>
    <n v="5"/>
    <n v="85.49"/>
    <n v="256.47000000000003"/>
    <s v="PayPal"/>
    <x v="0"/>
    <n v="5"/>
    <n v="54"/>
    <s v="Philadelphia"/>
    <x v="3"/>
    <s v="Female"/>
  </r>
  <r>
    <s v="ORD-20085"/>
    <s v="CUST-5009"/>
    <d v="2022-12-19T00:00:00"/>
    <x v="0"/>
    <s v="Business Analytics"/>
    <n v="39.99"/>
    <n v="4"/>
    <n v="0"/>
    <n v="39.99"/>
    <n v="159.96"/>
    <s v="Credit Card"/>
    <x v="0"/>
    <m/>
    <n v="54"/>
    <s v="Philadelphia"/>
    <x v="3"/>
    <s v="Female"/>
  </r>
  <r>
    <s v="ORD-20086"/>
    <s v="CUST-5009"/>
    <d v="2024-05-12T00:00:00"/>
    <x v="5"/>
    <s v="Smart Watch"/>
    <n v="199.99"/>
    <n v="4"/>
    <n v="10"/>
    <n v="179.99"/>
    <n v="719.96"/>
    <s v="Debit Card"/>
    <x v="0"/>
    <n v="4"/>
    <n v="54"/>
    <s v="Philadelphia"/>
    <x v="3"/>
    <s v="Female"/>
  </r>
  <r>
    <s v="ORD-20087"/>
    <s v="CUST-5010"/>
    <d v="2022-05-19T00:00:00"/>
    <x v="0"/>
    <s v="Python for Beginners"/>
    <n v="29.99"/>
    <n v="1"/>
    <n v="20"/>
    <n v="23.99"/>
    <n v="23.99"/>
    <s v="Debit Card"/>
    <x v="0"/>
    <n v="5"/>
    <n v="23"/>
    <s v="Jacksonville"/>
    <x v="2"/>
    <s v="Male"/>
  </r>
  <r>
    <s v="ORD-20088"/>
    <s v="CUST-5010"/>
    <d v="2024-10-13T00:00:00"/>
    <x v="2"/>
    <s v="Air Fryer"/>
    <n v="89.99"/>
    <n v="3"/>
    <n v="0"/>
    <n v="89.99"/>
    <n v="269.97000000000003"/>
    <s v="PayPal"/>
    <x v="0"/>
    <n v="3"/>
    <n v="23"/>
    <s v="Jacksonville"/>
    <x v="2"/>
    <s v="Male"/>
  </r>
  <r>
    <s v="ORD-20089"/>
    <s v="CUST-5010"/>
    <d v="2022-10-01T00:00:00"/>
    <x v="5"/>
    <s v="Bluetooth Speaker"/>
    <n v="49.99"/>
    <n v="2"/>
    <n v="5"/>
    <n v="47.49"/>
    <n v="94.98"/>
    <s v="UPI"/>
    <x v="0"/>
    <n v="2"/>
    <n v="23"/>
    <s v="Jacksonville"/>
    <x v="2"/>
    <s v="Male"/>
  </r>
  <r>
    <s v="ORD-20090"/>
    <s v="CUST-5010"/>
    <d v="2023-05-17T00:00:00"/>
    <x v="6"/>
    <s v="Moisturizer SPF 50"/>
    <n v="29.99"/>
    <n v="3"/>
    <n v="0"/>
    <n v="29.99"/>
    <n v="89.97"/>
    <s v="PayPal"/>
    <x v="0"/>
    <n v="3"/>
    <n v="23"/>
    <s v="Jacksonville"/>
    <x v="2"/>
    <s v="Male"/>
  </r>
  <r>
    <s v="ORD-20091"/>
    <s v="CUST-5010"/>
    <d v="2023-01-16T00:00:00"/>
    <x v="1"/>
    <s v="Action Figure"/>
    <n v="19.989999999999998"/>
    <n v="2"/>
    <n v="5"/>
    <n v="18.989999999999998"/>
    <n v="37.979999999999997"/>
    <s v="PayPal"/>
    <x v="0"/>
    <n v="4"/>
    <n v="23"/>
    <s v="Jacksonville"/>
    <x v="2"/>
    <s v="Male"/>
  </r>
  <r>
    <s v="ORD-20092"/>
    <s v="CUST-5010"/>
    <d v="2023-05-15T00:00:00"/>
    <x v="1"/>
    <s v="Action Figure"/>
    <n v="19.989999999999998"/>
    <n v="4"/>
    <n v="10"/>
    <n v="17.989999999999998"/>
    <n v="71.959999999999994"/>
    <s v="PayPal"/>
    <x v="0"/>
    <n v="5"/>
    <n v="23"/>
    <s v="Jacksonville"/>
    <x v="2"/>
    <s v="Male"/>
  </r>
  <r>
    <s v="ORD-20093"/>
    <s v="CUST-5011"/>
    <d v="2024-09-18T00:00:00"/>
    <x v="6"/>
    <s v="Moisturizer SPF 50"/>
    <n v="29.99"/>
    <n v="2"/>
    <n v="5"/>
    <n v="28.49"/>
    <n v="56.98"/>
    <s v="Credit Card"/>
    <x v="0"/>
    <n v="4"/>
    <n v="48"/>
    <s v="Philadelphia"/>
    <x v="1"/>
    <s v="Male"/>
  </r>
  <r>
    <s v="ORD-20094"/>
    <s v="CUST-5011"/>
    <d v="2024-12-09T00:00:00"/>
    <x v="6"/>
    <s v="Moisturizer SPF 50"/>
    <n v="29.99"/>
    <n v="3"/>
    <n v="0"/>
    <n v="29.99"/>
    <n v="89.97"/>
    <s v="PayPal"/>
    <x v="0"/>
    <n v="3"/>
    <n v="48"/>
    <s v="Philadelphia"/>
    <x v="1"/>
    <s v="Male"/>
  </r>
  <r>
    <s v="ORD-20095"/>
    <s v="CUST-5011"/>
    <d v="2023-09-20T00:00:00"/>
    <x v="2"/>
    <s v="Non-stick Pan Set"/>
    <n v="44.99"/>
    <n v="2"/>
    <n v="15"/>
    <n v="38.24"/>
    <n v="76.48"/>
    <s v="PayPal"/>
    <x v="0"/>
    <n v="3"/>
    <n v="48"/>
    <s v="Philadelphia"/>
    <x v="1"/>
    <s v="Male"/>
  </r>
  <r>
    <s v="ORD-20096"/>
    <s v="CUST-5011"/>
    <d v="2022-07-14T00:00:00"/>
    <x v="4"/>
    <s v="Water Bottle"/>
    <n v="24.99"/>
    <n v="3"/>
    <n v="20"/>
    <n v="19.989999999999998"/>
    <n v="59.97"/>
    <s v="Wallet"/>
    <x v="0"/>
    <n v="3"/>
    <n v="48"/>
    <s v="Philadelphia"/>
    <x v="1"/>
    <s v="Male"/>
  </r>
  <r>
    <s v="ORD-20097"/>
    <s v="CUST-5012"/>
    <d v="2023-07-21T00:00:00"/>
    <x v="4"/>
    <s v="Yoga Mat"/>
    <n v="29.99"/>
    <n v="2"/>
    <n v="10"/>
    <n v="26.99"/>
    <n v="53.98"/>
    <s v="Wallet"/>
    <x v="0"/>
    <n v="4"/>
    <n v="25"/>
    <s v="New York"/>
    <x v="2"/>
    <s v="Female"/>
  </r>
  <r>
    <s v="ORD-20098"/>
    <s v="CUST-5012"/>
    <d v="2022-11-28T00:00:00"/>
    <x v="6"/>
    <s v="Face Serum"/>
    <n v="39.99"/>
    <n v="3"/>
    <n v="0"/>
    <n v="39.99"/>
    <n v="119.97"/>
    <s v="Wallet"/>
    <x v="0"/>
    <n v="4"/>
    <n v="25"/>
    <s v="New York"/>
    <x v="2"/>
    <s v="Female"/>
  </r>
  <r>
    <s v="ORD-20099"/>
    <s v="CUST-5012"/>
    <d v="2024-08-13T00:00:00"/>
    <x v="1"/>
    <s v="Remote Control Car"/>
    <n v="39.99"/>
    <n v="2"/>
    <n v="0"/>
    <n v="39.99"/>
    <n v="79.98"/>
    <s v="PayPal"/>
    <x v="0"/>
    <n v="5"/>
    <n v="25"/>
    <s v="New York"/>
    <x v="2"/>
    <s v="Female"/>
  </r>
  <r>
    <s v="ORD-20100"/>
    <s v="CUST-5012"/>
    <d v="2024-12-09T00:00:00"/>
    <x v="4"/>
    <s v="Resistance Bands"/>
    <n v="19.989999999999998"/>
    <n v="3"/>
    <n v="5"/>
    <n v="18.989999999999998"/>
    <n v="56.97"/>
    <s v="UPI"/>
    <x v="0"/>
    <n v="5"/>
    <n v="25"/>
    <s v="New York"/>
    <x v="2"/>
    <s v="Female"/>
  </r>
  <r>
    <s v="ORD-20101"/>
    <s v="CUST-5012"/>
    <d v="2022-08-06T00:00:00"/>
    <x v="2"/>
    <s v="Non-stick Pan Set"/>
    <n v="44.99"/>
    <n v="3"/>
    <n v="0"/>
    <n v="44.99"/>
    <n v="134.97"/>
    <s v="UPI"/>
    <x v="0"/>
    <n v="5"/>
    <n v="25"/>
    <s v="New York"/>
    <x v="2"/>
    <s v="Female"/>
  </r>
  <r>
    <s v="ORD-20102"/>
    <s v="CUST-5012"/>
    <d v="2023-09-28T00:00:00"/>
    <x v="3"/>
    <s v="Denim Jacket"/>
    <n v="69.989999999999995"/>
    <n v="1"/>
    <n v="0"/>
    <n v="69.989999999999995"/>
    <n v="69.989999999999995"/>
    <s v="Wallet"/>
    <x v="0"/>
    <m/>
    <n v="25"/>
    <s v="New York"/>
    <x v="2"/>
    <s v="Female"/>
  </r>
  <r>
    <s v="ORD-20103"/>
    <s v="CUST-5012"/>
    <d v="2022-01-16T00:00:00"/>
    <x v="4"/>
    <s v="Water Bottle"/>
    <n v="24.99"/>
    <n v="1"/>
    <n v="0"/>
    <n v="24.99"/>
    <n v="24.99"/>
    <s v="UPI"/>
    <x v="0"/>
    <n v="3"/>
    <n v="25"/>
    <s v="New York"/>
    <x v="2"/>
    <s v="Female"/>
  </r>
  <r>
    <s v="ORD-20104"/>
    <s v="CUST-5012"/>
    <d v="2024-02-11T00:00:00"/>
    <x v="0"/>
    <s v="Fiction Novel"/>
    <n v="14.99"/>
    <n v="3"/>
    <n v="10"/>
    <n v="13.49"/>
    <n v="40.47"/>
    <s v="Credit Card"/>
    <x v="0"/>
    <n v="3"/>
    <n v="25"/>
    <s v="New York"/>
    <x v="2"/>
    <s v="Female"/>
  </r>
  <r>
    <s v="ORD-20105"/>
    <s v="CUST-5012"/>
    <d v="2024-02-05T00:00:00"/>
    <x v="0"/>
    <s v="Python for Beginners"/>
    <n v="29.99"/>
    <n v="3"/>
    <n v="0"/>
    <n v="29.99"/>
    <n v="89.97"/>
    <s v="UPI"/>
    <x v="4"/>
    <n v="4"/>
    <n v="25"/>
    <s v="New York"/>
    <x v="2"/>
    <s v="Female"/>
  </r>
  <r>
    <s v="ORD-20106"/>
    <s v="CUST-5012"/>
    <d v="2023-09-01T00:00:00"/>
    <x v="3"/>
    <s v="Yoga Pants"/>
    <n v="44.99"/>
    <n v="3"/>
    <n v="0"/>
    <n v="44.99"/>
    <n v="134.97"/>
    <s v="Wallet"/>
    <x v="4"/>
    <m/>
    <n v="25"/>
    <s v="New York"/>
    <x v="2"/>
    <s v="Female"/>
  </r>
  <r>
    <s v="ORD-20107"/>
    <s v="CUST-5012"/>
    <d v="2022-12-26T00:00:00"/>
    <x v="2"/>
    <s v="Blender"/>
    <n v="64.989999999999995"/>
    <n v="2"/>
    <n v="10"/>
    <n v="58.49"/>
    <n v="116.98"/>
    <s v="UPI"/>
    <x v="0"/>
    <n v="4"/>
    <n v="25"/>
    <s v="New York"/>
    <x v="2"/>
    <s v="Female"/>
  </r>
  <r>
    <s v="ORD-20108"/>
    <s v="CUST-5012"/>
    <d v="2022-07-01T00:00:00"/>
    <x v="1"/>
    <s v="LEGO Classic Set"/>
    <n v="49.99"/>
    <n v="2"/>
    <n v="10"/>
    <n v="44.99"/>
    <n v="89.98"/>
    <s v="Credit Card"/>
    <x v="0"/>
    <n v="5"/>
    <n v="25"/>
    <s v="New York"/>
    <x v="2"/>
    <s v="Female"/>
  </r>
  <r>
    <s v="ORD-20109"/>
    <s v="CUST-5013"/>
    <d v="2023-10-10T00:00:00"/>
    <x v="3"/>
    <s v="Yoga Pants"/>
    <n v="44.99"/>
    <n v="1"/>
    <n v="0"/>
    <n v="44.99"/>
    <n v="44.99"/>
    <s v="Credit Card"/>
    <x v="0"/>
    <n v="5"/>
    <n v="28"/>
    <s v="Chicago"/>
    <x v="2"/>
    <s v="Male"/>
  </r>
  <r>
    <s v="ORD-20110"/>
    <s v="CUST-5013"/>
    <d v="2023-09-19T00:00:00"/>
    <x v="4"/>
    <s v="Water Bottle"/>
    <n v="24.99"/>
    <n v="3"/>
    <n v="5"/>
    <n v="23.74"/>
    <n v="71.22"/>
    <s v="UPI"/>
    <x v="0"/>
    <m/>
    <n v="28"/>
    <s v="Chicago"/>
    <x v="2"/>
    <s v="Male"/>
  </r>
  <r>
    <s v="ORD-20111"/>
    <s v="CUST-5013"/>
    <d v="2024-04-14T00:00:00"/>
    <x v="3"/>
    <s v="Yoga Pants"/>
    <n v="44.99"/>
    <n v="4"/>
    <n v="0"/>
    <n v="44.99"/>
    <n v="179.96"/>
    <s v="Wallet"/>
    <x v="0"/>
    <n v="5"/>
    <n v="28"/>
    <s v="Chicago"/>
    <x v="2"/>
    <s v="Male"/>
  </r>
  <r>
    <s v="ORD-20112"/>
    <s v="CUST-5013"/>
    <d v="2024-05-10T00:00:00"/>
    <x v="4"/>
    <s v="Yoga Mat"/>
    <n v="29.99"/>
    <n v="2"/>
    <n v="15"/>
    <n v="25.49"/>
    <n v="50.98"/>
    <s v="Debit Card"/>
    <x v="0"/>
    <n v="5"/>
    <n v="28"/>
    <s v="Chicago"/>
    <x v="2"/>
    <s v="Male"/>
  </r>
  <r>
    <s v="ORD-20113"/>
    <s v="CUST-5013"/>
    <d v="2023-07-22T00:00:00"/>
    <x v="2"/>
    <s v="Non-stick Pan Set"/>
    <n v="44.99"/>
    <n v="1"/>
    <n v="5"/>
    <n v="42.74"/>
    <n v="42.74"/>
    <s v="Credit Card"/>
    <x v="0"/>
    <n v="4"/>
    <n v="28"/>
    <s v="Chicago"/>
    <x v="2"/>
    <s v="Male"/>
  </r>
  <r>
    <s v="ORD-20114"/>
    <s v="CUST-5013"/>
    <d v="2022-08-02T00:00:00"/>
    <x v="5"/>
    <s v="USB-C Hub"/>
    <n v="34.99"/>
    <n v="1"/>
    <n v="0"/>
    <n v="34.99"/>
    <n v="34.99"/>
    <s v="Credit Card"/>
    <x v="0"/>
    <n v="4"/>
    <n v="28"/>
    <s v="Chicago"/>
    <x v="2"/>
    <s v="Male"/>
  </r>
  <r>
    <s v="ORD-20115"/>
    <s v="CUST-5013"/>
    <d v="2023-12-27T00:00:00"/>
    <x v="0"/>
    <s v="Data Science Handbook"/>
    <n v="49.99"/>
    <n v="3"/>
    <n v="0"/>
    <n v="49.99"/>
    <n v="149.97"/>
    <s v="Wallet"/>
    <x v="0"/>
    <m/>
    <n v="28"/>
    <s v="Chicago"/>
    <x v="2"/>
    <s v="Male"/>
  </r>
  <r>
    <s v="ORD-20116"/>
    <s v="CUST-5013"/>
    <d v="2024-05-24T00:00:00"/>
    <x v="1"/>
    <s v="LEGO Classic Set"/>
    <n v="49.99"/>
    <n v="1"/>
    <n v="0"/>
    <n v="49.99"/>
    <n v="49.99"/>
    <s v="Debit Card"/>
    <x v="0"/>
    <n v="5"/>
    <n v="28"/>
    <s v="Chicago"/>
    <x v="2"/>
    <s v="Male"/>
  </r>
  <r>
    <s v="ORD-20117"/>
    <s v="CUST-5013"/>
    <d v="2024-05-09T00:00:00"/>
    <x v="2"/>
    <s v="Non-stick Pan Set"/>
    <n v="44.99"/>
    <n v="1"/>
    <n v="0"/>
    <n v="44.99"/>
    <n v="44.99"/>
    <s v="Debit Card"/>
    <x v="0"/>
    <n v="2"/>
    <n v="28"/>
    <s v="Chicago"/>
    <x v="2"/>
    <s v="Male"/>
  </r>
  <r>
    <s v="ORD-20118"/>
    <s v="CUST-5013"/>
    <d v="2024-01-08T00:00:00"/>
    <x v="1"/>
    <s v="Action Figure"/>
    <n v="19.989999999999998"/>
    <n v="4"/>
    <n v="20"/>
    <n v="15.99"/>
    <n v="63.96"/>
    <s v="Wallet"/>
    <x v="0"/>
    <n v="3"/>
    <n v="28"/>
    <s v="Chicago"/>
    <x v="2"/>
    <s v="Male"/>
  </r>
  <r>
    <s v="ORD-20119"/>
    <s v="CUST-5014"/>
    <d v="2024-11-13T00:00:00"/>
    <x v="3"/>
    <s v="Running Shoes"/>
    <n v="89.99"/>
    <n v="4"/>
    <n v="0"/>
    <n v="89.99"/>
    <n v="359.96"/>
    <s v="Debit Card"/>
    <x v="0"/>
    <n v="5"/>
    <n v="49"/>
    <s v="Houston"/>
    <x v="1"/>
    <s v="Female"/>
  </r>
  <r>
    <s v="ORD-20120"/>
    <s v="CUST-5014"/>
    <d v="2023-09-14T00:00:00"/>
    <x v="0"/>
    <s v="Python for Beginners"/>
    <n v="29.99"/>
    <n v="2"/>
    <n v="10"/>
    <n v="26.99"/>
    <n v="53.98"/>
    <s v="Debit Card"/>
    <x v="0"/>
    <n v="4"/>
    <n v="49"/>
    <s v="Houston"/>
    <x v="1"/>
    <s v="Female"/>
  </r>
  <r>
    <s v="ORD-20121"/>
    <s v="CUST-5014"/>
    <d v="2023-02-23T00:00:00"/>
    <x v="6"/>
    <s v="Face Serum"/>
    <n v="39.99"/>
    <n v="3"/>
    <n v="0"/>
    <n v="39.99"/>
    <n v="119.97"/>
    <s v="PayPal"/>
    <x v="0"/>
    <n v="5"/>
    <n v="49"/>
    <s v="Houston"/>
    <x v="1"/>
    <s v="Female"/>
  </r>
  <r>
    <s v="ORD-20122"/>
    <s v="CUST-5015"/>
    <d v="2024-11-13T00:00:00"/>
    <x v="3"/>
    <s v="Running Shoes"/>
    <n v="89.99"/>
    <n v="4"/>
    <n v="5"/>
    <n v="85.49"/>
    <n v="341.96"/>
    <s v="UPI"/>
    <x v="1"/>
    <n v="4"/>
    <n v="52"/>
    <s v="Los Angeles"/>
    <x v="2"/>
    <s v="Female"/>
  </r>
  <r>
    <s v="ORD-20123"/>
    <s v="CUST-5015"/>
    <d v="2022-09-23T00:00:00"/>
    <x v="2"/>
    <s v="Non-stick Pan Set"/>
    <n v="44.99"/>
    <n v="4"/>
    <n v="5"/>
    <n v="42.74"/>
    <n v="170.96"/>
    <s v="Wallet"/>
    <x v="0"/>
    <n v="4"/>
    <n v="52"/>
    <s v="Los Angeles"/>
    <x v="2"/>
    <s v="Female"/>
  </r>
  <r>
    <s v="ORD-20124"/>
    <s v="CUST-5015"/>
    <d v="2024-06-21T00:00:00"/>
    <x v="1"/>
    <s v="Action Figure"/>
    <n v="19.989999999999998"/>
    <n v="1"/>
    <n v="15"/>
    <n v="16.989999999999998"/>
    <n v="16.989999999999998"/>
    <s v="Debit Card"/>
    <x v="0"/>
    <n v="5"/>
    <n v="52"/>
    <s v="Los Angeles"/>
    <x v="2"/>
    <s v="Female"/>
  </r>
  <r>
    <s v="ORD-20125"/>
    <s v="CUST-5015"/>
    <d v="2024-05-27T00:00:00"/>
    <x v="5"/>
    <s v="USB-C Hub"/>
    <n v="34.99"/>
    <n v="4"/>
    <n v="20"/>
    <n v="27.99"/>
    <n v="111.96"/>
    <s v="Wallet"/>
    <x v="0"/>
    <n v="3"/>
    <n v="52"/>
    <s v="Los Angeles"/>
    <x v="2"/>
    <s v="Female"/>
  </r>
  <r>
    <s v="ORD-20126"/>
    <s v="CUST-5015"/>
    <d v="2024-02-11T00:00:00"/>
    <x v="4"/>
    <s v="Yoga Mat"/>
    <n v="29.99"/>
    <n v="2"/>
    <n v="0"/>
    <n v="29.99"/>
    <n v="59.98"/>
    <s v="Wallet"/>
    <x v="0"/>
    <m/>
    <n v="52"/>
    <s v="Los Angeles"/>
    <x v="2"/>
    <s v="Female"/>
  </r>
  <r>
    <s v="ORD-20127"/>
    <s v="CUST-5015"/>
    <d v="2023-03-23T00:00:00"/>
    <x v="0"/>
    <s v="Python for Beginners"/>
    <n v="29.99"/>
    <n v="1"/>
    <n v="20"/>
    <n v="23.99"/>
    <n v="23.99"/>
    <s v="Credit Card"/>
    <x v="0"/>
    <n v="3"/>
    <n v="52"/>
    <s v="Los Angeles"/>
    <x v="2"/>
    <s v="Female"/>
  </r>
  <r>
    <s v="ORD-20128"/>
    <s v="CUST-5015"/>
    <d v="2024-04-14T00:00:00"/>
    <x v="1"/>
    <s v="LEGO Classic Set"/>
    <n v="49.99"/>
    <n v="2"/>
    <n v="0"/>
    <n v="49.99"/>
    <n v="99.98"/>
    <s v="Debit Card"/>
    <x v="0"/>
    <n v="3"/>
    <n v="52"/>
    <s v="Los Angeles"/>
    <x v="2"/>
    <s v="Female"/>
  </r>
  <r>
    <s v="ORD-20129"/>
    <s v="CUST-5015"/>
    <d v="2022-07-27T00:00:00"/>
    <x v="1"/>
    <s v="Puzzle 1000pcs"/>
    <n v="24.99"/>
    <n v="2"/>
    <n v="0"/>
    <n v="24.99"/>
    <n v="49.98"/>
    <s v="Credit Card"/>
    <x v="0"/>
    <n v="5"/>
    <n v="52"/>
    <s v="Los Angeles"/>
    <x v="2"/>
    <s v="Female"/>
  </r>
  <r>
    <s v="ORD-20130"/>
    <s v="CUST-5015"/>
    <d v="2024-12-23T00:00:00"/>
    <x v="3"/>
    <s v="Yoga Pants"/>
    <n v="44.99"/>
    <n v="2"/>
    <n v="10"/>
    <n v="40.49"/>
    <n v="80.98"/>
    <s v="UPI"/>
    <x v="3"/>
    <m/>
    <n v="52"/>
    <s v="Los Angeles"/>
    <x v="2"/>
    <s v="Female"/>
  </r>
  <r>
    <s v="ORD-20131"/>
    <s v="CUST-5015"/>
    <d v="2022-06-10T00:00:00"/>
    <x v="1"/>
    <s v="Remote Control Car"/>
    <n v="39.99"/>
    <n v="4"/>
    <n v="15"/>
    <n v="33.99"/>
    <n v="135.96"/>
    <s v="Wallet"/>
    <x v="0"/>
    <n v="4"/>
    <n v="52"/>
    <s v="Los Angeles"/>
    <x v="2"/>
    <s v="Female"/>
  </r>
  <r>
    <s v="ORD-20132"/>
    <s v="CUST-5016"/>
    <d v="2023-04-26T00:00:00"/>
    <x v="6"/>
    <s v="Lip Balm Set"/>
    <n v="14.99"/>
    <n v="3"/>
    <n v="15"/>
    <n v="12.74"/>
    <n v="38.22"/>
    <s v="PayPal"/>
    <x v="4"/>
    <n v="5"/>
    <n v="20"/>
    <s v="Houston"/>
    <x v="2"/>
    <s v="Male"/>
  </r>
  <r>
    <s v="ORD-20133"/>
    <s v="CUST-5016"/>
    <d v="2023-04-03T00:00:00"/>
    <x v="4"/>
    <s v="Water Bottle"/>
    <n v="24.99"/>
    <n v="1"/>
    <n v="0"/>
    <n v="24.99"/>
    <n v="24.99"/>
    <s v="UPI"/>
    <x v="0"/>
    <n v="4"/>
    <n v="20"/>
    <s v="Houston"/>
    <x v="2"/>
    <s v="Male"/>
  </r>
  <r>
    <s v="ORD-20134"/>
    <s v="CUST-5016"/>
    <d v="2022-02-19T00:00:00"/>
    <x v="0"/>
    <s v="Fiction Novel"/>
    <n v="14.99"/>
    <n v="4"/>
    <n v="20"/>
    <n v="11.99"/>
    <n v="47.96"/>
    <s v="Wallet"/>
    <x v="2"/>
    <n v="5"/>
    <n v="20"/>
    <s v="Houston"/>
    <x v="2"/>
    <s v="Male"/>
  </r>
  <r>
    <s v="ORD-20135"/>
    <s v="CUST-5016"/>
    <d v="2024-01-07T00:00:00"/>
    <x v="0"/>
    <s v="Python for Beginners"/>
    <n v="29.99"/>
    <n v="2"/>
    <n v="5"/>
    <n v="28.49"/>
    <n v="56.98"/>
    <s v="Debit Card"/>
    <x v="0"/>
    <n v="5"/>
    <n v="20"/>
    <s v="Houston"/>
    <x v="2"/>
    <s v="Male"/>
  </r>
  <r>
    <s v="ORD-20136"/>
    <s v="CUST-5016"/>
    <d v="2023-06-16T00:00:00"/>
    <x v="6"/>
    <s v="Face Serum"/>
    <n v="39.99"/>
    <n v="4"/>
    <n v="0"/>
    <n v="39.99"/>
    <n v="159.96"/>
    <s v="UPI"/>
    <x v="0"/>
    <m/>
    <n v="20"/>
    <s v="Houston"/>
    <x v="2"/>
    <s v="Male"/>
  </r>
  <r>
    <s v="ORD-20137"/>
    <s v="CUST-5016"/>
    <d v="2024-05-04T00:00:00"/>
    <x v="5"/>
    <s v="USB-C Hub"/>
    <n v="34.99"/>
    <n v="2"/>
    <n v="10"/>
    <n v="31.49"/>
    <n v="62.98"/>
    <s v="Credit Card"/>
    <x v="0"/>
    <m/>
    <n v="20"/>
    <s v="Houston"/>
    <x v="2"/>
    <s v="Male"/>
  </r>
  <r>
    <s v="ORD-20138"/>
    <s v="CUST-5016"/>
    <d v="2024-08-12T00:00:00"/>
    <x v="6"/>
    <s v="Moisturizer SPF 50"/>
    <n v="29.99"/>
    <n v="4"/>
    <n v="0"/>
    <n v="29.99"/>
    <n v="119.96"/>
    <s v="UPI"/>
    <x v="0"/>
    <n v="3"/>
    <n v="20"/>
    <s v="Houston"/>
    <x v="2"/>
    <s v="Male"/>
  </r>
  <r>
    <s v="ORD-20139"/>
    <s v="CUST-5016"/>
    <d v="2023-10-22T00:00:00"/>
    <x v="3"/>
    <s v="Cotton T-Shirt"/>
    <n v="24.99"/>
    <n v="1"/>
    <n v="10"/>
    <n v="22.49"/>
    <n v="22.49"/>
    <s v="Wallet"/>
    <x v="0"/>
    <n v="2"/>
    <n v="20"/>
    <s v="Houston"/>
    <x v="2"/>
    <s v="Male"/>
  </r>
  <r>
    <s v="ORD-20140"/>
    <s v="CUST-5017"/>
    <d v="2024-02-05T00:00:00"/>
    <x v="5"/>
    <s v="Bluetooth Speaker"/>
    <n v="49.99"/>
    <n v="2"/>
    <n v="0"/>
    <n v="49.99"/>
    <n v="99.98"/>
    <s v="UPI"/>
    <x v="0"/>
    <n v="4"/>
    <n v="45"/>
    <s v="Los Angeles"/>
    <x v="0"/>
    <s v="Male"/>
  </r>
  <r>
    <s v="ORD-20141"/>
    <s v="CUST-5017"/>
    <d v="2023-12-14T00:00:00"/>
    <x v="2"/>
    <s v="Air Fryer"/>
    <n v="89.99"/>
    <n v="4"/>
    <n v="10"/>
    <n v="80.989999999999995"/>
    <n v="323.95999999999998"/>
    <s v="UPI"/>
    <x v="0"/>
    <n v="4"/>
    <n v="45"/>
    <s v="Los Angeles"/>
    <x v="0"/>
    <s v="Male"/>
  </r>
  <r>
    <s v="ORD-20142"/>
    <s v="CUST-5018"/>
    <d v="2023-03-06T00:00:00"/>
    <x v="5"/>
    <s v="Bluetooth Speaker"/>
    <n v="49.99"/>
    <n v="3"/>
    <n v="0"/>
    <n v="49.99"/>
    <n v="149.97"/>
    <s v="UPI"/>
    <x v="4"/>
    <n v="4"/>
    <n v="62"/>
    <s v="San Antonio"/>
    <x v="1"/>
    <s v="Female"/>
  </r>
  <r>
    <s v="ORD-20143"/>
    <s v="CUST-5018"/>
    <d v="2022-08-09T00:00:00"/>
    <x v="4"/>
    <s v="Jump Rope"/>
    <n v="14.99"/>
    <n v="3"/>
    <n v="10"/>
    <n v="13.49"/>
    <n v="40.47"/>
    <s v="Debit Card"/>
    <x v="4"/>
    <m/>
    <n v="62"/>
    <s v="San Antonio"/>
    <x v="1"/>
    <s v="Female"/>
  </r>
  <r>
    <s v="ORD-20144"/>
    <s v="CUST-5018"/>
    <d v="2022-05-10T00:00:00"/>
    <x v="5"/>
    <s v="Smart Watch"/>
    <n v="199.99"/>
    <n v="3"/>
    <n v="0"/>
    <n v="199.99"/>
    <n v="599.97"/>
    <s v="Debit Card"/>
    <x v="0"/>
    <n v="5"/>
    <n v="62"/>
    <s v="San Antonio"/>
    <x v="1"/>
    <s v="Female"/>
  </r>
  <r>
    <s v="ORD-20145"/>
    <s v="CUST-5018"/>
    <d v="2024-10-12T00:00:00"/>
    <x v="4"/>
    <s v="Yoga Mat"/>
    <n v="29.99"/>
    <n v="4"/>
    <n v="0"/>
    <n v="29.99"/>
    <n v="119.96"/>
    <s v="Wallet"/>
    <x v="0"/>
    <n v="3"/>
    <n v="62"/>
    <s v="San Antonio"/>
    <x v="1"/>
    <s v="Female"/>
  </r>
  <r>
    <s v="ORD-20146"/>
    <s v="CUST-5018"/>
    <d v="2022-02-07T00:00:00"/>
    <x v="6"/>
    <s v="Moisturizer SPF 50"/>
    <n v="29.99"/>
    <n v="4"/>
    <n v="5"/>
    <n v="28.49"/>
    <n v="113.96"/>
    <s v="Wallet"/>
    <x v="3"/>
    <m/>
    <n v="62"/>
    <s v="San Antonio"/>
    <x v="1"/>
    <s v="Female"/>
  </r>
  <r>
    <s v="ORD-20147"/>
    <s v="CUST-5018"/>
    <d v="2024-05-14T00:00:00"/>
    <x v="2"/>
    <s v="Coffee Maker"/>
    <n v="59.99"/>
    <n v="4"/>
    <n v="5"/>
    <n v="56.99"/>
    <n v="227.96"/>
    <s v="Credit Card"/>
    <x v="0"/>
    <n v="4"/>
    <n v="62"/>
    <s v="San Antonio"/>
    <x v="1"/>
    <s v="Female"/>
  </r>
  <r>
    <s v="ORD-20148"/>
    <s v="CUST-5018"/>
    <d v="2022-02-01T00:00:00"/>
    <x v="3"/>
    <s v="Cotton T-Shirt"/>
    <n v="24.99"/>
    <n v="3"/>
    <n v="10"/>
    <n v="22.49"/>
    <n v="67.47"/>
    <s v="Wallet"/>
    <x v="4"/>
    <n v="5"/>
    <n v="62"/>
    <s v="San Antonio"/>
    <x v="1"/>
    <s v="Female"/>
  </r>
  <r>
    <s v="ORD-20149"/>
    <s v="CUST-5018"/>
    <d v="2022-08-27T00:00:00"/>
    <x v="6"/>
    <s v="Moisturizer SPF 50"/>
    <n v="29.99"/>
    <n v="1"/>
    <n v="10"/>
    <n v="26.99"/>
    <n v="26.99"/>
    <s v="Wallet"/>
    <x v="0"/>
    <n v="3"/>
    <n v="62"/>
    <s v="San Antonio"/>
    <x v="1"/>
    <s v="Female"/>
  </r>
  <r>
    <s v="ORD-20150"/>
    <s v="CUST-5018"/>
    <d v="2022-04-24T00:00:00"/>
    <x v="6"/>
    <s v="Moisturizer SPF 50"/>
    <n v="29.99"/>
    <n v="3"/>
    <n v="0"/>
    <n v="29.99"/>
    <n v="89.97"/>
    <s v="PayPal"/>
    <x v="0"/>
    <n v="5"/>
    <n v="62"/>
    <s v="San Antonio"/>
    <x v="1"/>
    <s v="Female"/>
  </r>
  <r>
    <s v="ORD-20151"/>
    <s v="CUST-5019"/>
    <d v="2023-09-27T00:00:00"/>
    <x v="2"/>
    <s v="Coffee Maker"/>
    <n v="59.99"/>
    <n v="2"/>
    <n v="0"/>
    <n v="59.99"/>
    <n v="119.98"/>
    <s v="Wallet"/>
    <x v="0"/>
    <n v="3"/>
    <n v="51"/>
    <s v="Austin"/>
    <x v="0"/>
    <s v="Female"/>
  </r>
  <r>
    <s v="ORD-20152"/>
    <s v="CUST-5019"/>
    <d v="2023-05-03T00:00:00"/>
    <x v="4"/>
    <s v="Yoga Mat"/>
    <n v="29.99"/>
    <n v="2"/>
    <n v="0"/>
    <n v="29.99"/>
    <n v="59.98"/>
    <s v="Credit Card"/>
    <x v="0"/>
    <n v="5"/>
    <n v="51"/>
    <s v="Austin"/>
    <x v="0"/>
    <s v="Female"/>
  </r>
  <r>
    <s v="ORD-20153"/>
    <s v="CUST-5019"/>
    <d v="2023-09-07T00:00:00"/>
    <x v="6"/>
    <s v="Lip Balm Set"/>
    <n v="14.99"/>
    <n v="1"/>
    <n v="0"/>
    <n v="14.99"/>
    <n v="14.99"/>
    <s v="PayPal"/>
    <x v="0"/>
    <n v="4"/>
    <n v="51"/>
    <s v="Austin"/>
    <x v="0"/>
    <s v="Female"/>
  </r>
  <r>
    <s v="ORD-20154"/>
    <s v="CUST-5019"/>
    <d v="2024-05-06T00:00:00"/>
    <x v="2"/>
    <s v="Non-stick Pan Set"/>
    <n v="44.99"/>
    <n v="2"/>
    <n v="5"/>
    <n v="42.74"/>
    <n v="85.48"/>
    <s v="Wallet"/>
    <x v="0"/>
    <n v="3"/>
    <n v="51"/>
    <s v="Austin"/>
    <x v="0"/>
    <s v="Female"/>
  </r>
  <r>
    <s v="ORD-20155"/>
    <s v="CUST-5019"/>
    <d v="2022-09-07T00:00:00"/>
    <x v="5"/>
    <s v="Bluetooth Speaker"/>
    <n v="49.99"/>
    <n v="2"/>
    <n v="10"/>
    <n v="44.99"/>
    <n v="89.98"/>
    <s v="Debit Card"/>
    <x v="0"/>
    <m/>
    <n v="51"/>
    <s v="Austin"/>
    <x v="0"/>
    <s v="Female"/>
  </r>
  <r>
    <s v="ORD-20156"/>
    <s v="CUST-5019"/>
    <d v="2024-08-19T00:00:00"/>
    <x v="1"/>
    <s v="Action Figure"/>
    <n v="19.989999999999998"/>
    <n v="4"/>
    <n v="20"/>
    <n v="15.99"/>
    <n v="63.96"/>
    <s v="UPI"/>
    <x v="2"/>
    <m/>
    <n v="51"/>
    <s v="Austin"/>
    <x v="0"/>
    <s v="Female"/>
  </r>
  <r>
    <s v="ORD-20157"/>
    <s v="CUST-5019"/>
    <d v="2023-09-13T00:00:00"/>
    <x v="5"/>
    <s v="Smart Watch"/>
    <n v="199.99"/>
    <n v="1"/>
    <n v="10"/>
    <n v="179.99"/>
    <n v="179.99"/>
    <s v="Wallet"/>
    <x v="3"/>
    <m/>
    <n v="51"/>
    <s v="Austin"/>
    <x v="0"/>
    <s v="Female"/>
  </r>
  <r>
    <s v="ORD-20158"/>
    <s v="CUST-5019"/>
    <d v="2024-12-18T00:00:00"/>
    <x v="1"/>
    <s v="Puzzle 1000pcs"/>
    <n v="24.99"/>
    <n v="2"/>
    <n v="0"/>
    <n v="24.99"/>
    <n v="49.98"/>
    <s v="Wallet"/>
    <x v="0"/>
    <m/>
    <n v="51"/>
    <s v="Austin"/>
    <x v="0"/>
    <s v="Female"/>
  </r>
  <r>
    <s v="ORD-20159"/>
    <s v="CUST-5019"/>
    <d v="2023-07-14T00:00:00"/>
    <x v="5"/>
    <s v="Wireless Earbuds"/>
    <n v="79.989999999999995"/>
    <n v="3"/>
    <n v="20"/>
    <n v="63.99"/>
    <n v="191.97"/>
    <s v="Wallet"/>
    <x v="0"/>
    <n v="4"/>
    <n v="51"/>
    <s v="Austin"/>
    <x v="0"/>
    <s v="Female"/>
  </r>
  <r>
    <s v="ORD-20160"/>
    <s v="CUST-5019"/>
    <d v="2022-12-07T00:00:00"/>
    <x v="3"/>
    <s v="Running Shoes"/>
    <n v="89.99"/>
    <n v="2"/>
    <n v="5"/>
    <n v="85.49"/>
    <n v="170.98"/>
    <s v="Credit Card"/>
    <x v="0"/>
    <n v="4"/>
    <n v="51"/>
    <s v="Austin"/>
    <x v="0"/>
    <s v="Female"/>
  </r>
  <r>
    <s v="ORD-20161"/>
    <s v="CUST-5019"/>
    <d v="2023-10-01T00:00:00"/>
    <x v="1"/>
    <s v="Puzzle 1000pcs"/>
    <n v="24.99"/>
    <n v="3"/>
    <n v="0"/>
    <n v="24.99"/>
    <n v="74.97"/>
    <s v="Credit Card"/>
    <x v="0"/>
    <m/>
    <n v="51"/>
    <s v="Austin"/>
    <x v="0"/>
    <s v="Female"/>
  </r>
  <r>
    <s v="ORD-20162"/>
    <s v="CUST-5019"/>
    <d v="2024-08-05T00:00:00"/>
    <x v="2"/>
    <s v="Air Fryer"/>
    <n v="89.99"/>
    <n v="1"/>
    <n v="10"/>
    <n v="80.989999999999995"/>
    <n v="80.989999999999995"/>
    <s v="PayPal"/>
    <x v="0"/>
    <m/>
    <n v="51"/>
    <s v="Austin"/>
    <x v="0"/>
    <s v="Female"/>
  </r>
  <r>
    <s v="ORD-20163"/>
    <s v="CUST-5020"/>
    <d v="2023-02-07T00:00:00"/>
    <x v="6"/>
    <s v="Lip Balm Set"/>
    <n v="14.99"/>
    <n v="1"/>
    <n v="10"/>
    <n v="13.49"/>
    <n v="13.49"/>
    <s v="Debit Card"/>
    <x v="0"/>
    <n v="4"/>
    <n v="43"/>
    <s v="Phoenix"/>
    <x v="2"/>
    <s v="Female"/>
  </r>
  <r>
    <s v="ORD-20164"/>
    <s v="CUST-5020"/>
    <d v="2023-03-21T00:00:00"/>
    <x v="5"/>
    <s v="Bluetooth Speaker"/>
    <n v="49.99"/>
    <n v="1"/>
    <n v="10"/>
    <n v="44.99"/>
    <n v="44.99"/>
    <s v="PayPal"/>
    <x v="0"/>
    <n v="4"/>
    <n v="43"/>
    <s v="Phoenix"/>
    <x v="2"/>
    <s v="Female"/>
  </r>
  <r>
    <s v="ORD-20165"/>
    <s v="CUST-5020"/>
    <d v="2022-04-07T00:00:00"/>
    <x v="1"/>
    <s v="Remote Control Car"/>
    <n v="39.99"/>
    <n v="3"/>
    <n v="10"/>
    <n v="35.99"/>
    <n v="107.97"/>
    <s v="UPI"/>
    <x v="0"/>
    <n v="4"/>
    <n v="43"/>
    <s v="Phoenix"/>
    <x v="2"/>
    <s v="Female"/>
  </r>
  <r>
    <s v="ORD-20166"/>
    <s v="CUST-5020"/>
    <d v="2022-05-12T00:00:00"/>
    <x v="6"/>
    <s v="Hair Mask"/>
    <n v="24.99"/>
    <n v="4"/>
    <n v="20"/>
    <n v="19.989999999999998"/>
    <n v="79.959999999999994"/>
    <s v="Wallet"/>
    <x v="1"/>
    <m/>
    <n v="43"/>
    <s v="Phoenix"/>
    <x v="2"/>
    <s v="Female"/>
  </r>
  <r>
    <s v="ORD-20167"/>
    <s v="CUST-5020"/>
    <d v="2022-02-25T00:00:00"/>
    <x v="3"/>
    <s v="Denim Jacket"/>
    <n v="69.989999999999995"/>
    <n v="2"/>
    <n v="5"/>
    <n v="66.489999999999995"/>
    <n v="132.97999999999999"/>
    <s v="Credit Card"/>
    <x v="0"/>
    <n v="3"/>
    <n v="43"/>
    <s v="Phoenix"/>
    <x v="2"/>
    <s v="Female"/>
  </r>
  <r>
    <s v="ORD-20168"/>
    <s v="CUST-5020"/>
    <d v="2022-07-21T00:00:00"/>
    <x v="2"/>
    <s v="Non-stick Pan Set"/>
    <n v="44.99"/>
    <n v="3"/>
    <n v="0"/>
    <n v="44.99"/>
    <n v="134.97"/>
    <s v="Debit Card"/>
    <x v="0"/>
    <n v="3"/>
    <n v="43"/>
    <s v="Phoenix"/>
    <x v="2"/>
    <s v="Female"/>
  </r>
  <r>
    <s v="ORD-20169"/>
    <s v="CUST-5020"/>
    <d v="2024-06-03T00:00:00"/>
    <x v="0"/>
    <s v="Data Science Handbook"/>
    <n v="49.99"/>
    <n v="4"/>
    <n v="15"/>
    <n v="42.49"/>
    <n v="169.96"/>
    <s v="Debit Card"/>
    <x v="0"/>
    <n v="5"/>
    <n v="43"/>
    <s v="Phoenix"/>
    <x v="2"/>
    <s v="Female"/>
  </r>
  <r>
    <s v="ORD-20170"/>
    <s v="CUST-5020"/>
    <d v="2023-03-27T00:00:00"/>
    <x v="6"/>
    <s v="Hair Mask"/>
    <n v="24.99"/>
    <n v="1"/>
    <n v="0"/>
    <n v="24.99"/>
    <n v="24.99"/>
    <s v="PayPal"/>
    <x v="0"/>
    <n v="5"/>
    <n v="43"/>
    <s v="Phoenix"/>
    <x v="2"/>
    <s v="Female"/>
  </r>
  <r>
    <s v="ORD-20171"/>
    <s v="CUST-5020"/>
    <d v="2022-05-13T00:00:00"/>
    <x v="5"/>
    <s v="Smart Watch"/>
    <n v="199.99"/>
    <n v="1"/>
    <n v="0"/>
    <n v="199.99"/>
    <n v="199.99"/>
    <s v="Wallet"/>
    <x v="0"/>
    <m/>
    <n v="43"/>
    <s v="Phoenix"/>
    <x v="2"/>
    <s v="Female"/>
  </r>
  <r>
    <s v="ORD-20172"/>
    <s v="CUST-5020"/>
    <d v="2023-09-03T00:00:00"/>
    <x v="0"/>
    <s v="Data Science Handbook"/>
    <n v="49.99"/>
    <n v="1"/>
    <n v="10"/>
    <n v="44.99"/>
    <n v="44.99"/>
    <s v="Wallet"/>
    <x v="4"/>
    <n v="4"/>
    <n v="43"/>
    <s v="Phoenix"/>
    <x v="2"/>
    <s v="Female"/>
  </r>
  <r>
    <s v="ORD-20173"/>
    <s v="CUST-5020"/>
    <d v="2022-03-16T00:00:00"/>
    <x v="2"/>
    <s v="Coffee Maker"/>
    <n v="59.99"/>
    <n v="4"/>
    <n v="0"/>
    <n v="59.99"/>
    <n v="239.96"/>
    <s v="UPI"/>
    <x v="0"/>
    <n v="5"/>
    <n v="43"/>
    <s v="Phoenix"/>
    <x v="2"/>
    <s v="Female"/>
  </r>
  <r>
    <s v="ORD-20174"/>
    <s v="CUST-5020"/>
    <d v="2022-05-19T00:00:00"/>
    <x v="4"/>
    <s v="Yoga Mat"/>
    <n v="29.99"/>
    <n v="3"/>
    <n v="20"/>
    <n v="23.99"/>
    <n v="71.97"/>
    <s v="Debit Card"/>
    <x v="0"/>
    <m/>
    <n v="43"/>
    <s v="Phoenix"/>
    <x v="2"/>
    <s v="Female"/>
  </r>
  <r>
    <s v="ORD-20175"/>
    <s v="CUST-5020"/>
    <d v="2024-07-02T00:00:00"/>
    <x v="1"/>
    <s v="Puzzle 1000pcs"/>
    <n v="24.99"/>
    <n v="4"/>
    <n v="15"/>
    <n v="21.24"/>
    <n v="84.96"/>
    <s v="Wallet"/>
    <x v="0"/>
    <n v="3"/>
    <n v="43"/>
    <s v="Phoenix"/>
    <x v="2"/>
    <s v="Female"/>
  </r>
  <r>
    <s v="ORD-20176"/>
    <s v="CUST-5020"/>
    <d v="2022-10-02T00:00:00"/>
    <x v="5"/>
    <s v="Smart Watch"/>
    <n v="199.99"/>
    <n v="3"/>
    <n v="0"/>
    <n v="199.99"/>
    <n v="599.97"/>
    <s v="PayPal"/>
    <x v="2"/>
    <m/>
    <n v="43"/>
    <s v="Phoenix"/>
    <x v="2"/>
    <s v="Female"/>
  </r>
  <r>
    <s v="ORD-20177"/>
    <s v="CUST-5020"/>
    <d v="2022-07-27T00:00:00"/>
    <x v="1"/>
    <s v="Remote Control Car"/>
    <n v="39.99"/>
    <n v="2"/>
    <n v="15"/>
    <n v="33.99"/>
    <n v="67.98"/>
    <s v="Wallet"/>
    <x v="0"/>
    <n v="3"/>
    <n v="43"/>
    <s v="Phoenix"/>
    <x v="2"/>
    <s v="Female"/>
  </r>
  <r>
    <s v="ORD-20178"/>
    <s v="CUST-5021"/>
    <d v="2022-05-21T00:00:00"/>
    <x v="1"/>
    <s v="LEGO Classic Set"/>
    <n v="49.99"/>
    <n v="3"/>
    <n v="5"/>
    <n v="47.49"/>
    <n v="142.47"/>
    <s v="UPI"/>
    <x v="4"/>
    <n v="3"/>
    <n v="27"/>
    <s v="Jacksonville"/>
    <x v="0"/>
    <s v="Male"/>
  </r>
  <r>
    <s v="ORD-20179"/>
    <s v="CUST-5021"/>
    <d v="2022-11-16T00:00:00"/>
    <x v="3"/>
    <s v="Yoga Pants"/>
    <n v="44.99"/>
    <n v="2"/>
    <n v="10"/>
    <n v="40.49"/>
    <n v="80.98"/>
    <s v="UPI"/>
    <x v="0"/>
    <n v="5"/>
    <n v="27"/>
    <s v="Jacksonville"/>
    <x v="0"/>
    <s v="Male"/>
  </r>
  <r>
    <s v="ORD-20180"/>
    <s v="CUST-5021"/>
    <d v="2022-03-05T00:00:00"/>
    <x v="2"/>
    <s v="Non-stick Pan Set"/>
    <n v="44.99"/>
    <n v="4"/>
    <n v="20"/>
    <n v="35.99"/>
    <n v="143.96"/>
    <s v="UPI"/>
    <x v="0"/>
    <n v="3"/>
    <n v="27"/>
    <s v="Jacksonville"/>
    <x v="0"/>
    <s v="Male"/>
  </r>
  <r>
    <s v="ORD-20181"/>
    <s v="CUST-5021"/>
    <d v="2023-06-01T00:00:00"/>
    <x v="2"/>
    <s v="Air Fryer"/>
    <n v="89.99"/>
    <n v="2"/>
    <n v="0"/>
    <n v="89.99"/>
    <n v="179.98"/>
    <s v="Credit Card"/>
    <x v="0"/>
    <n v="3"/>
    <n v="27"/>
    <s v="Jacksonville"/>
    <x v="0"/>
    <s v="Male"/>
  </r>
  <r>
    <s v="ORD-20182"/>
    <s v="CUST-5022"/>
    <d v="2023-09-28T00:00:00"/>
    <x v="3"/>
    <s v="Running Shoes"/>
    <n v="89.99"/>
    <n v="4"/>
    <n v="5"/>
    <n v="85.49"/>
    <n v="341.96"/>
    <s v="Debit Card"/>
    <x v="4"/>
    <n v="5"/>
    <n v="56"/>
    <s v="Jacksonville"/>
    <x v="2"/>
    <s v="Male"/>
  </r>
  <r>
    <s v="ORD-20183"/>
    <s v="CUST-5022"/>
    <d v="2023-06-05T00:00:00"/>
    <x v="0"/>
    <s v="Python for Beginners"/>
    <n v="29.99"/>
    <n v="1"/>
    <n v="10"/>
    <n v="26.99"/>
    <n v="26.99"/>
    <s v="UPI"/>
    <x v="0"/>
    <n v="4"/>
    <n v="56"/>
    <s v="Jacksonville"/>
    <x v="2"/>
    <s v="Male"/>
  </r>
  <r>
    <s v="ORD-20184"/>
    <s v="CUST-5022"/>
    <d v="2022-01-13T00:00:00"/>
    <x v="1"/>
    <s v="Action Figure"/>
    <n v="19.989999999999998"/>
    <n v="4"/>
    <n v="0"/>
    <n v="19.989999999999998"/>
    <n v="79.959999999999994"/>
    <s v="UPI"/>
    <x v="2"/>
    <m/>
    <n v="56"/>
    <s v="Jacksonville"/>
    <x v="2"/>
    <s v="Male"/>
  </r>
  <r>
    <s v="ORD-20185"/>
    <s v="CUST-5022"/>
    <d v="2023-01-24T00:00:00"/>
    <x v="2"/>
    <s v="Blender"/>
    <n v="64.989999999999995"/>
    <n v="4"/>
    <n v="15"/>
    <n v="55.24"/>
    <n v="220.96"/>
    <s v="Credit Card"/>
    <x v="0"/>
    <n v="3"/>
    <n v="56"/>
    <s v="Jacksonville"/>
    <x v="2"/>
    <s v="Male"/>
  </r>
  <r>
    <s v="ORD-20186"/>
    <s v="CUST-5022"/>
    <d v="2024-02-15T00:00:00"/>
    <x v="6"/>
    <s v="Face Serum"/>
    <n v="39.99"/>
    <n v="1"/>
    <n v="0"/>
    <n v="39.99"/>
    <n v="39.99"/>
    <s v="Credit Card"/>
    <x v="0"/>
    <n v="5"/>
    <n v="56"/>
    <s v="Jacksonville"/>
    <x v="2"/>
    <s v="Male"/>
  </r>
  <r>
    <s v="ORD-20187"/>
    <s v="CUST-5022"/>
    <d v="2023-06-15T00:00:00"/>
    <x v="3"/>
    <s v="Running Shoes"/>
    <n v="89.99"/>
    <n v="1"/>
    <n v="0"/>
    <n v="89.99"/>
    <n v="89.99"/>
    <s v="PayPal"/>
    <x v="0"/>
    <n v="5"/>
    <n v="56"/>
    <s v="Jacksonville"/>
    <x v="2"/>
    <s v="Male"/>
  </r>
  <r>
    <s v="ORD-20188"/>
    <s v="CUST-5022"/>
    <d v="2022-10-16T00:00:00"/>
    <x v="4"/>
    <s v="Water Bottle"/>
    <n v="24.99"/>
    <n v="1"/>
    <n v="0"/>
    <n v="24.99"/>
    <n v="24.99"/>
    <s v="Wallet"/>
    <x v="3"/>
    <m/>
    <n v="56"/>
    <s v="Jacksonville"/>
    <x v="2"/>
    <s v="Male"/>
  </r>
  <r>
    <s v="ORD-20189"/>
    <s v="CUST-5022"/>
    <d v="2023-05-14T00:00:00"/>
    <x v="2"/>
    <s v="Blender"/>
    <n v="64.989999999999995"/>
    <n v="4"/>
    <n v="0"/>
    <n v="64.989999999999995"/>
    <n v="259.95999999999998"/>
    <s v="Debit Card"/>
    <x v="0"/>
    <n v="4"/>
    <n v="56"/>
    <s v="Jacksonville"/>
    <x v="2"/>
    <s v="Male"/>
  </r>
  <r>
    <s v="ORD-20190"/>
    <s v="CUST-5022"/>
    <d v="2023-03-25T00:00:00"/>
    <x v="5"/>
    <s v="Wireless Earbuds"/>
    <n v="79.989999999999995"/>
    <n v="2"/>
    <n v="5"/>
    <n v="75.989999999999995"/>
    <n v="151.97999999999999"/>
    <s v="Debit Card"/>
    <x v="0"/>
    <n v="5"/>
    <n v="56"/>
    <s v="Jacksonville"/>
    <x v="2"/>
    <s v="Male"/>
  </r>
  <r>
    <s v="ORD-20191"/>
    <s v="CUST-5022"/>
    <d v="2022-07-10T00:00:00"/>
    <x v="3"/>
    <s v="Denim Jacket"/>
    <n v="69.989999999999995"/>
    <n v="2"/>
    <n v="20"/>
    <n v="55.99"/>
    <n v="111.98"/>
    <s v="Wallet"/>
    <x v="0"/>
    <m/>
    <n v="56"/>
    <s v="Jacksonville"/>
    <x v="2"/>
    <s v="Male"/>
  </r>
  <r>
    <s v="ORD-20192"/>
    <s v="CUST-5022"/>
    <d v="2022-09-01T00:00:00"/>
    <x v="1"/>
    <s v="Puzzle 1000pcs"/>
    <n v="24.99"/>
    <n v="3"/>
    <n v="20"/>
    <n v="19.989999999999998"/>
    <n v="59.97"/>
    <s v="UPI"/>
    <x v="1"/>
    <m/>
    <n v="56"/>
    <s v="Jacksonville"/>
    <x v="2"/>
    <s v="Male"/>
  </r>
  <r>
    <s v="ORD-20193"/>
    <s v="CUST-5022"/>
    <d v="2022-10-26T00:00:00"/>
    <x v="3"/>
    <s v="Denim Jacket"/>
    <n v="69.989999999999995"/>
    <n v="2"/>
    <n v="10"/>
    <n v="62.99"/>
    <n v="125.98"/>
    <s v="Wallet"/>
    <x v="3"/>
    <n v="5"/>
    <n v="56"/>
    <s v="Jacksonville"/>
    <x v="2"/>
    <s v="Male"/>
  </r>
  <r>
    <s v="ORD-20194"/>
    <s v="CUST-5023"/>
    <d v="2023-04-11T00:00:00"/>
    <x v="2"/>
    <s v="Coffee Maker"/>
    <n v="59.99"/>
    <n v="4"/>
    <n v="0"/>
    <n v="59.99"/>
    <n v="239.96"/>
    <s v="Wallet"/>
    <x v="0"/>
    <m/>
    <n v="28"/>
    <s v="Jacksonville"/>
    <x v="3"/>
    <s v="Female"/>
  </r>
  <r>
    <s v="ORD-20195"/>
    <s v="CUST-5023"/>
    <d v="2024-05-18T00:00:00"/>
    <x v="5"/>
    <s v="USB-C Hub"/>
    <n v="34.99"/>
    <n v="3"/>
    <n v="15"/>
    <n v="29.74"/>
    <n v="89.22"/>
    <s v="UPI"/>
    <x v="0"/>
    <n v="3"/>
    <n v="28"/>
    <s v="Jacksonville"/>
    <x v="3"/>
    <s v="Female"/>
  </r>
  <r>
    <s v="ORD-20196"/>
    <s v="CUST-5023"/>
    <d v="2024-08-27T00:00:00"/>
    <x v="5"/>
    <s v="Wireless Earbuds"/>
    <n v="79.989999999999995"/>
    <n v="1"/>
    <n v="0"/>
    <n v="79.989999999999995"/>
    <n v="79.989999999999995"/>
    <s v="PayPal"/>
    <x v="4"/>
    <n v="5"/>
    <n v="28"/>
    <s v="Jacksonville"/>
    <x v="3"/>
    <s v="Female"/>
  </r>
  <r>
    <s v="ORD-20197"/>
    <s v="CUST-5023"/>
    <d v="2024-05-06T00:00:00"/>
    <x v="1"/>
    <s v="Remote Control Car"/>
    <n v="39.99"/>
    <n v="3"/>
    <n v="5"/>
    <n v="37.99"/>
    <n v="113.97"/>
    <s v="UPI"/>
    <x v="0"/>
    <m/>
    <n v="28"/>
    <s v="Jacksonville"/>
    <x v="3"/>
    <s v="Female"/>
  </r>
  <r>
    <s v="ORD-20198"/>
    <s v="CUST-5023"/>
    <d v="2022-09-05T00:00:00"/>
    <x v="1"/>
    <s v="Remote Control Car"/>
    <n v="39.99"/>
    <n v="1"/>
    <n v="0"/>
    <n v="39.99"/>
    <n v="39.99"/>
    <s v="Debit Card"/>
    <x v="0"/>
    <n v="3"/>
    <n v="28"/>
    <s v="Jacksonville"/>
    <x v="3"/>
    <s v="Female"/>
  </r>
  <r>
    <s v="ORD-20199"/>
    <s v="CUST-5023"/>
    <d v="2023-02-11T00:00:00"/>
    <x v="0"/>
    <s v="Fiction Novel"/>
    <n v="14.99"/>
    <n v="2"/>
    <n v="0"/>
    <n v="14.99"/>
    <n v="29.98"/>
    <s v="Wallet"/>
    <x v="4"/>
    <m/>
    <n v="28"/>
    <s v="Jacksonville"/>
    <x v="3"/>
    <s v="Female"/>
  </r>
  <r>
    <s v="ORD-20200"/>
    <s v="CUST-5023"/>
    <d v="2023-09-27T00:00:00"/>
    <x v="1"/>
    <s v="Puzzle 1000pcs"/>
    <n v="24.99"/>
    <n v="1"/>
    <n v="15"/>
    <n v="21.24"/>
    <n v="21.24"/>
    <s v="Wallet"/>
    <x v="4"/>
    <n v="5"/>
    <n v="28"/>
    <s v="Jacksonville"/>
    <x v="3"/>
    <s v="Female"/>
  </r>
  <r>
    <s v="ORD-20201"/>
    <s v="CUST-5023"/>
    <d v="2024-07-07T00:00:00"/>
    <x v="1"/>
    <s v="Puzzle 1000pcs"/>
    <n v="24.99"/>
    <n v="2"/>
    <n v="0"/>
    <n v="24.99"/>
    <n v="49.98"/>
    <s v="Credit Card"/>
    <x v="0"/>
    <n v="5"/>
    <n v="28"/>
    <s v="Jacksonville"/>
    <x v="3"/>
    <s v="Female"/>
  </r>
  <r>
    <s v="ORD-20202"/>
    <s v="CUST-5023"/>
    <d v="2022-06-07T00:00:00"/>
    <x v="0"/>
    <s v="Data Science Handbook"/>
    <n v="49.99"/>
    <n v="4"/>
    <n v="0"/>
    <n v="49.99"/>
    <n v="199.96"/>
    <s v="Credit Card"/>
    <x v="0"/>
    <m/>
    <n v="28"/>
    <s v="Jacksonville"/>
    <x v="3"/>
    <s v="Female"/>
  </r>
  <r>
    <s v="ORD-20203"/>
    <s v="CUST-5023"/>
    <d v="2024-03-03T00:00:00"/>
    <x v="5"/>
    <s v="Wireless Earbuds"/>
    <n v="79.989999999999995"/>
    <n v="3"/>
    <n v="20"/>
    <n v="63.99"/>
    <n v="191.97"/>
    <s v="UPI"/>
    <x v="2"/>
    <n v="3"/>
    <n v="28"/>
    <s v="Jacksonville"/>
    <x v="3"/>
    <s v="Female"/>
  </r>
  <r>
    <s v="ORD-20204"/>
    <s v="CUST-5023"/>
    <d v="2022-06-01T00:00:00"/>
    <x v="4"/>
    <s v="Jump Rope"/>
    <n v="14.99"/>
    <n v="2"/>
    <n v="0"/>
    <n v="14.99"/>
    <n v="29.98"/>
    <s v="UPI"/>
    <x v="0"/>
    <n v="4"/>
    <n v="28"/>
    <s v="Jacksonville"/>
    <x v="3"/>
    <s v="Female"/>
  </r>
  <r>
    <s v="ORD-20205"/>
    <s v="CUST-5024"/>
    <d v="2023-10-06T00:00:00"/>
    <x v="5"/>
    <s v="Smart Watch"/>
    <n v="199.99"/>
    <n v="4"/>
    <n v="0"/>
    <n v="199.99"/>
    <n v="799.96"/>
    <s v="Wallet"/>
    <x v="0"/>
    <m/>
    <n v="41"/>
    <s v="Jacksonville"/>
    <x v="3"/>
    <s v="Female"/>
  </r>
  <r>
    <s v="ORD-20206"/>
    <s v="CUST-5024"/>
    <d v="2023-01-15T00:00:00"/>
    <x v="2"/>
    <s v="Blender"/>
    <n v="64.989999999999995"/>
    <n v="2"/>
    <n v="0"/>
    <n v="64.989999999999995"/>
    <n v="129.97999999999999"/>
    <s v="Debit Card"/>
    <x v="0"/>
    <n v="5"/>
    <n v="41"/>
    <s v="Jacksonville"/>
    <x v="3"/>
    <s v="Female"/>
  </r>
  <r>
    <s v="ORD-20207"/>
    <s v="CUST-5024"/>
    <d v="2023-11-02T00:00:00"/>
    <x v="3"/>
    <s v="Cotton T-Shirt"/>
    <n v="24.99"/>
    <n v="2"/>
    <n v="0"/>
    <n v="24.99"/>
    <n v="49.98"/>
    <s v="PayPal"/>
    <x v="0"/>
    <n v="3"/>
    <n v="41"/>
    <s v="Jacksonville"/>
    <x v="3"/>
    <s v="Female"/>
  </r>
  <r>
    <s v="ORD-20208"/>
    <s v="CUST-5024"/>
    <d v="2024-08-08T00:00:00"/>
    <x v="0"/>
    <s v="Data Science Handbook"/>
    <n v="49.99"/>
    <n v="1"/>
    <n v="20"/>
    <n v="39.99"/>
    <n v="39.99"/>
    <s v="UPI"/>
    <x v="0"/>
    <n v="3"/>
    <n v="41"/>
    <s v="Jacksonville"/>
    <x v="3"/>
    <s v="Female"/>
  </r>
  <r>
    <s v="ORD-20209"/>
    <s v="CUST-5024"/>
    <d v="2022-06-18T00:00:00"/>
    <x v="0"/>
    <s v="Fiction Novel"/>
    <n v="14.99"/>
    <n v="1"/>
    <n v="5"/>
    <n v="14.24"/>
    <n v="14.24"/>
    <s v="Debit Card"/>
    <x v="0"/>
    <n v="5"/>
    <n v="41"/>
    <s v="Jacksonville"/>
    <x v="3"/>
    <s v="Female"/>
  </r>
  <r>
    <s v="ORD-20210"/>
    <s v="CUST-5024"/>
    <d v="2023-06-16T00:00:00"/>
    <x v="5"/>
    <s v="USB-C Hub"/>
    <n v="34.99"/>
    <n v="2"/>
    <n v="5"/>
    <n v="33.24"/>
    <n v="66.48"/>
    <s v="UPI"/>
    <x v="0"/>
    <n v="3"/>
    <n v="41"/>
    <s v="Jacksonville"/>
    <x v="3"/>
    <s v="Female"/>
  </r>
  <r>
    <s v="ORD-20211"/>
    <s v="CUST-5024"/>
    <d v="2024-08-19T00:00:00"/>
    <x v="3"/>
    <s v="Denim Jacket"/>
    <n v="69.989999999999995"/>
    <n v="3"/>
    <n v="5"/>
    <n v="66.489999999999995"/>
    <n v="199.47"/>
    <s v="Wallet"/>
    <x v="0"/>
    <n v="4"/>
    <n v="41"/>
    <s v="Jacksonville"/>
    <x v="3"/>
    <s v="Female"/>
  </r>
  <r>
    <s v="ORD-20212"/>
    <s v="CUST-5024"/>
    <d v="2024-08-25T00:00:00"/>
    <x v="4"/>
    <s v="Yoga Mat"/>
    <n v="29.99"/>
    <n v="3"/>
    <n v="10"/>
    <n v="26.99"/>
    <n v="80.97"/>
    <s v="Debit Card"/>
    <x v="0"/>
    <m/>
    <n v="41"/>
    <s v="Jacksonville"/>
    <x v="3"/>
    <s v="Female"/>
  </r>
  <r>
    <s v="ORD-20213"/>
    <s v="CUST-5024"/>
    <d v="2022-09-05T00:00:00"/>
    <x v="6"/>
    <s v="Hair Mask"/>
    <n v="24.99"/>
    <n v="1"/>
    <n v="0"/>
    <n v="24.99"/>
    <n v="24.99"/>
    <s v="UPI"/>
    <x v="0"/>
    <n v="5"/>
    <n v="41"/>
    <s v="Jacksonville"/>
    <x v="3"/>
    <s v="Female"/>
  </r>
  <r>
    <s v="ORD-20214"/>
    <s v="CUST-5024"/>
    <d v="2023-02-14T00:00:00"/>
    <x v="3"/>
    <s v="Cotton T-Shirt"/>
    <n v="24.99"/>
    <n v="2"/>
    <n v="10"/>
    <n v="22.49"/>
    <n v="44.98"/>
    <s v="Wallet"/>
    <x v="0"/>
    <n v="5"/>
    <n v="41"/>
    <s v="Jacksonville"/>
    <x v="3"/>
    <s v="Female"/>
  </r>
  <r>
    <s v="ORD-20215"/>
    <s v="CUST-5024"/>
    <d v="2023-01-24T00:00:00"/>
    <x v="5"/>
    <s v="Bluetooth Speaker"/>
    <n v="49.99"/>
    <n v="4"/>
    <n v="0"/>
    <n v="49.99"/>
    <n v="199.96"/>
    <s v="Debit Card"/>
    <x v="0"/>
    <n v="5"/>
    <n v="41"/>
    <s v="Jacksonville"/>
    <x v="3"/>
    <s v="Female"/>
  </r>
  <r>
    <s v="ORD-20216"/>
    <s v="CUST-5024"/>
    <d v="2023-08-13T00:00:00"/>
    <x v="2"/>
    <s v="Non-stick Pan Set"/>
    <n v="44.99"/>
    <n v="4"/>
    <n v="5"/>
    <n v="42.74"/>
    <n v="170.96"/>
    <s v="UPI"/>
    <x v="0"/>
    <n v="4"/>
    <n v="41"/>
    <s v="Jacksonville"/>
    <x v="3"/>
    <s v="Female"/>
  </r>
  <r>
    <s v="ORD-20217"/>
    <s v="CUST-5024"/>
    <d v="2022-03-04T00:00:00"/>
    <x v="3"/>
    <s v="Cotton T-Shirt"/>
    <n v="24.99"/>
    <n v="1"/>
    <n v="0"/>
    <n v="24.99"/>
    <n v="24.99"/>
    <s v="Wallet"/>
    <x v="0"/>
    <m/>
    <n v="41"/>
    <s v="Jacksonville"/>
    <x v="3"/>
    <s v="Female"/>
  </r>
  <r>
    <s v="ORD-20218"/>
    <s v="CUST-5024"/>
    <d v="2024-11-20T00:00:00"/>
    <x v="0"/>
    <s v="Python for Beginners"/>
    <n v="29.99"/>
    <n v="3"/>
    <n v="0"/>
    <n v="29.99"/>
    <n v="89.97"/>
    <s v="UPI"/>
    <x v="0"/>
    <m/>
    <n v="41"/>
    <s v="Jacksonville"/>
    <x v="3"/>
    <s v="Female"/>
  </r>
  <r>
    <s v="ORD-20219"/>
    <s v="CUST-5024"/>
    <d v="2023-01-12T00:00:00"/>
    <x v="3"/>
    <s v="Denim Jacket"/>
    <n v="69.989999999999995"/>
    <n v="2"/>
    <n v="0"/>
    <n v="69.989999999999995"/>
    <n v="139.97999999999999"/>
    <s v="Wallet"/>
    <x v="0"/>
    <n v="5"/>
    <n v="41"/>
    <s v="Jacksonville"/>
    <x v="3"/>
    <s v="Female"/>
  </r>
  <r>
    <s v="ORD-20220"/>
    <s v="CUST-5025"/>
    <d v="2024-04-05T00:00:00"/>
    <x v="4"/>
    <s v="Resistance Bands"/>
    <n v="19.989999999999998"/>
    <n v="3"/>
    <n v="10"/>
    <n v="17.989999999999998"/>
    <n v="53.97"/>
    <s v="UPI"/>
    <x v="0"/>
    <n v="5"/>
    <n v="43"/>
    <s v="New York"/>
    <x v="2"/>
    <s v="Male"/>
  </r>
  <r>
    <s v="ORD-20221"/>
    <s v="CUST-5025"/>
    <d v="2022-05-20T00:00:00"/>
    <x v="2"/>
    <s v="Non-stick Pan Set"/>
    <n v="44.99"/>
    <n v="3"/>
    <n v="10"/>
    <n v="40.49"/>
    <n v="121.47"/>
    <s v="Debit Card"/>
    <x v="0"/>
    <n v="5"/>
    <n v="43"/>
    <s v="New York"/>
    <x v="2"/>
    <s v="Male"/>
  </r>
  <r>
    <s v="ORD-20222"/>
    <s v="CUST-5025"/>
    <d v="2023-03-28T00:00:00"/>
    <x v="4"/>
    <s v="Resistance Bands"/>
    <n v="19.989999999999998"/>
    <n v="2"/>
    <n v="0"/>
    <n v="19.989999999999998"/>
    <n v="39.979999999999997"/>
    <s v="Credit Card"/>
    <x v="0"/>
    <n v="4"/>
    <n v="43"/>
    <s v="New York"/>
    <x v="2"/>
    <s v="Male"/>
  </r>
  <r>
    <s v="ORD-20223"/>
    <s v="CUST-5026"/>
    <d v="2024-02-07T00:00:00"/>
    <x v="3"/>
    <s v="Denim Jacket"/>
    <n v="69.989999999999995"/>
    <n v="2"/>
    <n v="0"/>
    <n v="69.989999999999995"/>
    <n v="139.97999999999999"/>
    <s v="Wallet"/>
    <x v="0"/>
    <n v="4"/>
    <n v="56"/>
    <s v="New York"/>
    <x v="0"/>
    <s v="Female"/>
  </r>
  <r>
    <s v="ORD-20224"/>
    <s v="CUST-5026"/>
    <d v="2024-11-15T00:00:00"/>
    <x v="1"/>
    <s v="LEGO Classic Set"/>
    <n v="49.99"/>
    <n v="2"/>
    <n v="0"/>
    <n v="49.99"/>
    <n v="99.98"/>
    <s v="Wallet"/>
    <x v="0"/>
    <n v="4"/>
    <n v="56"/>
    <s v="New York"/>
    <x v="0"/>
    <s v="Female"/>
  </r>
  <r>
    <s v="ORD-20225"/>
    <s v="CUST-5026"/>
    <d v="2023-08-13T00:00:00"/>
    <x v="5"/>
    <s v="USB-C Hub"/>
    <n v="34.99"/>
    <n v="4"/>
    <n v="0"/>
    <n v="34.99"/>
    <n v="139.96"/>
    <s v="UPI"/>
    <x v="0"/>
    <n v="4"/>
    <n v="56"/>
    <s v="New York"/>
    <x v="0"/>
    <s v="Female"/>
  </r>
  <r>
    <s v="ORD-20226"/>
    <s v="CUST-5026"/>
    <d v="2022-06-13T00:00:00"/>
    <x v="2"/>
    <s v="Coffee Maker"/>
    <n v="59.99"/>
    <n v="3"/>
    <n v="0"/>
    <n v="59.99"/>
    <n v="179.97"/>
    <s v="Wallet"/>
    <x v="0"/>
    <m/>
    <n v="56"/>
    <s v="New York"/>
    <x v="0"/>
    <s v="Female"/>
  </r>
  <r>
    <s v="ORD-20227"/>
    <s v="CUST-5027"/>
    <d v="2024-08-02T00:00:00"/>
    <x v="1"/>
    <s v="Puzzle 1000pcs"/>
    <n v="24.99"/>
    <n v="4"/>
    <n v="5"/>
    <n v="23.74"/>
    <n v="94.96"/>
    <s v="Debit Card"/>
    <x v="0"/>
    <n v="3"/>
    <n v="64"/>
    <s v="Chicago"/>
    <x v="3"/>
    <s v="Female"/>
  </r>
  <r>
    <s v="ORD-20228"/>
    <s v="CUST-5027"/>
    <d v="2023-05-13T00:00:00"/>
    <x v="0"/>
    <s v="Business Analytics"/>
    <n v="39.99"/>
    <n v="1"/>
    <n v="0"/>
    <n v="39.99"/>
    <n v="39.99"/>
    <s v="Debit Card"/>
    <x v="0"/>
    <m/>
    <n v="64"/>
    <s v="Chicago"/>
    <x v="3"/>
    <s v="Female"/>
  </r>
  <r>
    <s v="ORD-20229"/>
    <s v="CUST-5028"/>
    <d v="2024-08-13T00:00:00"/>
    <x v="3"/>
    <s v="Cotton T-Shirt"/>
    <n v="24.99"/>
    <n v="4"/>
    <n v="0"/>
    <n v="24.99"/>
    <n v="99.96"/>
    <s v="Credit Card"/>
    <x v="0"/>
    <n v="4"/>
    <n v="38"/>
    <s v="Chicago"/>
    <x v="2"/>
    <s v="Female"/>
  </r>
  <r>
    <s v="ORD-20230"/>
    <s v="CUST-5028"/>
    <d v="2022-11-16T00:00:00"/>
    <x v="0"/>
    <s v="Python for Beginners"/>
    <n v="29.99"/>
    <n v="3"/>
    <n v="15"/>
    <n v="25.49"/>
    <n v="76.47"/>
    <s v="Credit Card"/>
    <x v="0"/>
    <n v="4"/>
    <n v="38"/>
    <s v="Chicago"/>
    <x v="2"/>
    <s v="Female"/>
  </r>
  <r>
    <s v="ORD-20231"/>
    <s v="CUST-5028"/>
    <d v="2022-01-21T00:00:00"/>
    <x v="3"/>
    <s v="Denim Jacket"/>
    <n v="69.989999999999995"/>
    <n v="2"/>
    <n v="0"/>
    <n v="69.989999999999995"/>
    <n v="139.97999999999999"/>
    <s v="UPI"/>
    <x v="0"/>
    <n v="4"/>
    <n v="38"/>
    <s v="Chicago"/>
    <x v="2"/>
    <s v="Female"/>
  </r>
  <r>
    <s v="ORD-20232"/>
    <s v="CUST-5028"/>
    <d v="2023-01-13T00:00:00"/>
    <x v="6"/>
    <s v="Lip Balm Set"/>
    <n v="14.99"/>
    <n v="1"/>
    <n v="0"/>
    <n v="14.99"/>
    <n v="14.99"/>
    <s v="PayPal"/>
    <x v="4"/>
    <n v="5"/>
    <n v="38"/>
    <s v="Chicago"/>
    <x v="2"/>
    <s v="Female"/>
  </r>
  <r>
    <s v="ORD-20233"/>
    <s v="CUST-5028"/>
    <d v="2022-05-03T00:00:00"/>
    <x v="4"/>
    <s v="Water Bottle"/>
    <n v="24.99"/>
    <n v="4"/>
    <n v="10"/>
    <n v="22.49"/>
    <n v="89.96"/>
    <s v="PayPal"/>
    <x v="0"/>
    <n v="4"/>
    <n v="38"/>
    <s v="Chicago"/>
    <x v="2"/>
    <s v="Female"/>
  </r>
  <r>
    <s v="ORD-20234"/>
    <s v="CUST-5028"/>
    <d v="2023-11-24T00:00:00"/>
    <x v="3"/>
    <s v="Cotton T-Shirt"/>
    <n v="24.99"/>
    <n v="3"/>
    <n v="0"/>
    <n v="24.99"/>
    <n v="74.97"/>
    <s v="Debit Card"/>
    <x v="0"/>
    <m/>
    <n v="38"/>
    <s v="Chicago"/>
    <x v="2"/>
    <s v="Female"/>
  </r>
  <r>
    <s v="ORD-20235"/>
    <s v="CUST-5028"/>
    <d v="2022-02-19T00:00:00"/>
    <x v="3"/>
    <s v="Running Shoes"/>
    <n v="89.99"/>
    <n v="4"/>
    <n v="20"/>
    <n v="71.989999999999995"/>
    <n v="287.95999999999998"/>
    <s v="UPI"/>
    <x v="0"/>
    <m/>
    <n v="38"/>
    <s v="Chicago"/>
    <x v="2"/>
    <s v="Female"/>
  </r>
  <r>
    <s v="ORD-20236"/>
    <s v="CUST-5028"/>
    <d v="2022-07-15T00:00:00"/>
    <x v="1"/>
    <s v="Remote Control Car"/>
    <n v="39.99"/>
    <n v="1"/>
    <n v="0"/>
    <n v="39.99"/>
    <n v="39.99"/>
    <s v="PayPal"/>
    <x v="4"/>
    <n v="5"/>
    <n v="38"/>
    <s v="Chicago"/>
    <x v="2"/>
    <s v="Female"/>
  </r>
  <r>
    <s v="ORD-20237"/>
    <s v="CUST-5029"/>
    <d v="2022-03-01T00:00:00"/>
    <x v="2"/>
    <s v="Non-stick Pan Set"/>
    <n v="44.99"/>
    <n v="2"/>
    <n v="15"/>
    <n v="38.24"/>
    <n v="76.48"/>
    <s v="Debit Card"/>
    <x v="0"/>
    <n v="5"/>
    <n v="30"/>
    <s v="San Jose"/>
    <x v="2"/>
    <s v="Female"/>
  </r>
  <r>
    <s v="ORD-20238"/>
    <s v="CUST-5029"/>
    <d v="2023-11-06T00:00:00"/>
    <x v="1"/>
    <s v="Puzzle 1000pcs"/>
    <n v="24.99"/>
    <n v="3"/>
    <n v="0"/>
    <n v="24.99"/>
    <n v="74.97"/>
    <s v="PayPal"/>
    <x v="0"/>
    <n v="4"/>
    <n v="30"/>
    <s v="San Jose"/>
    <x v="2"/>
    <s v="Female"/>
  </r>
  <r>
    <s v="ORD-20239"/>
    <s v="CUST-5029"/>
    <d v="2023-10-03T00:00:00"/>
    <x v="1"/>
    <s v="Puzzle 1000pcs"/>
    <n v="24.99"/>
    <n v="1"/>
    <n v="0"/>
    <n v="24.99"/>
    <n v="24.99"/>
    <s v="UPI"/>
    <x v="4"/>
    <n v="4"/>
    <n v="30"/>
    <s v="San Jose"/>
    <x v="2"/>
    <s v="Female"/>
  </r>
  <r>
    <s v="ORD-20240"/>
    <s v="CUST-5029"/>
    <d v="2024-09-04T00:00:00"/>
    <x v="5"/>
    <s v="Smart Watch"/>
    <n v="199.99"/>
    <n v="2"/>
    <n v="10"/>
    <n v="179.99"/>
    <n v="359.98"/>
    <s v="Debit Card"/>
    <x v="0"/>
    <n v="4"/>
    <n v="30"/>
    <s v="San Jose"/>
    <x v="2"/>
    <s v="Female"/>
  </r>
  <r>
    <s v="ORD-20241"/>
    <s v="CUST-5029"/>
    <d v="2023-11-13T00:00:00"/>
    <x v="6"/>
    <s v="Hair Mask"/>
    <n v="24.99"/>
    <n v="3"/>
    <n v="10"/>
    <n v="22.49"/>
    <n v="67.47"/>
    <s v="PayPal"/>
    <x v="0"/>
    <n v="5"/>
    <n v="30"/>
    <s v="San Jose"/>
    <x v="2"/>
    <s v="Female"/>
  </r>
  <r>
    <s v="ORD-20242"/>
    <s v="CUST-5029"/>
    <d v="2022-10-17T00:00:00"/>
    <x v="1"/>
    <s v="Remote Control Car"/>
    <n v="39.99"/>
    <n v="1"/>
    <n v="20"/>
    <n v="31.99"/>
    <n v="31.99"/>
    <s v="PayPal"/>
    <x v="2"/>
    <m/>
    <n v="30"/>
    <s v="San Jose"/>
    <x v="2"/>
    <s v="Female"/>
  </r>
  <r>
    <s v="ORD-20243"/>
    <s v="CUST-5029"/>
    <d v="2024-03-02T00:00:00"/>
    <x v="3"/>
    <s v="Cotton T-Shirt"/>
    <n v="24.99"/>
    <n v="3"/>
    <n v="15"/>
    <n v="21.24"/>
    <n v="63.72"/>
    <s v="Wallet"/>
    <x v="0"/>
    <n v="5"/>
    <n v="30"/>
    <s v="San Jose"/>
    <x v="2"/>
    <s v="Female"/>
  </r>
  <r>
    <s v="ORD-20244"/>
    <s v="CUST-5029"/>
    <d v="2022-08-13T00:00:00"/>
    <x v="2"/>
    <s v="Non-stick Pan Set"/>
    <n v="44.99"/>
    <n v="2"/>
    <n v="5"/>
    <n v="42.74"/>
    <n v="85.48"/>
    <s v="UPI"/>
    <x v="0"/>
    <m/>
    <n v="30"/>
    <s v="San Jose"/>
    <x v="2"/>
    <s v="Female"/>
  </r>
  <r>
    <s v="ORD-20245"/>
    <s v="CUST-5029"/>
    <d v="2024-07-18T00:00:00"/>
    <x v="0"/>
    <s v="Data Science Handbook"/>
    <n v="49.99"/>
    <n v="1"/>
    <n v="20"/>
    <n v="39.99"/>
    <n v="39.99"/>
    <s v="Wallet"/>
    <x v="0"/>
    <n v="4"/>
    <n v="30"/>
    <s v="San Jose"/>
    <x v="2"/>
    <s v="Female"/>
  </r>
  <r>
    <s v="ORD-20246"/>
    <s v="CUST-5029"/>
    <d v="2024-08-17T00:00:00"/>
    <x v="3"/>
    <s v="Running Shoes"/>
    <n v="89.99"/>
    <n v="1"/>
    <n v="20"/>
    <n v="71.989999999999995"/>
    <n v="71.989999999999995"/>
    <s v="Debit Card"/>
    <x v="0"/>
    <m/>
    <n v="30"/>
    <s v="San Jose"/>
    <x v="2"/>
    <s v="Female"/>
  </r>
  <r>
    <s v="ORD-20247"/>
    <s v="CUST-5029"/>
    <d v="2023-04-09T00:00:00"/>
    <x v="3"/>
    <s v="Denim Jacket"/>
    <n v="69.989999999999995"/>
    <n v="4"/>
    <n v="0"/>
    <n v="69.989999999999995"/>
    <n v="279.95999999999998"/>
    <s v="UPI"/>
    <x v="2"/>
    <n v="5"/>
    <n v="30"/>
    <s v="San Jose"/>
    <x v="2"/>
    <s v="Female"/>
  </r>
  <r>
    <s v="ORD-20248"/>
    <s v="CUST-5029"/>
    <d v="2022-10-05T00:00:00"/>
    <x v="0"/>
    <s v="Python for Beginners"/>
    <n v="29.99"/>
    <n v="2"/>
    <n v="5"/>
    <n v="28.49"/>
    <n v="56.98"/>
    <s v="Debit Card"/>
    <x v="0"/>
    <m/>
    <n v="30"/>
    <s v="San Jose"/>
    <x v="2"/>
    <s v="Female"/>
  </r>
  <r>
    <s v="ORD-20249"/>
    <s v="CUST-5029"/>
    <d v="2022-09-05T00:00:00"/>
    <x v="4"/>
    <s v="Yoga Mat"/>
    <n v="29.99"/>
    <n v="4"/>
    <n v="0"/>
    <n v="29.99"/>
    <n v="119.96"/>
    <s v="Credit Card"/>
    <x v="2"/>
    <n v="3"/>
    <n v="30"/>
    <s v="San Jose"/>
    <x v="2"/>
    <s v="Female"/>
  </r>
  <r>
    <s v="ORD-20250"/>
    <s v="CUST-5029"/>
    <d v="2022-01-15T00:00:00"/>
    <x v="1"/>
    <s v="LEGO Classic Set"/>
    <n v="49.99"/>
    <n v="2"/>
    <n v="5"/>
    <n v="47.49"/>
    <n v="94.98"/>
    <s v="PayPal"/>
    <x v="0"/>
    <m/>
    <n v="30"/>
    <s v="San Jose"/>
    <x v="2"/>
    <s v="Female"/>
  </r>
  <r>
    <s v="ORD-20251"/>
    <s v="CUST-5029"/>
    <d v="2022-08-23T00:00:00"/>
    <x v="3"/>
    <s v="Running Shoes"/>
    <n v="89.99"/>
    <n v="2"/>
    <n v="0"/>
    <n v="89.99"/>
    <n v="179.98"/>
    <s v="UPI"/>
    <x v="0"/>
    <n v="3"/>
    <n v="30"/>
    <s v="San Jose"/>
    <x v="2"/>
    <s v="Female"/>
  </r>
  <r>
    <s v="ORD-20252"/>
    <s v="CUST-5030"/>
    <d v="2023-12-08T00:00:00"/>
    <x v="3"/>
    <s v="Denim Jacket"/>
    <n v="69.989999999999995"/>
    <n v="3"/>
    <n v="5"/>
    <n v="66.489999999999995"/>
    <n v="199.47"/>
    <s v="Wallet"/>
    <x v="0"/>
    <n v="4"/>
    <n v="59"/>
    <s v="San Jose"/>
    <x v="3"/>
    <s v="Female"/>
  </r>
  <r>
    <s v="ORD-20253"/>
    <s v="CUST-5030"/>
    <d v="2022-02-18T00:00:00"/>
    <x v="0"/>
    <s v="Fiction Novel"/>
    <n v="14.99"/>
    <n v="2"/>
    <n v="0"/>
    <n v="14.99"/>
    <n v="29.98"/>
    <s v="UPI"/>
    <x v="0"/>
    <n v="2"/>
    <n v="59"/>
    <s v="San Jose"/>
    <x v="3"/>
    <s v="Female"/>
  </r>
  <r>
    <s v="ORD-20254"/>
    <s v="CUST-5030"/>
    <d v="2024-08-25T00:00:00"/>
    <x v="0"/>
    <s v="Python for Beginners"/>
    <n v="29.99"/>
    <n v="1"/>
    <n v="5"/>
    <n v="28.49"/>
    <n v="28.49"/>
    <s v="PayPal"/>
    <x v="0"/>
    <n v="4"/>
    <n v="59"/>
    <s v="San Jose"/>
    <x v="3"/>
    <s v="Female"/>
  </r>
  <r>
    <s v="ORD-20255"/>
    <s v="CUST-5031"/>
    <d v="2023-09-13T00:00:00"/>
    <x v="5"/>
    <s v="USB-C Hub"/>
    <n v="34.99"/>
    <n v="2"/>
    <n v="0"/>
    <n v="34.99"/>
    <n v="69.98"/>
    <s v="Debit Card"/>
    <x v="4"/>
    <n v="5"/>
    <n v="28"/>
    <s v="Philadelphia"/>
    <x v="2"/>
    <s v="Female"/>
  </r>
  <r>
    <s v="ORD-20256"/>
    <s v="CUST-5031"/>
    <d v="2022-10-17T00:00:00"/>
    <x v="6"/>
    <s v="Moisturizer SPF 50"/>
    <n v="29.99"/>
    <n v="3"/>
    <n v="15"/>
    <n v="25.49"/>
    <n v="76.47"/>
    <s v="Credit Card"/>
    <x v="0"/>
    <n v="4"/>
    <n v="28"/>
    <s v="Philadelphia"/>
    <x v="2"/>
    <s v="Female"/>
  </r>
  <r>
    <s v="ORD-20257"/>
    <s v="CUST-5031"/>
    <d v="2023-03-15T00:00:00"/>
    <x v="3"/>
    <s v="Yoga Pants"/>
    <n v="44.99"/>
    <n v="2"/>
    <n v="20"/>
    <n v="35.99"/>
    <n v="71.98"/>
    <s v="Debit Card"/>
    <x v="0"/>
    <n v="1"/>
    <n v="28"/>
    <s v="Philadelphia"/>
    <x v="2"/>
    <s v="Female"/>
  </r>
  <r>
    <s v="ORD-20258"/>
    <s v="CUST-5031"/>
    <d v="2023-02-28T00:00:00"/>
    <x v="1"/>
    <s v="Remote Control Car"/>
    <n v="39.99"/>
    <n v="3"/>
    <n v="0"/>
    <n v="39.99"/>
    <n v="119.97"/>
    <s v="Debit Card"/>
    <x v="4"/>
    <n v="3"/>
    <n v="28"/>
    <s v="Philadelphia"/>
    <x v="2"/>
    <s v="Female"/>
  </r>
  <r>
    <s v="ORD-20259"/>
    <s v="CUST-5031"/>
    <d v="2022-11-06T00:00:00"/>
    <x v="4"/>
    <s v="Jump Rope"/>
    <n v="14.99"/>
    <n v="3"/>
    <n v="10"/>
    <n v="13.49"/>
    <n v="40.47"/>
    <s v="PayPal"/>
    <x v="0"/>
    <m/>
    <n v="28"/>
    <s v="Philadelphia"/>
    <x v="2"/>
    <s v="Female"/>
  </r>
  <r>
    <s v="ORD-20260"/>
    <s v="CUST-5031"/>
    <d v="2022-09-21T00:00:00"/>
    <x v="6"/>
    <s v="Lip Balm Set"/>
    <n v="14.99"/>
    <n v="3"/>
    <n v="0"/>
    <n v="14.99"/>
    <n v="44.97"/>
    <s v="Wallet"/>
    <x v="0"/>
    <m/>
    <n v="28"/>
    <s v="Philadelphia"/>
    <x v="2"/>
    <s v="Female"/>
  </r>
  <r>
    <s v="ORD-20261"/>
    <s v="CUST-5031"/>
    <d v="2023-11-23T00:00:00"/>
    <x v="5"/>
    <s v="Smart Watch"/>
    <n v="199.99"/>
    <n v="2"/>
    <n v="15"/>
    <n v="169.99"/>
    <n v="339.98"/>
    <s v="Wallet"/>
    <x v="0"/>
    <n v="5"/>
    <n v="28"/>
    <s v="Philadelphia"/>
    <x v="2"/>
    <s v="Female"/>
  </r>
  <r>
    <s v="ORD-20262"/>
    <s v="CUST-5031"/>
    <d v="2024-10-16T00:00:00"/>
    <x v="5"/>
    <s v="Smart Watch"/>
    <n v="199.99"/>
    <n v="1"/>
    <n v="20"/>
    <n v="159.99"/>
    <n v="159.99"/>
    <s v="PayPal"/>
    <x v="0"/>
    <m/>
    <n v="28"/>
    <s v="Philadelphia"/>
    <x v="2"/>
    <s v="Female"/>
  </r>
  <r>
    <s v="ORD-20263"/>
    <s v="CUST-5031"/>
    <d v="2023-07-07T00:00:00"/>
    <x v="1"/>
    <s v="LEGO Classic Set"/>
    <n v="49.99"/>
    <n v="2"/>
    <n v="15"/>
    <n v="42.49"/>
    <n v="84.98"/>
    <s v="Wallet"/>
    <x v="0"/>
    <n v="4"/>
    <n v="28"/>
    <s v="Philadelphia"/>
    <x v="2"/>
    <s v="Female"/>
  </r>
  <r>
    <s v="ORD-20264"/>
    <s v="CUST-5032"/>
    <d v="2022-01-26T00:00:00"/>
    <x v="5"/>
    <s v="Wireless Earbuds"/>
    <n v="79.989999999999995"/>
    <n v="1"/>
    <n v="10"/>
    <n v="71.989999999999995"/>
    <n v="71.989999999999995"/>
    <s v="Wallet"/>
    <x v="0"/>
    <n v="4"/>
    <n v="33"/>
    <s v="Phoenix"/>
    <x v="3"/>
    <s v="Male"/>
  </r>
  <r>
    <s v="ORD-20265"/>
    <s v="CUST-5032"/>
    <d v="2022-09-14T00:00:00"/>
    <x v="4"/>
    <s v="Yoga Mat"/>
    <n v="29.99"/>
    <n v="1"/>
    <n v="0"/>
    <n v="29.99"/>
    <n v="29.99"/>
    <s v="Debit Card"/>
    <x v="0"/>
    <n v="3"/>
    <n v="33"/>
    <s v="Phoenix"/>
    <x v="3"/>
    <s v="Male"/>
  </r>
  <r>
    <s v="ORD-20266"/>
    <s v="CUST-5032"/>
    <d v="2024-08-21T00:00:00"/>
    <x v="2"/>
    <s v="Air Fryer"/>
    <n v="89.99"/>
    <n v="1"/>
    <n v="0"/>
    <n v="89.99"/>
    <n v="89.99"/>
    <s v="Wallet"/>
    <x v="0"/>
    <n v="5"/>
    <n v="33"/>
    <s v="Phoenix"/>
    <x v="3"/>
    <s v="Male"/>
  </r>
  <r>
    <s v="ORD-20267"/>
    <s v="CUST-5032"/>
    <d v="2023-07-25T00:00:00"/>
    <x v="6"/>
    <s v="Hair Mask"/>
    <n v="24.99"/>
    <n v="1"/>
    <n v="0"/>
    <n v="24.99"/>
    <n v="24.99"/>
    <s v="Wallet"/>
    <x v="0"/>
    <m/>
    <n v="33"/>
    <s v="Phoenix"/>
    <x v="3"/>
    <s v="Male"/>
  </r>
  <r>
    <s v="ORD-20268"/>
    <s v="CUST-5032"/>
    <d v="2024-04-13T00:00:00"/>
    <x v="5"/>
    <s v="Bluetooth Speaker"/>
    <n v="49.99"/>
    <n v="3"/>
    <n v="20"/>
    <n v="39.99"/>
    <n v="119.97"/>
    <s v="UPI"/>
    <x v="0"/>
    <m/>
    <n v="33"/>
    <s v="Phoenix"/>
    <x v="3"/>
    <s v="Male"/>
  </r>
  <r>
    <s v="ORD-20269"/>
    <s v="CUST-5032"/>
    <d v="2023-08-04T00:00:00"/>
    <x v="6"/>
    <s v="Lip Balm Set"/>
    <n v="14.99"/>
    <n v="3"/>
    <n v="5"/>
    <n v="14.24"/>
    <n v="42.72"/>
    <s v="Wallet"/>
    <x v="0"/>
    <n v="3"/>
    <n v="33"/>
    <s v="Phoenix"/>
    <x v="3"/>
    <s v="Male"/>
  </r>
  <r>
    <s v="ORD-20270"/>
    <s v="CUST-5032"/>
    <d v="2023-04-17T00:00:00"/>
    <x v="3"/>
    <s v="Cotton T-Shirt"/>
    <n v="24.99"/>
    <n v="3"/>
    <n v="15"/>
    <n v="21.24"/>
    <n v="63.72"/>
    <s v="Credit Card"/>
    <x v="0"/>
    <n v="4"/>
    <n v="33"/>
    <s v="Phoenix"/>
    <x v="3"/>
    <s v="Male"/>
  </r>
  <r>
    <s v="ORD-20271"/>
    <s v="CUST-5032"/>
    <d v="2024-02-16T00:00:00"/>
    <x v="2"/>
    <s v="Blender"/>
    <n v="64.989999999999995"/>
    <n v="2"/>
    <n v="15"/>
    <n v="55.24"/>
    <n v="110.48"/>
    <s v="Credit Card"/>
    <x v="0"/>
    <n v="4"/>
    <n v="33"/>
    <s v="Phoenix"/>
    <x v="3"/>
    <s v="Male"/>
  </r>
  <r>
    <s v="ORD-20272"/>
    <s v="CUST-5033"/>
    <d v="2024-08-28T00:00:00"/>
    <x v="0"/>
    <s v="Data Science Handbook"/>
    <n v="49.99"/>
    <n v="3"/>
    <n v="0"/>
    <n v="49.99"/>
    <n v="149.97"/>
    <s v="Credit Card"/>
    <x v="0"/>
    <m/>
    <n v="36"/>
    <s v="Los Angeles"/>
    <x v="3"/>
    <s v="Female"/>
  </r>
  <r>
    <s v="ORD-20273"/>
    <s v="CUST-5033"/>
    <d v="2022-07-12T00:00:00"/>
    <x v="1"/>
    <s v="Remote Control Car"/>
    <n v="39.99"/>
    <n v="3"/>
    <n v="0"/>
    <n v="39.99"/>
    <n v="119.97"/>
    <s v="PayPal"/>
    <x v="0"/>
    <m/>
    <n v="36"/>
    <s v="Los Angeles"/>
    <x v="3"/>
    <s v="Female"/>
  </r>
  <r>
    <s v="ORD-20274"/>
    <s v="CUST-5033"/>
    <d v="2022-07-22T00:00:00"/>
    <x v="6"/>
    <s v="Moisturizer SPF 50"/>
    <n v="29.99"/>
    <n v="1"/>
    <n v="0"/>
    <n v="29.99"/>
    <n v="29.99"/>
    <s v="Wallet"/>
    <x v="1"/>
    <m/>
    <n v="36"/>
    <s v="Los Angeles"/>
    <x v="3"/>
    <s v="Female"/>
  </r>
  <r>
    <s v="ORD-20275"/>
    <s v="CUST-5033"/>
    <d v="2024-10-23T00:00:00"/>
    <x v="1"/>
    <s v="Remote Control Car"/>
    <n v="39.99"/>
    <n v="4"/>
    <n v="0"/>
    <n v="39.99"/>
    <n v="159.96"/>
    <s v="Credit Card"/>
    <x v="0"/>
    <n v="4"/>
    <n v="36"/>
    <s v="Los Angeles"/>
    <x v="3"/>
    <s v="Female"/>
  </r>
  <r>
    <s v="ORD-20276"/>
    <s v="CUST-5033"/>
    <d v="2022-12-08T00:00:00"/>
    <x v="1"/>
    <s v="Action Figure"/>
    <n v="19.989999999999998"/>
    <n v="1"/>
    <n v="15"/>
    <n v="16.989999999999998"/>
    <n v="16.989999999999998"/>
    <s v="UPI"/>
    <x v="0"/>
    <n v="4"/>
    <n v="36"/>
    <s v="Los Angeles"/>
    <x v="3"/>
    <s v="Female"/>
  </r>
  <r>
    <s v="ORD-20277"/>
    <s v="CUST-5033"/>
    <d v="2023-08-18T00:00:00"/>
    <x v="4"/>
    <s v="Yoga Mat"/>
    <n v="29.99"/>
    <n v="4"/>
    <n v="5"/>
    <n v="28.49"/>
    <n v="113.96"/>
    <s v="Debit Card"/>
    <x v="0"/>
    <n v="4"/>
    <n v="36"/>
    <s v="Los Angeles"/>
    <x v="3"/>
    <s v="Female"/>
  </r>
  <r>
    <s v="ORD-20278"/>
    <s v="CUST-5033"/>
    <d v="2023-07-27T00:00:00"/>
    <x v="0"/>
    <s v="Fiction Novel"/>
    <n v="14.99"/>
    <n v="4"/>
    <n v="0"/>
    <n v="14.99"/>
    <n v="59.96"/>
    <s v="Wallet"/>
    <x v="0"/>
    <m/>
    <n v="36"/>
    <s v="Los Angeles"/>
    <x v="3"/>
    <s v="Female"/>
  </r>
  <r>
    <s v="ORD-20279"/>
    <s v="CUST-5033"/>
    <d v="2024-02-04T00:00:00"/>
    <x v="0"/>
    <s v="Fiction Novel"/>
    <n v="14.99"/>
    <n v="3"/>
    <n v="10"/>
    <n v="13.49"/>
    <n v="40.47"/>
    <s v="Credit Card"/>
    <x v="0"/>
    <n v="4"/>
    <n v="36"/>
    <s v="Los Angeles"/>
    <x v="3"/>
    <s v="Female"/>
  </r>
  <r>
    <s v="ORD-20280"/>
    <s v="CUST-5033"/>
    <d v="2023-06-03T00:00:00"/>
    <x v="6"/>
    <s v="Hair Mask"/>
    <n v="24.99"/>
    <n v="4"/>
    <n v="0"/>
    <n v="24.99"/>
    <n v="99.96"/>
    <s v="Debit Card"/>
    <x v="0"/>
    <m/>
    <n v="36"/>
    <s v="Los Angeles"/>
    <x v="3"/>
    <s v="Female"/>
  </r>
  <r>
    <s v="ORD-20281"/>
    <s v="CUST-5033"/>
    <d v="2023-01-02T00:00:00"/>
    <x v="1"/>
    <s v="Remote Control Car"/>
    <n v="39.99"/>
    <n v="1"/>
    <n v="5"/>
    <n v="37.99"/>
    <n v="37.99"/>
    <s v="PayPal"/>
    <x v="0"/>
    <n v="4"/>
    <n v="36"/>
    <s v="Los Angeles"/>
    <x v="3"/>
    <s v="Female"/>
  </r>
  <r>
    <s v="ORD-20282"/>
    <s v="CUST-5033"/>
    <d v="2024-01-24T00:00:00"/>
    <x v="5"/>
    <s v="Smart Watch"/>
    <n v="199.99"/>
    <n v="4"/>
    <n v="20"/>
    <n v="159.99"/>
    <n v="639.96"/>
    <s v="Wallet"/>
    <x v="0"/>
    <n v="3"/>
    <n v="36"/>
    <s v="Los Angeles"/>
    <x v="3"/>
    <s v="Female"/>
  </r>
  <r>
    <s v="ORD-20283"/>
    <s v="CUST-5033"/>
    <d v="2022-12-15T00:00:00"/>
    <x v="0"/>
    <s v="Fiction Novel"/>
    <n v="14.99"/>
    <n v="1"/>
    <n v="5"/>
    <n v="14.24"/>
    <n v="14.24"/>
    <s v="Wallet"/>
    <x v="0"/>
    <n v="5"/>
    <n v="36"/>
    <s v="Los Angeles"/>
    <x v="3"/>
    <s v="Female"/>
  </r>
  <r>
    <s v="ORD-20284"/>
    <s v="CUST-5033"/>
    <d v="2023-03-19T00:00:00"/>
    <x v="6"/>
    <s v="Moisturizer SPF 50"/>
    <n v="29.99"/>
    <n v="3"/>
    <n v="0"/>
    <n v="29.99"/>
    <n v="89.97"/>
    <s v="UPI"/>
    <x v="0"/>
    <m/>
    <n v="36"/>
    <s v="Los Angeles"/>
    <x v="3"/>
    <s v="Female"/>
  </r>
  <r>
    <s v="ORD-20285"/>
    <s v="CUST-5034"/>
    <d v="2022-08-01T00:00:00"/>
    <x v="0"/>
    <s v="Business Analytics"/>
    <n v="39.99"/>
    <n v="3"/>
    <n v="5"/>
    <n v="37.99"/>
    <n v="113.97"/>
    <s v="PayPal"/>
    <x v="2"/>
    <n v="5"/>
    <n v="61"/>
    <s v="San Jose"/>
    <x v="1"/>
    <s v="Female"/>
  </r>
  <r>
    <s v="ORD-20286"/>
    <s v="CUST-5034"/>
    <d v="2024-10-15T00:00:00"/>
    <x v="1"/>
    <s v="Puzzle 1000pcs"/>
    <n v="24.99"/>
    <n v="4"/>
    <n v="0"/>
    <n v="24.99"/>
    <n v="99.96"/>
    <s v="Wallet"/>
    <x v="0"/>
    <m/>
    <n v="61"/>
    <s v="San Jose"/>
    <x v="1"/>
    <s v="Female"/>
  </r>
  <r>
    <s v="ORD-20287"/>
    <s v="CUST-5034"/>
    <d v="2022-01-04T00:00:00"/>
    <x v="5"/>
    <s v="Wireless Earbuds"/>
    <n v="79.989999999999995"/>
    <n v="1"/>
    <n v="15"/>
    <n v="67.989999999999995"/>
    <n v="67.989999999999995"/>
    <s v="PayPal"/>
    <x v="0"/>
    <n v="5"/>
    <n v="61"/>
    <s v="San Jose"/>
    <x v="1"/>
    <s v="Female"/>
  </r>
  <r>
    <s v="ORD-20288"/>
    <s v="CUST-5034"/>
    <d v="2022-03-23T00:00:00"/>
    <x v="6"/>
    <s v="Lip Balm Set"/>
    <n v="14.99"/>
    <n v="2"/>
    <n v="0"/>
    <n v="14.99"/>
    <n v="29.98"/>
    <s v="Wallet"/>
    <x v="0"/>
    <m/>
    <n v="61"/>
    <s v="San Jose"/>
    <x v="1"/>
    <s v="Female"/>
  </r>
  <r>
    <s v="ORD-20289"/>
    <s v="CUST-5035"/>
    <d v="2024-10-03T00:00:00"/>
    <x v="3"/>
    <s v="Cotton T-Shirt"/>
    <n v="24.99"/>
    <n v="2"/>
    <n v="0"/>
    <n v="24.99"/>
    <n v="49.98"/>
    <s v="Wallet"/>
    <x v="0"/>
    <n v="5"/>
    <n v="42"/>
    <s v="Philadelphia"/>
    <x v="3"/>
    <s v="Female"/>
  </r>
  <r>
    <s v="ORD-20290"/>
    <s v="CUST-5035"/>
    <d v="2024-07-11T00:00:00"/>
    <x v="3"/>
    <s v="Running Shoes"/>
    <n v="89.99"/>
    <n v="3"/>
    <n v="0"/>
    <n v="89.99"/>
    <n v="269.97000000000003"/>
    <s v="Wallet"/>
    <x v="4"/>
    <m/>
    <n v="42"/>
    <s v="Philadelphia"/>
    <x v="3"/>
    <s v="Female"/>
  </r>
  <r>
    <s v="ORD-20291"/>
    <s v="CUST-5035"/>
    <d v="2022-10-19T00:00:00"/>
    <x v="4"/>
    <s v="Jump Rope"/>
    <n v="14.99"/>
    <n v="2"/>
    <n v="0"/>
    <n v="14.99"/>
    <n v="29.98"/>
    <s v="UPI"/>
    <x v="0"/>
    <n v="4"/>
    <n v="42"/>
    <s v="Philadelphia"/>
    <x v="3"/>
    <s v="Female"/>
  </r>
  <r>
    <s v="ORD-20292"/>
    <s v="CUST-5035"/>
    <d v="2022-02-19T00:00:00"/>
    <x v="4"/>
    <s v="Resistance Bands"/>
    <n v="19.989999999999998"/>
    <n v="2"/>
    <n v="0"/>
    <n v="19.989999999999998"/>
    <n v="39.979999999999997"/>
    <s v="UPI"/>
    <x v="1"/>
    <n v="5"/>
    <n v="42"/>
    <s v="Philadelphia"/>
    <x v="3"/>
    <s v="Female"/>
  </r>
  <r>
    <s v="ORD-20293"/>
    <s v="CUST-5035"/>
    <d v="2024-09-25T00:00:00"/>
    <x v="4"/>
    <s v="Water Bottle"/>
    <n v="24.99"/>
    <n v="3"/>
    <n v="0"/>
    <n v="24.99"/>
    <n v="74.97"/>
    <s v="Credit Card"/>
    <x v="0"/>
    <n v="2"/>
    <n v="42"/>
    <s v="Philadelphia"/>
    <x v="3"/>
    <s v="Female"/>
  </r>
  <r>
    <s v="ORD-20294"/>
    <s v="CUST-5036"/>
    <d v="2024-07-04T00:00:00"/>
    <x v="3"/>
    <s v="Cotton T-Shirt"/>
    <n v="24.99"/>
    <n v="2"/>
    <n v="0"/>
    <n v="24.99"/>
    <n v="49.98"/>
    <s v="Credit Card"/>
    <x v="0"/>
    <m/>
    <n v="36"/>
    <s v="San Jose"/>
    <x v="1"/>
    <s v="Female"/>
  </r>
  <r>
    <s v="ORD-20295"/>
    <s v="CUST-5036"/>
    <d v="2023-10-11T00:00:00"/>
    <x v="0"/>
    <s v="Fiction Novel"/>
    <n v="14.99"/>
    <n v="3"/>
    <n v="0"/>
    <n v="14.99"/>
    <n v="44.97"/>
    <s v="Wallet"/>
    <x v="0"/>
    <n v="3"/>
    <n v="36"/>
    <s v="San Jose"/>
    <x v="1"/>
    <s v="Female"/>
  </r>
  <r>
    <s v="ORD-20296"/>
    <s v="CUST-5036"/>
    <d v="2024-03-21T00:00:00"/>
    <x v="5"/>
    <s v="Smart Watch"/>
    <n v="199.99"/>
    <n v="4"/>
    <n v="15"/>
    <n v="169.99"/>
    <n v="679.96"/>
    <s v="Credit Card"/>
    <x v="0"/>
    <n v="5"/>
    <n v="36"/>
    <s v="San Jose"/>
    <x v="1"/>
    <s v="Female"/>
  </r>
  <r>
    <s v="ORD-20297"/>
    <s v="CUST-5036"/>
    <d v="2024-03-02T00:00:00"/>
    <x v="5"/>
    <s v="Wireless Earbuds"/>
    <n v="79.989999999999995"/>
    <n v="1"/>
    <n v="15"/>
    <n v="67.989999999999995"/>
    <n v="67.989999999999995"/>
    <s v="Credit Card"/>
    <x v="0"/>
    <n v="5"/>
    <n v="36"/>
    <s v="San Jose"/>
    <x v="1"/>
    <s v="Female"/>
  </r>
  <r>
    <s v="ORD-20298"/>
    <s v="CUST-5036"/>
    <d v="2023-02-01T00:00:00"/>
    <x v="2"/>
    <s v="Blender"/>
    <n v="64.989999999999995"/>
    <n v="1"/>
    <n v="0"/>
    <n v="64.989999999999995"/>
    <n v="64.989999999999995"/>
    <s v="Credit Card"/>
    <x v="0"/>
    <n v="5"/>
    <n v="36"/>
    <s v="San Jose"/>
    <x v="1"/>
    <s v="Female"/>
  </r>
  <r>
    <s v="ORD-20299"/>
    <s v="CUST-5036"/>
    <d v="2022-04-13T00:00:00"/>
    <x v="6"/>
    <s v="Lip Balm Set"/>
    <n v="14.99"/>
    <n v="3"/>
    <n v="5"/>
    <n v="14.24"/>
    <n v="42.72"/>
    <s v="PayPal"/>
    <x v="0"/>
    <n v="5"/>
    <n v="36"/>
    <s v="San Jose"/>
    <x v="1"/>
    <s v="Female"/>
  </r>
  <r>
    <s v="ORD-20300"/>
    <s v="CUST-5036"/>
    <d v="2022-09-18T00:00:00"/>
    <x v="4"/>
    <s v="Yoga Mat"/>
    <n v="29.99"/>
    <n v="4"/>
    <n v="15"/>
    <n v="25.49"/>
    <n v="101.96"/>
    <s v="PayPal"/>
    <x v="0"/>
    <n v="4"/>
    <n v="36"/>
    <s v="San Jose"/>
    <x v="1"/>
    <s v="Female"/>
  </r>
  <r>
    <s v="ORD-20301"/>
    <s v="CUST-5036"/>
    <d v="2023-11-17T00:00:00"/>
    <x v="4"/>
    <s v="Resistance Bands"/>
    <n v="19.989999999999998"/>
    <n v="2"/>
    <n v="20"/>
    <n v="15.99"/>
    <n v="31.98"/>
    <s v="PayPal"/>
    <x v="4"/>
    <m/>
    <n v="36"/>
    <s v="San Jose"/>
    <x v="1"/>
    <s v="Female"/>
  </r>
  <r>
    <s v="ORD-20302"/>
    <s v="CUST-5036"/>
    <d v="2024-12-08T00:00:00"/>
    <x v="1"/>
    <s v="Action Figure"/>
    <n v="19.989999999999998"/>
    <n v="2"/>
    <n v="5"/>
    <n v="18.989999999999998"/>
    <n v="37.979999999999997"/>
    <s v="Debit Card"/>
    <x v="0"/>
    <n v="5"/>
    <n v="36"/>
    <s v="San Jose"/>
    <x v="1"/>
    <s v="Female"/>
  </r>
  <r>
    <s v="ORD-20303"/>
    <s v="CUST-5037"/>
    <d v="2024-05-01T00:00:00"/>
    <x v="1"/>
    <s v="Puzzle 1000pcs"/>
    <n v="24.99"/>
    <n v="4"/>
    <n v="15"/>
    <n v="21.24"/>
    <n v="84.96"/>
    <s v="UPI"/>
    <x v="0"/>
    <m/>
    <n v="39"/>
    <s v="Austin"/>
    <x v="2"/>
    <s v="Female"/>
  </r>
  <r>
    <s v="ORD-20304"/>
    <s v="CUST-5037"/>
    <d v="2022-02-16T00:00:00"/>
    <x v="5"/>
    <s v="Bluetooth Speaker"/>
    <n v="49.99"/>
    <n v="2"/>
    <n v="20"/>
    <n v="39.99"/>
    <n v="79.98"/>
    <s v="Debit Card"/>
    <x v="2"/>
    <m/>
    <n v="39"/>
    <s v="Austin"/>
    <x v="2"/>
    <s v="Female"/>
  </r>
  <r>
    <s v="ORD-20305"/>
    <s v="CUST-5037"/>
    <d v="2022-08-24T00:00:00"/>
    <x v="3"/>
    <s v="Running Shoes"/>
    <n v="89.99"/>
    <n v="1"/>
    <n v="5"/>
    <n v="85.49"/>
    <n v="85.49"/>
    <s v="Debit Card"/>
    <x v="0"/>
    <m/>
    <n v="39"/>
    <s v="Austin"/>
    <x v="2"/>
    <s v="Female"/>
  </r>
  <r>
    <s v="ORD-20306"/>
    <s v="CUST-5037"/>
    <d v="2023-05-24T00:00:00"/>
    <x v="6"/>
    <s v="Hair Mask"/>
    <n v="24.99"/>
    <n v="1"/>
    <n v="10"/>
    <n v="22.49"/>
    <n v="22.49"/>
    <s v="PayPal"/>
    <x v="0"/>
    <n v="2"/>
    <n v="39"/>
    <s v="Austin"/>
    <x v="2"/>
    <s v="Female"/>
  </r>
  <r>
    <s v="ORD-20307"/>
    <s v="CUST-5037"/>
    <d v="2022-09-10T00:00:00"/>
    <x v="2"/>
    <s v="Non-stick Pan Set"/>
    <n v="44.99"/>
    <n v="1"/>
    <n v="0"/>
    <n v="44.99"/>
    <n v="44.99"/>
    <s v="PayPal"/>
    <x v="0"/>
    <m/>
    <n v="39"/>
    <s v="Austin"/>
    <x v="2"/>
    <s v="Female"/>
  </r>
  <r>
    <s v="ORD-20308"/>
    <s v="CUST-5037"/>
    <d v="2024-06-25T00:00:00"/>
    <x v="3"/>
    <s v="Yoga Pants"/>
    <n v="44.99"/>
    <n v="1"/>
    <n v="0"/>
    <n v="44.99"/>
    <n v="44.99"/>
    <s v="Debit Card"/>
    <x v="0"/>
    <n v="5"/>
    <n v="39"/>
    <s v="Austin"/>
    <x v="2"/>
    <s v="Female"/>
  </r>
  <r>
    <s v="ORD-20309"/>
    <s v="CUST-5037"/>
    <d v="2024-06-13T00:00:00"/>
    <x v="0"/>
    <s v="Business Analytics"/>
    <n v="39.99"/>
    <n v="3"/>
    <n v="0"/>
    <n v="39.99"/>
    <n v="119.97"/>
    <s v="Debit Card"/>
    <x v="0"/>
    <n v="1"/>
    <n v="39"/>
    <s v="Austin"/>
    <x v="2"/>
    <s v="Female"/>
  </r>
  <r>
    <s v="ORD-20310"/>
    <s v="CUST-5037"/>
    <d v="2023-05-08T00:00:00"/>
    <x v="2"/>
    <s v="Blender"/>
    <n v="64.989999999999995"/>
    <n v="2"/>
    <n v="0"/>
    <n v="64.989999999999995"/>
    <n v="129.97999999999999"/>
    <s v="PayPal"/>
    <x v="0"/>
    <m/>
    <n v="39"/>
    <s v="Austin"/>
    <x v="2"/>
    <s v="Female"/>
  </r>
  <r>
    <s v="ORD-20311"/>
    <s v="CUST-5037"/>
    <d v="2023-06-06T00:00:00"/>
    <x v="0"/>
    <s v="Fiction Novel"/>
    <n v="14.99"/>
    <n v="3"/>
    <n v="15"/>
    <n v="12.74"/>
    <n v="38.22"/>
    <s v="PayPal"/>
    <x v="0"/>
    <n v="4"/>
    <n v="39"/>
    <s v="Austin"/>
    <x v="2"/>
    <s v="Female"/>
  </r>
  <r>
    <s v="ORD-20312"/>
    <s v="CUST-5037"/>
    <d v="2024-06-07T00:00:00"/>
    <x v="2"/>
    <s v="Air Fryer"/>
    <n v="89.99"/>
    <n v="4"/>
    <n v="10"/>
    <n v="80.989999999999995"/>
    <n v="323.95999999999998"/>
    <s v="UPI"/>
    <x v="0"/>
    <n v="4"/>
    <n v="39"/>
    <s v="Austin"/>
    <x v="2"/>
    <s v="Female"/>
  </r>
  <r>
    <s v="ORD-20313"/>
    <s v="CUST-5037"/>
    <d v="2023-02-18T00:00:00"/>
    <x v="4"/>
    <s v="Yoga Mat"/>
    <n v="29.99"/>
    <n v="3"/>
    <n v="0"/>
    <n v="29.99"/>
    <n v="89.97"/>
    <s v="Credit Card"/>
    <x v="2"/>
    <m/>
    <n v="39"/>
    <s v="Austin"/>
    <x v="2"/>
    <s v="Female"/>
  </r>
  <r>
    <s v="ORD-20314"/>
    <s v="CUST-5037"/>
    <d v="2022-09-16T00:00:00"/>
    <x v="2"/>
    <s v="Air Fryer"/>
    <n v="89.99"/>
    <n v="2"/>
    <n v="5"/>
    <n v="85.49"/>
    <n v="170.98"/>
    <s v="Wallet"/>
    <x v="0"/>
    <n v="4"/>
    <n v="39"/>
    <s v="Austin"/>
    <x v="2"/>
    <s v="Female"/>
  </r>
  <r>
    <s v="ORD-20315"/>
    <s v="CUST-5037"/>
    <d v="2022-11-06T00:00:00"/>
    <x v="5"/>
    <s v="Wireless Earbuds"/>
    <n v="79.989999999999995"/>
    <n v="1"/>
    <n v="10"/>
    <n v="71.989999999999995"/>
    <n v="71.989999999999995"/>
    <s v="Credit Card"/>
    <x v="0"/>
    <n v="3"/>
    <n v="39"/>
    <s v="Austin"/>
    <x v="2"/>
    <s v="Female"/>
  </r>
  <r>
    <s v="ORD-20316"/>
    <s v="CUST-5037"/>
    <d v="2023-08-23T00:00:00"/>
    <x v="0"/>
    <s v="Data Science Handbook"/>
    <n v="49.99"/>
    <n v="4"/>
    <n v="20"/>
    <n v="39.99"/>
    <n v="159.96"/>
    <s v="PayPal"/>
    <x v="0"/>
    <n v="3"/>
    <n v="39"/>
    <s v="Austin"/>
    <x v="2"/>
    <s v="Female"/>
  </r>
  <r>
    <s v="ORD-20317"/>
    <s v="CUST-5037"/>
    <d v="2022-06-04T00:00:00"/>
    <x v="1"/>
    <s v="LEGO Classic Set"/>
    <n v="49.99"/>
    <n v="1"/>
    <n v="20"/>
    <n v="39.99"/>
    <n v="39.99"/>
    <s v="UPI"/>
    <x v="0"/>
    <n v="2"/>
    <n v="39"/>
    <s v="Austin"/>
    <x v="2"/>
    <s v="Female"/>
  </r>
  <r>
    <s v="ORD-20318"/>
    <s v="CUST-5038"/>
    <d v="2023-07-04T00:00:00"/>
    <x v="3"/>
    <s v="Running Shoes"/>
    <n v="89.99"/>
    <n v="3"/>
    <n v="15"/>
    <n v="76.489999999999995"/>
    <n v="229.47"/>
    <s v="Wallet"/>
    <x v="0"/>
    <n v="5"/>
    <n v="46"/>
    <s v="Los Angeles"/>
    <x v="2"/>
    <s v="Male"/>
  </r>
  <r>
    <s v="ORD-20319"/>
    <s v="CUST-5038"/>
    <d v="2024-03-15T00:00:00"/>
    <x v="6"/>
    <s v="Hair Mask"/>
    <n v="24.99"/>
    <n v="4"/>
    <n v="5"/>
    <n v="23.74"/>
    <n v="94.96"/>
    <s v="Wallet"/>
    <x v="4"/>
    <n v="5"/>
    <n v="46"/>
    <s v="Los Angeles"/>
    <x v="2"/>
    <s v="Male"/>
  </r>
  <r>
    <s v="ORD-20320"/>
    <s v="CUST-5038"/>
    <d v="2024-10-15T00:00:00"/>
    <x v="4"/>
    <s v="Water Bottle"/>
    <n v="24.99"/>
    <n v="1"/>
    <n v="0"/>
    <n v="24.99"/>
    <n v="24.99"/>
    <s v="PayPal"/>
    <x v="4"/>
    <n v="5"/>
    <n v="46"/>
    <s v="Los Angeles"/>
    <x v="2"/>
    <s v="Male"/>
  </r>
  <r>
    <s v="ORD-20321"/>
    <s v="CUST-5038"/>
    <d v="2022-06-05T00:00:00"/>
    <x v="0"/>
    <s v="Python for Beginners"/>
    <n v="29.99"/>
    <n v="1"/>
    <n v="0"/>
    <n v="29.99"/>
    <n v="29.99"/>
    <s v="Wallet"/>
    <x v="0"/>
    <n v="5"/>
    <n v="46"/>
    <s v="Los Angeles"/>
    <x v="2"/>
    <s v="Male"/>
  </r>
  <r>
    <s v="ORD-20322"/>
    <s v="CUST-5038"/>
    <d v="2022-07-16T00:00:00"/>
    <x v="6"/>
    <s v="Hair Mask"/>
    <n v="24.99"/>
    <n v="3"/>
    <n v="0"/>
    <n v="24.99"/>
    <n v="74.97"/>
    <s v="PayPal"/>
    <x v="0"/>
    <m/>
    <n v="46"/>
    <s v="Los Angeles"/>
    <x v="2"/>
    <s v="Male"/>
  </r>
  <r>
    <s v="ORD-20323"/>
    <s v="CUST-5038"/>
    <d v="2023-06-09T00:00:00"/>
    <x v="4"/>
    <s v="Yoga Mat"/>
    <n v="29.99"/>
    <n v="3"/>
    <n v="20"/>
    <n v="23.99"/>
    <n v="71.97"/>
    <s v="Credit Card"/>
    <x v="0"/>
    <n v="3"/>
    <n v="46"/>
    <s v="Los Angeles"/>
    <x v="2"/>
    <s v="Male"/>
  </r>
  <r>
    <s v="ORD-20324"/>
    <s v="CUST-5038"/>
    <d v="2022-12-15T00:00:00"/>
    <x v="6"/>
    <s v="Lip Balm Set"/>
    <n v="14.99"/>
    <n v="1"/>
    <n v="0"/>
    <n v="14.99"/>
    <n v="14.99"/>
    <s v="Credit Card"/>
    <x v="2"/>
    <m/>
    <n v="46"/>
    <s v="Los Angeles"/>
    <x v="2"/>
    <s v="Male"/>
  </r>
  <r>
    <s v="ORD-20325"/>
    <s v="CUST-5038"/>
    <d v="2024-11-20T00:00:00"/>
    <x v="0"/>
    <s v="Data Science Handbook"/>
    <n v="49.99"/>
    <n v="4"/>
    <n v="0"/>
    <n v="49.99"/>
    <n v="199.96"/>
    <s v="UPI"/>
    <x v="0"/>
    <n v="5"/>
    <n v="46"/>
    <s v="Los Angeles"/>
    <x v="2"/>
    <s v="Male"/>
  </r>
  <r>
    <s v="ORD-20326"/>
    <s v="CUST-5039"/>
    <d v="2022-09-12T00:00:00"/>
    <x v="1"/>
    <s v="LEGO Classic Set"/>
    <n v="49.99"/>
    <n v="3"/>
    <n v="0"/>
    <n v="49.99"/>
    <n v="149.97"/>
    <s v="UPI"/>
    <x v="0"/>
    <n v="5"/>
    <n v="60"/>
    <s v="San Jose"/>
    <x v="1"/>
    <s v="Female"/>
  </r>
  <r>
    <s v="ORD-20327"/>
    <s v="CUST-5039"/>
    <d v="2022-12-02T00:00:00"/>
    <x v="1"/>
    <s v="Remote Control Car"/>
    <n v="39.99"/>
    <n v="4"/>
    <n v="20"/>
    <n v="31.99"/>
    <n v="127.96"/>
    <s v="PayPal"/>
    <x v="0"/>
    <n v="4"/>
    <n v="60"/>
    <s v="San Jose"/>
    <x v="1"/>
    <s v="Female"/>
  </r>
  <r>
    <s v="ORD-20328"/>
    <s v="CUST-5039"/>
    <d v="2023-08-07T00:00:00"/>
    <x v="3"/>
    <s v="Yoga Pants"/>
    <n v="44.99"/>
    <n v="3"/>
    <n v="0"/>
    <n v="44.99"/>
    <n v="134.97"/>
    <s v="Debit Card"/>
    <x v="0"/>
    <n v="5"/>
    <n v="60"/>
    <s v="San Jose"/>
    <x v="1"/>
    <s v="Female"/>
  </r>
  <r>
    <s v="ORD-20329"/>
    <s v="CUST-5039"/>
    <d v="2024-04-06T00:00:00"/>
    <x v="6"/>
    <s v="Face Serum"/>
    <n v="39.99"/>
    <n v="1"/>
    <n v="20"/>
    <n v="31.99"/>
    <n v="31.99"/>
    <s v="Wallet"/>
    <x v="0"/>
    <m/>
    <n v="60"/>
    <s v="San Jose"/>
    <x v="1"/>
    <s v="Female"/>
  </r>
  <r>
    <s v="ORD-20330"/>
    <s v="CUST-5040"/>
    <d v="2022-10-22T00:00:00"/>
    <x v="3"/>
    <s v="Running Shoes"/>
    <n v="89.99"/>
    <n v="4"/>
    <n v="15"/>
    <n v="76.489999999999995"/>
    <n v="305.95999999999998"/>
    <s v="UPI"/>
    <x v="0"/>
    <n v="4"/>
    <n v="55"/>
    <s v="Chicago"/>
    <x v="3"/>
    <s v="Male"/>
  </r>
  <r>
    <s v="ORD-20331"/>
    <s v="CUST-5040"/>
    <d v="2024-03-27T00:00:00"/>
    <x v="2"/>
    <s v="Air Fryer"/>
    <n v="89.99"/>
    <n v="3"/>
    <n v="15"/>
    <n v="76.489999999999995"/>
    <n v="229.47"/>
    <s v="Debit Card"/>
    <x v="0"/>
    <n v="4"/>
    <n v="55"/>
    <s v="Chicago"/>
    <x v="3"/>
    <s v="Male"/>
  </r>
  <r>
    <s v="ORD-20332"/>
    <s v="CUST-5040"/>
    <d v="2023-02-02T00:00:00"/>
    <x v="1"/>
    <s v="LEGO Classic Set"/>
    <n v="49.99"/>
    <n v="4"/>
    <n v="20"/>
    <n v="39.99"/>
    <n v="159.96"/>
    <s v="PayPal"/>
    <x v="0"/>
    <n v="5"/>
    <n v="55"/>
    <s v="Chicago"/>
    <x v="3"/>
    <s v="Male"/>
  </r>
  <r>
    <s v="ORD-20333"/>
    <s v="CUST-5040"/>
    <d v="2023-04-08T00:00:00"/>
    <x v="6"/>
    <s v="Moisturizer SPF 50"/>
    <n v="29.99"/>
    <n v="1"/>
    <n v="5"/>
    <n v="28.49"/>
    <n v="28.49"/>
    <s v="Credit Card"/>
    <x v="0"/>
    <m/>
    <n v="55"/>
    <s v="Chicago"/>
    <x v="3"/>
    <s v="Male"/>
  </r>
  <r>
    <s v="ORD-20334"/>
    <s v="CUST-5040"/>
    <d v="2023-06-02T00:00:00"/>
    <x v="4"/>
    <s v="Resistance Bands"/>
    <n v="19.989999999999998"/>
    <n v="3"/>
    <n v="10"/>
    <n v="17.989999999999998"/>
    <n v="53.97"/>
    <s v="UPI"/>
    <x v="0"/>
    <n v="4"/>
    <n v="55"/>
    <s v="Chicago"/>
    <x v="3"/>
    <s v="Male"/>
  </r>
  <r>
    <s v="ORD-20335"/>
    <s v="CUST-5040"/>
    <d v="2023-02-06T00:00:00"/>
    <x v="6"/>
    <s v="Face Serum"/>
    <n v="39.99"/>
    <n v="3"/>
    <n v="0"/>
    <n v="39.99"/>
    <n v="119.97"/>
    <s v="Credit Card"/>
    <x v="0"/>
    <m/>
    <n v="55"/>
    <s v="Chicago"/>
    <x v="3"/>
    <s v="Male"/>
  </r>
  <r>
    <s v="ORD-20336"/>
    <s v="CUST-5040"/>
    <d v="2024-01-21T00:00:00"/>
    <x v="4"/>
    <s v="Water Bottle"/>
    <n v="24.99"/>
    <n v="4"/>
    <n v="0"/>
    <n v="24.99"/>
    <n v="99.96"/>
    <s v="UPI"/>
    <x v="0"/>
    <m/>
    <n v="55"/>
    <s v="Chicago"/>
    <x v="3"/>
    <s v="Male"/>
  </r>
  <r>
    <s v="ORD-20337"/>
    <s v="CUST-5040"/>
    <d v="2023-04-15T00:00:00"/>
    <x v="0"/>
    <s v="Business Analytics"/>
    <n v="39.99"/>
    <n v="2"/>
    <n v="15"/>
    <n v="33.99"/>
    <n v="67.98"/>
    <s v="UPI"/>
    <x v="4"/>
    <m/>
    <n v="55"/>
    <s v="Chicago"/>
    <x v="3"/>
    <s v="Male"/>
  </r>
  <r>
    <s v="ORD-20338"/>
    <s v="CUST-5040"/>
    <d v="2022-11-16T00:00:00"/>
    <x v="3"/>
    <s v="Cotton T-Shirt"/>
    <n v="24.99"/>
    <n v="2"/>
    <n v="20"/>
    <n v="19.989999999999998"/>
    <n v="39.979999999999997"/>
    <s v="PayPal"/>
    <x v="0"/>
    <m/>
    <n v="55"/>
    <s v="Chicago"/>
    <x v="3"/>
    <s v="Male"/>
  </r>
  <r>
    <s v="ORD-20339"/>
    <s v="CUST-5040"/>
    <d v="2024-11-15T00:00:00"/>
    <x v="0"/>
    <s v="Data Science Handbook"/>
    <n v="49.99"/>
    <n v="3"/>
    <n v="0"/>
    <n v="49.99"/>
    <n v="149.97"/>
    <s v="PayPal"/>
    <x v="2"/>
    <m/>
    <n v="55"/>
    <s v="Chicago"/>
    <x v="3"/>
    <s v="Male"/>
  </r>
  <r>
    <s v="ORD-20340"/>
    <s v="CUST-5041"/>
    <d v="2023-05-26T00:00:00"/>
    <x v="2"/>
    <s v="Air Fryer"/>
    <n v="89.99"/>
    <n v="2"/>
    <n v="0"/>
    <n v="89.99"/>
    <n v="179.98"/>
    <s v="Debit Card"/>
    <x v="0"/>
    <n v="5"/>
    <n v="48"/>
    <s v="Houston"/>
    <x v="0"/>
    <s v="Male"/>
  </r>
  <r>
    <s v="ORD-20341"/>
    <s v="CUST-5041"/>
    <d v="2024-06-14T00:00:00"/>
    <x v="3"/>
    <s v="Running Shoes"/>
    <n v="89.99"/>
    <n v="4"/>
    <n v="0"/>
    <n v="89.99"/>
    <n v="359.96"/>
    <s v="Wallet"/>
    <x v="0"/>
    <n v="4"/>
    <n v="48"/>
    <s v="Houston"/>
    <x v="0"/>
    <s v="Male"/>
  </r>
  <r>
    <s v="ORD-20342"/>
    <s v="CUST-5041"/>
    <d v="2024-08-22T00:00:00"/>
    <x v="4"/>
    <s v="Water Bottle"/>
    <n v="24.99"/>
    <n v="2"/>
    <n v="20"/>
    <n v="19.989999999999998"/>
    <n v="39.979999999999997"/>
    <s v="Credit Card"/>
    <x v="0"/>
    <m/>
    <n v="48"/>
    <s v="Houston"/>
    <x v="0"/>
    <s v="Male"/>
  </r>
  <r>
    <s v="ORD-20343"/>
    <s v="CUST-5041"/>
    <d v="2023-10-25T00:00:00"/>
    <x v="0"/>
    <s v="Fiction Novel"/>
    <n v="14.99"/>
    <n v="4"/>
    <n v="10"/>
    <n v="13.49"/>
    <n v="53.96"/>
    <s v="Credit Card"/>
    <x v="0"/>
    <n v="4"/>
    <n v="48"/>
    <s v="Houston"/>
    <x v="0"/>
    <s v="Male"/>
  </r>
  <r>
    <s v="ORD-20344"/>
    <s v="CUST-5041"/>
    <d v="2023-04-25T00:00:00"/>
    <x v="4"/>
    <s v="Water Bottle"/>
    <n v="24.99"/>
    <n v="2"/>
    <n v="15"/>
    <n v="21.24"/>
    <n v="42.48"/>
    <s v="Credit Card"/>
    <x v="0"/>
    <n v="5"/>
    <n v="48"/>
    <s v="Houston"/>
    <x v="0"/>
    <s v="Male"/>
  </r>
  <r>
    <s v="ORD-20345"/>
    <s v="CUST-5041"/>
    <d v="2024-03-12T00:00:00"/>
    <x v="6"/>
    <s v="Face Serum"/>
    <n v="39.99"/>
    <n v="1"/>
    <n v="0"/>
    <n v="39.99"/>
    <n v="39.99"/>
    <s v="Wallet"/>
    <x v="0"/>
    <m/>
    <n v="48"/>
    <s v="Houston"/>
    <x v="0"/>
    <s v="Male"/>
  </r>
  <r>
    <s v="ORD-20346"/>
    <s v="CUST-5041"/>
    <d v="2022-01-08T00:00:00"/>
    <x v="2"/>
    <s v="Blender"/>
    <n v="64.989999999999995"/>
    <n v="2"/>
    <n v="10"/>
    <n v="58.49"/>
    <n v="116.98"/>
    <s v="Debit Card"/>
    <x v="0"/>
    <m/>
    <n v="48"/>
    <s v="Houston"/>
    <x v="0"/>
    <s v="Male"/>
  </r>
  <r>
    <s v="ORD-20347"/>
    <s v="CUST-5041"/>
    <d v="2024-06-17T00:00:00"/>
    <x v="5"/>
    <s v="Smart Watch"/>
    <n v="199.99"/>
    <n v="4"/>
    <n v="20"/>
    <n v="159.99"/>
    <n v="639.96"/>
    <s v="Credit Card"/>
    <x v="0"/>
    <m/>
    <n v="48"/>
    <s v="Houston"/>
    <x v="0"/>
    <s v="Male"/>
  </r>
  <r>
    <s v="ORD-20348"/>
    <s v="CUST-5041"/>
    <d v="2024-08-15T00:00:00"/>
    <x v="0"/>
    <s v="Fiction Novel"/>
    <n v="14.99"/>
    <n v="2"/>
    <n v="10"/>
    <n v="13.49"/>
    <n v="26.98"/>
    <s v="UPI"/>
    <x v="0"/>
    <n v="4"/>
    <n v="48"/>
    <s v="Houston"/>
    <x v="0"/>
    <s v="Male"/>
  </r>
  <r>
    <s v="ORD-20349"/>
    <s v="CUST-5041"/>
    <d v="2024-08-05T00:00:00"/>
    <x v="4"/>
    <s v="Jump Rope"/>
    <n v="14.99"/>
    <n v="4"/>
    <n v="0"/>
    <n v="14.99"/>
    <n v="59.96"/>
    <s v="Credit Card"/>
    <x v="0"/>
    <n v="3"/>
    <n v="48"/>
    <s v="Houston"/>
    <x v="0"/>
    <s v="Male"/>
  </r>
  <r>
    <s v="ORD-20350"/>
    <s v="CUST-5041"/>
    <d v="2024-11-20T00:00:00"/>
    <x v="2"/>
    <s v="Non-stick Pan Set"/>
    <n v="44.99"/>
    <n v="3"/>
    <n v="5"/>
    <n v="42.74"/>
    <n v="128.22"/>
    <s v="Credit Card"/>
    <x v="4"/>
    <n v="5"/>
    <n v="48"/>
    <s v="Houston"/>
    <x v="0"/>
    <s v="Male"/>
  </r>
  <r>
    <s v="ORD-20351"/>
    <s v="CUST-5042"/>
    <d v="2022-09-01T00:00:00"/>
    <x v="2"/>
    <s v="Blender"/>
    <n v="64.989999999999995"/>
    <n v="3"/>
    <n v="15"/>
    <n v="55.24"/>
    <n v="165.72"/>
    <s v="PayPal"/>
    <x v="0"/>
    <m/>
    <n v="49"/>
    <s v="New York"/>
    <x v="2"/>
    <s v="Female"/>
  </r>
  <r>
    <s v="ORD-20352"/>
    <s v="CUST-5042"/>
    <d v="2023-03-16T00:00:00"/>
    <x v="2"/>
    <s v="Blender"/>
    <n v="64.989999999999995"/>
    <n v="4"/>
    <n v="15"/>
    <n v="55.24"/>
    <n v="220.96"/>
    <s v="UPI"/>
    <x v="0"/>
    <n v="5"/>
    <n v="49"/>
    <s v="New York"/>
    <x v="2"/>
    <s v="Female"/>
  </r>
  <r>
    <s v="ORD-20353"/>
    <s v="CUST-5042"/>
    <d v="2022-03-16T00:00:00"/>
    <x v="2"/>
    <s v="Air Fryer"/>
    <n v="89.99"/>
    <n v="3"/>
    <n v="10"/>
    <n v="80.989999999999995"/>
    <n v="242.97"/>
    <s v="UPI"/>
    <x v="0"/>
    <m/>
    <n v="49"/>
    <s v="New York"/>
    <x v="2"/>
    <s v="Female"/>
  </r>
  <r>
    <s v="ORD-20354"/>
    <s v="CUST-5042"/>
    <d v="2023-10-17T00:00:00"/>
    <x v="2"/>
    <s v="Blender"/>
    <n v="64.989999999999995"/>
    <n v="2"/>
    <n v="5"/>
    <n v="61.74"/>
    <n v="123.48"/>
    <s v="Wallet"/>
    <x v="0"/>
    <n v="5"/>
    <n v="49"/>
    <s v="New York"/>
    <x v="2"/>
    <s v="Female"/>
  </r>
  <r>
    <s v="ORD-20355"/>
    <s v="CUST-5042"/>
    <d v="2022-10-17T00:00:00"/>
    <x v="2"/>
    <s v="Air Fryer"/>
    <n v="89.99"/>
    <n v="3"/>
    <n v="5"/>
    <n v="85.49"/>
    <n v="256.47000000000003"/>
    <s v="Wallet"/>
    <x v="0"/>
    <m/>
    <n v="49"/>
    <s v="New York"/>
    <x v="2"/>
    <s v="Female"/>
  </r>
  <r>
    <s v="ORD-20356"/>
    <s v="CUST-5042"/>
    <d v="2024-10-16T00:00:00"/>
    <x v="0"/>
    <s v="Python for Beginners"/>
    <n v="29.99"/>
    <n v="2"/>
    <n v="0"/>
    <n v="29.99"/>
    <n v="59.98"/>
    <s v="Credit Card"/>
    <x v="0"/>
    <n v="4"/>
    <n v="49"/>
    <s v="New York"/>
    <x v="2"/>
    <s v="Female"/>
  </r>
  <r>
    <s v="ORD-20357"/>
    <s v="CUST-5043"/>
    <d v="2022-02-18T00:00:00"/>
    <x v="6"/>
    <s v="Lip Balm Set"/>
    <n v="14.99"/>
    <n v="3"/>
    <n v="15"/>
    <n v="12.74"/>
    <n v="38.22"/>
    <s v="Debit Card"/>
    <x v="0"/>
    <m/>
    <n v="32"/>
    <s v="Los Angeles"/>
    <x v="3"/>
    <s v="Male"/>
  </r>
  <r>
    <s v="ORD-20358"/>
    <s v="CUST-5043"/>
    <d v="2023-10-02T00:00:00"/>
    <x v="1"/>
    <s v="LEGO Classic Set"/>
    <n v="49.99"/>
    <n v="3"/>
    <n v="5"/>
    <n v="47.49"/>
    <n v="142.47"/>
    <s v="UPI"/>
    <x v="3"/>
    <n v="5"/>
    <n v="32"/>
    <s v="Los Angeles"/>
    <x v="3"/>
    <s v="Male"/>
  </r>
  <r>
    <s v="ORD-20359"/>
    <s v="CUST-5043"/>
    <d v="2024-06-09T00:00:00"/>
    <x v="1"/>
    <s v="Action Figure"/>
    <n v="19.989999999999998"/>
    <n v="1"/>
    <n v="20"/>
    <n v="15.99"/>
    <n v="15.99"/>
    <s v="Credit Card"/>
    <x v="0"/>
    <m/>
    <n v="32"/>
    <s v="Los Angeles"/>
    <x v="3"/>
    <s v="Male"/>
  </r>
  <r>
    <s v="ORD-20360"/>
    <s v="CUST-5043"/>
    <d v="2024-12-18T00:00:00"/>
    <x v="2"/>
    <s v="Air Fryer"/>
    <n v="89.99"/>
    <n v="2"/>
    <n v="0"/>
    <n v="89.99"/>
    <n v="179.98"/>
    <s v="UPI"/>
    <x v="0"/>
    <n v="4"/>
    <n v="32"/>
    <s v="Los Angeles"/>
    <x v="3"/>
    <s v="Male"/>
  </r>
  <r>
    <s v="ORD-20361"/>
    <s v="CUST-5043"/>
    <d v="2022-07-28T00:00:00"/>
    <x v="4"/>
    <s v="Jump Rope"/>
    <n v="14.99"/>
    <n v="2"/>
    <n v="15"/>
    <n v="12.74"/>
    <n v="25.48"/>
    <s v="UPI"/>
    <x v="0"/>
    <m/>
    <n v="32"/>
    <s v="Los Angeles"/>
    <x v="3"/>
    <s v="Male"/>
  </r>
  <r>
    <s v="ORD-20362"/>
    <s v="CUST-5043"/>
    <d v="2022-05-22T00:00:00"/>
    <x v="4"/>
    <s v="Resistance Bands"/>
    <n v="19.989999999999998"/>
    <n v="2"/>
    <n v="0"/>
    <n v="19.989999999999998"/>
    <n v="39.979999999999997"/>
    <s v="Debit Card"/>
    <x v="0"/>
    <m/>
    <n v="32"/>
    <s v="Los Angeles"/>
    <x v="3"/>
    <s v="Male"/>
  </r>
  <r>
    <s v="ORD-20363"/>
    <s v="CUST-5043"/>
    <d v="2023-12-03T00:00:00"/>
    <x v="3"/>
    <s v="Yoga Pants"/>
    <n v="44.99"/>
    <n v="2"/>
    <n v="0"/>
    <n v="44.99"/>
    <n v="89.98"/>
    <s v="Debit Card"/>
    <x v="0"/>
    <n v="4"/>
    <n v="32"/>
    <s v="Los Angeles"/>
    <x v="3"/>
    <s v="Male"/>
  </r>
  <r>
    <s v="ORD-20364"/>
    <s v="CUST-5043"/>
    <d v="2022-04-28T00:00:00"/>
    <x v="6"/>
    <s v="Moisturizer SPF 50"/>
    <n v="29.99"/>
    <n v="1"/>
    <n v="5"/>
    <n v="28.49"/>
    <n v="28.49"/>
    <s v="Debit Card"/>
    <x v="4"/>
    <n v="5"/>
    <n v="32"/>
    <s v="Los Angeles"/>
    <x v="3"/>
    <s v="Male"/>
  </r>
  <r>
    <s v="ORD-20365"/>
    <s v="CUST-5043"/>
    <d v="2022-09-12T00:00:00"/>
    <x v="6"/>
    <s v="Hair Mask"/>
    <n v="24.99"/>
    <n v="1"/>
    <n v="0"/>
    <n v="24.99"/>
    <n v="24.99"/>
    <s v="Debit Card"/>
    <x v="0"/>
    <m/>
    <n v="32"/>
    <s v="Los Angeles"/>
    <x v="3"/>
    <s v="Male"/>
  </r>
  <r>
    <s v="ORD-20366"/>
    <s v="CUST-5043"/>
    <d v="2022-06-22T00:00:00"/>
    <x v="3"/>
    <s v="Running Shoes"/>
    <n v="89.99"/>
    <n v="3"/>
    <n v="0"/>
    <n v="89.99"/>
    <n v="269.97000000000003"/>
    <s v="Debit Card"/>
    <x v="0"/>
    <m/>
    <n v="32"/>
    <s v="Los Angeles"/>
    <x v="3"/>
    <s v="Male"/>
  </r>
  <r>
    <s v="ORD-20367"/>
    <s v="CUST-5044"/>
    <d v="2023-03-21T00:00:00"/>
    <x v="2"/>
    <s v="Air Fryer"/>
    <n v="89.99"/>
    <n v="2"/>
    <n v="0"/>
    <n v="89.99"/>
    <n v="179.98"/>
    <s v="PayPal"/>
    <x v="0"/>
    <n v="4"/>
    <n v="35"/>
    <s v="San Jose"/>
    <x v="2"/>
    <s v="Female"/>
  </r>
  <r>
    <s v="ORD-20368"/>
    <s v="CUST-5044"/>
    <d v="2022-02-12T00:00:00"/>
    <x v="0"/>
    <s v="Fiction Novel"/>
    <n v="14.99"/>
    <n v="1"/>
    <n v="0"/>
    <n v="14.99"/>
    <n v="14.99"/>
    <s v="Credit Card"/>
    <x v="0"/>
    <n v="5"/>
    <n v="35"/>
    <s v="San Jose"/>
    <x v="2"/>
    <s v="Female"/>
  </r>
  <r>
    <s v="ORD-20369"/>
    <s v="CUST-5044"/>
    <d v="2023-09-18T00:00:00"/>
    <x v="3"/>
    <s v="Yoga Pants"/>
    <n v="44.99"/>
    <n v="1"/>
    <n v="0"/>
    <n v="44.99"/>
    <n v="44.99"/>
    <s v="Debit Card"/>
    <x v="0"/>
    <n v="5"/>
    <n v="35"/>
    <s v="San Jose"/>
    <x v="2"/>
    <s v="Female"/>
  </r>
  <r>
    <s v="ORD-20370"/>
    <s v="CUST-5044"/>
    <d v="2022-09-25T00:00:00"/>
    <x v="3"/>
    <s v="Denim Jacket"/>
    <n v="69.989999999999995"/>
    <n v="1"/>
    <n v="0"/>
    <n v="69.989999999999995"/>
    <n v="69.989999999999995"/>
    <s v="PayPal"/>
    <x v="0"/>
    <n v="5"/>
    <n v="35"/>
    <s v="San Jose"/>
    <x v="2"/>
    <s v="Female"/>
  </r>
  <r>
    <s v="ORD-20371"/>
    <s v="CUST-5044"/>
    <d v="2022-09-08T00:00:00"/>
    <x v="5"/>
    <s v="USB-C Hub"/>
    <n v="34.99"/>
    <n v="3"/>
    <n v="15"/>
    <n v="29.74"/>
    <n v="89.22"/>
    <s v="Wallet"/>
    <x v="0"/>
    <n v="5"/>
    <n v="35"/>
    <s v="San Jose"/>
    <x v="2"/>
    <s v="Female"/>
  </r>
  <r>
    <s v="ORD-20372"/>
    <s v="CUST-5044"/>
    <d v="2022-07-08T00:00:00"/>
    <x v="5"/>
    <s v="Smart Watch"/>
    <n v="199.99"/>
    <n v="1"/>
    <n v="15"/>
    <n v="169.99"/>
    <n v="169.99"/>
    <s v="Wallet"/>
    <x v="0"/>
    <n v="4"/>
    <n v="35"/>
    <s v="San Jose"/>
    <x v="2"/>
    <s v="Female"/>
  </r>
  <r>
    <s v="ORD-20373"/>
    <s v="CUST-5044"/>
    <d v="2024-02-18T00:00:00"/>
    <x v="6"/>
    <s v="Hair Mask"/>
    <n v="24.99"/>
    <n v="4"/>
    <n v="5"/>
    <n v="23.74"/>
    <n v="94.96"/>
    <s v="Credit Card"/>
    <x v="3"/>
    <n v="5"/>
    <n v="35"/>
    <s v="San Jose"/>
    <x v="2"/>
    <s v="Female"/>
  </r>
  <r>
    <s v="ORD-20374"/>
    <s v="CUST-5044"/>
    <d v="2024-12-25T00:00:00"/>
    <x v="5"/>
    <s v="Wireless Earbuds"/>
    <n v="79.989999999999995"/>
    <n v="1"/>
    <n v="0"/>
    <n v="79.989999999999995"/>
    <n v="79.989999999999995"/>
    <s v="UPI"/>
    <x v="0"/>
    <n v="5"/>
    <n v="35"/>
    <s v="San Jose"/>
    <x v="2"/>
    <s v="Female"/>
  </r>
  <r>
    <s v="ORD-20375"/>
    <s v="CUST-5045"/>
    <d v="2023-02-10T00:00:00"/>
    <x v="3"/>
    <s v="Cotton T-Shirt"/>
    <n v="24.99"/>
    <n v="4"/>
    <n v="5"/>
    <n v="23.74"/>
    <n v="94.96"/>
    <s v="UPI"/>
    <x v="0"/>
    <n v="4"/>
    <n v="58"/>
    <s v="Dallas"/>
    <x v="3"/>
    <s v="Female"/>
  </r>
  <r>
    <s v="ORD-20376"/>
    <s v="CUST-5046"/>
    <d v="2024-05-21T00:00:00"/>
    <x v="5"/>
    <s v="Bluetooth Speaker"/>
    <n v="49.99"/>
    <n v="1"/>
    <n v="0"/>
    <n v="49.99"/>
    <n v="49.99"/>
    <s v="PayPal"/>
    <x v="0"/>
    <m/>
    <n v="64"/>
    <s v="Houston"/>
    <x v="2"/>
    <s v="Female"/>
  </r>
  <r>
    <s v="ORD-20377"/>
    <s v="CUST-5046"/>
    <d v="2024-04-11T00:00:00"/>
    <x v="6"/>
    <s v="Hair Mask"/>
    <n v="24.99"/>
    <n v="2"/>
    <n v="5"/>
    <n v="23.74"/>
    <n v="47.48"/>
    <s v="Debit Card"/>
    <x v="0"/>
    <n v="2"/>
    <n v="64"/>
    <s v="Houston"/>
    <x v="2"/>
    <s v="Female"/>
  </r>
  <r>
    <s v="ORD-20378"/>
    <s v="CUST-5047"/>
    <d v="2022-06-26T00:00:00"/>
    <x v="4"/>
    <s v="Resistance Bands"/>
    <n v="19.989999999999998"/>
    <n v="4"/>
    <n v="0"/>
    <n v="19.989999999999998"/>
    <n v="79.959999999999994"/>
    <s v="Debit Card"/>
    <x v="0"/>
    <n v="2"/>
    <n v="58"/>
    <s v="San Diego"/>
    <x v="2"/>
    <s v="Female"/>
  </r>
  <r>
    <s v="ORD-20379"/>
    <s v="CUST-5047"/>
    <d v="2022-07-01T00:00:00"/>
    <x v="3"/>
    <s v="Denim Jacket"/>
    <n v="69.989999999999995"/>
    <n v="1"/>
    <n v="5"/>
    <n v="66.489999999999995"/>
    <n v="66.489999999999995"/>
    <s v="PayPal"/>
    <x v="0"/>
    <n v="1"/>
    <n v="58"/>
    <s v="San Diego"/>
    <x v="2"/>
    <s v="Female"/>
  </r>
  <r>
    <s v="ORD-20380"/>
    <s v="CUST-5047"/>
    <d v="2024-01-28T00:00:00"/>
    <x v="1"/>
    <s v="Puzzle 1000pcs"/>
    <n v="24.99"/>
    <n v="4"/>
    <n v="10"/>
    <n v="22.49"/>
    <n v="89.96"/>
    <s v="UPI"/>
    <x v="0"/>
    <m/>
    <n v="58"/>
    <s v="San Diego"/>
    <x v="2"/>
    <s v="Female"/>
  </r>
  <r>
    <s v="ORD-20381"/>
    <s v="CUST-5047"/>
    <d v="2023-09-08T00:00:00"/>
    <x v="5"/>
    <s v="Bluetooth Speaker"/>
    <n v="49.99"/>
    <n v="3"/>
    <n v="0"/>
    <n v="49.99"/>
    <n v="149.97"/>
    <s v="UPI"/>
    <x v="0"/>
    <n v="5"/>
    <n v="58"/>
    <s v="San Diego"/>
    <x v="2"/>
    <s v="Female"/>
  </r>
  <r>
    <s v="ORD-20382"/>
    <s v="CUST-5047"/>
    <d v="2023-09-27T00:00:00"/>
    <x v="1"/>
    <s v="Remote Control Car"/>
    <n v="39.99"/>
    <n v="3"/>
    <n v="0"/>
    <n v="39.99"/>
    <n v="119.97"/>
    <s v="Wallet"/>
    <x v="0"/>
    <n v="4"/>
    <n v="58"/>
    <s v="San Diego"/>
    <x v="2"/>
    <s v="Female"/>
  </r>
  <r>
    <s v="ORD-20383"/>
    <s v="CUST-5048"/>
    <d v="2023-02-21T00:00:00"/>
    <x v="6"/>
    <s v="Hair Mask"/>
    <n v="24.99"/>
    <n v="2"/>
    <n v="0"/>
    <n v="24.99"/>
    <n v="49.98"/>
    <s v="Wallet"/>
    <x v="0"/>
    <n v="5"/>
    <n v="48"/>
    <s v="Dallas"/>
    <x v="2"/>
    <s v="Female"/>
  </r>
  <r>
    <s v="ORD-20384"/>
    <s v="CUST-5048"/>
    <d v="2024-05-21T00:00:00"/>
    <x v="2"/>
    <s v="Coffee Maker"/>
    <n v="59.99"/>
    <n v="1"/>
    <n v="0"/>
    <n v="59.99"/>
    <n v="59.99"/>
    <s v="Debit Card"/>
    <x v="0"/>
    <m/>
    <n v="48"/>
    <s v="Dallas"/>
    <x v="2"/>
    <s v="Female"/>
  </r>
  <r>
    <s v="ORD-20385"/>
    <s v="CUST-5048"/>
    <d v="2022-03-01T00:00:00"/>
    <x v="0"/>
    <s v="Python for Beginners"/>
    <n v="29.99"/>
    <n v="2"/>
    <n v="0"/>
    <n v="29.99"/>
    <n v="59.98"/>
    <s v="PayPal"/>
    <x v="0"/>
    <n v="4"/>
    <n v="48"/>
    <s v="Dallas"/>
    <x v="2"/>
    <s v="Female"/>
  </r>
  <r>
    <s v="ORD-20386"/>
    <s v="CUST-5049"/>
    <d v="2023-11-28T00:00:00"/>
    <x v="5"/>
    <s v="Wireless Earbuds"/>
    <n v="79.989999999999995"/>
    <n v="2"/>
    <n v="0"/>
    <n v="79.989999999999995"/>
    <n v="159.97999999999999"/>
    <s v="Wallet"/>
    <x v="0"/>
    <m/>
    <n v="56"/>
    <s v="New York"/>
    <x v="1"/>
    <s v="Male"/>
  </r>
  <r>
    <s v="ORD-20387"/>
    <s v="CUST-5049"/>
    <d v="2024-05-05T00:00:00"/>
    <x v="0"/>
    <s v="Fiction Novel"/>
    <n v="14.99"/>
    <n v="3"/>
    <n v="0"/>
    <n v="14.99"/>
    <n v="44.97"/>
    <s v="Credit Card"/>
    <x v="2"/>
    <n v="5"/>
    <n v="56"/>
    <s v="New York"/>
    <x v="1"/>
    <s v="Male"/>
  </r>
  <r>
    <s v="ORD-20388"/>
    <s v="CUST-5049"/>
    <d v="2022-04-12T00:00:00"/>
    <x v="5"/>
    <s v="Bluetooth Speaker"/>
    <n v="49.99"/>
    <n v="3"/>
    <n v="0"/>
    <n v="49.99"/>
    <n v="149.97"/>
    <s v="UPI"/>
    <x v="3"/>
    <n v="4"/>
    <n v="56"/>
    <s v="New York"/>
    <x v="1"/>
    <s v="Male"/>
  </r>
  <r>
    <s v="ORD-20389"/>
    <s v="CUST-5049"/>
    <d v="2024-06-04T00:00:00"/>
    <x v="4"/>
    <s v="Yoga Mat"/>
    <n v="29.99"/>
    <n v="1"/>
    <n v="15"/>
    <n v="25.49"/>
    <n v="25.49"/>
    <s v="UPI"/>
    <x v="0"/>
    <n v="3"/>
    <n v="56"/>
    <s v="New York"/>
    <x v="1"/>
    <s v="Male"/>
  </r>
  <r>
    <s v="ORD-20390"/>
    <s v="CUST-5049"/>
    <d v="2023-09-28T00:00:00"/>
    <x v="2"/>
    <s v="Non-stick Pan Set"/>
    <n v="44.99"/>
    <n v="4"/>
    <n v="20"/>
    <n v="35.99"/>
    <n v="143.96"/>
    <s v="Credit Card"/>
    <x v="0"/>
    <n v="3"/>
    <n v="56"/>
    <s v="New York"/>
    <x v="1"/>
    <s v="Male"/>
  </r>
  <r>
    <s v="ORD-20391"/>
    <s v="CUST-5049"/>
    <d v="2024-06-11T00:00:00"/>
    <x v="3"/>
    <s v="Denim Jacket"/>
    <n v="69.989999999999995"/>
    <n v="3"/>
    <n v="5"/>
    <n v="66.489999999999995"/>
    <n v="199.47"/>
    <s v="Wallet"/>
    <x v="0"/>
    <m/>
    <n v="56"/>
    <s v="New York"/>
    <x v="1"/>
    <s v="Male"/>
  </r>
  <r>
    <s v="ORD-20392"/>
    <s v="CUST-5049"/>
    <d v="2022-12-03T00:00:00"/>
    <x v="4"/>
    <s v="Yoga Mat"/>
    <n v="29.99"/>
    <n v="2"/>
    <n v="15"/>
    <n v="25.49"/>
    <n v="50.98"/>
    <s v="Debit Card"/>
    <x v="0"/>
    <n v="4"/>
    <n v="56"/>
    <s v="New York"/>
    <x v="1"/>
    <s v="Male"/>
  </r>
  <r>
    <s v="ORD-20393"/>
    <s v="CUST-5049"/>
    <d v="2024-04-21T00:00:00"/>
    <x v="5"/>
    <s v="Smart Watch"/>
    <n v="199.99"/>
    <n v="2"/>
    <n v="15"/>
    <n v="169.99"/>
    <n v="339.98"/>
    <s v="UPI"/>
    <x v="0"/>
    <m/>
    <n v="56"/>
    <s v="New York"/>
    <x v="1"/>
    <s v="Male"/>
  </r>
  <r>
    <s v="ORD-20394"/>
    <s v="CUST-5049"/>
    <d v="2023-04-09T00:00:00"/>
    <x v="3"/>
    <s v="Yoga Pants"/>
    <n v="44.99"/>
    <n v="2"/>
    <n v="0"/>
    <n v="44.99"/>
    <n v="89.98"/>
    <s v="PayPal"/>
    <x v="0"/>
    <n v="3"/>
    <n v="56"/>
    <s v="New York"/>
    <x v="1"/>
    <s v="Male"/>
  </r>
  <r>
    <s v="ORD-20395"/>
    <s v="CUST-5049"/>
    <d v="2024-04-25T00:00:00"/>
    <x v="5"/>
    <s v="Wireless Earbuds"/>
    <n v="79.989999999999995"/>
    <n v="2"/>
    <n v="5"/>
    <n v="75.989999999999995"/>
    <n v="151.97999999999999"/>
    <s v="Wallet"/>
    <x v="3"/>
    <n v="3"/>
    <n v="56"/>
    <s v="New York"/>
    <x v="1"/>
    <s v="Male"/>
  </r>
  <r>
    <s v="ORD-20396"/>
    <s v="CUST-5049"/>
    <d v="2024-01-26T00:00:00"/>
    <x v="1"/>
    <s v="Puzzle 1000pcs"/>
    <n v="24.99"/>
    <n v="1"/>
    <n v="5"/>
    <n v="23.74"/>
    <n v="23.74"/>
    <s v="Wallet"/>
    <x v="0"/>
    <n v="5"/>
    <n v="56"/>
    <s v="New York"/>
    <x v="1"/>
    <s v="Male"/>
  </r>
  <r>
    <s v="ORD-20397"/>
    <s v="CUST-5049"/>
    <d v="2023-04-05T00:00:00"/>
    <x v="3"/>
    <s v="Cotton T-Shirt"/>
    <n v="24.99"/>
    <n v="4"/>
    <n v="10"/>
    <n v="22.49"/>
    <n v="89.96"/>
    <s v="PayPal"/>
    <x v="2"/>
    <n v="4"/>
    <n v="56"/>
    <s v="New York"/>
    <x v="1"/>
    <s v="Male"/>
  </r>
  <r>
    <s v="ORD-20398"/>
    <s v="CUST-5049"/>
    <d v="2024-10-10T00:00:00"/>
    <x v="4"/>
    <s v="Water Bottle"/>
    <n v="24.99"/>
    <n v="4"/>
    <n v="5"/>
    <n v="23.74"/>
    <n v="94.96"/>
    <s v="UPI"/>
    <x v="0"/>
    <n v="4"/>
    <n v="56"/>
    <s v="New York"/>
    <x v="1"/>
    <s v="Male"/>
  </r>
  <r>
    <s v="ORD-20399"/>
    <s v="CUST-5050"/>
    <d v="2023-11-16T00:00:00"/>
    <x v="0"/>
    <s v="Data Science Handbook"/>
    <n v="49.99"/>
    <n v="4"/>
    <n v="5"/>
    <n v="47.49"/>
    <n v="189.96"/>
    <s v="Debit Card"/>
    <x v="0"/>
    <n v="5"/>
    <n v="63"/>
    <s v="Houston"/>
    <x v="2"/>
    <s v="Male"/>
  </r>
  <r>
    <s v="ORD-20400"/>
    <s v="CUST-5050"/>
    <d v="2024-03-05T00:00:00"/>
    <x v="1"/>
    <s v="LEGO Classic Set"/>
    <n v="49.99"/>
    <n v="2"/>
    <n v="20"/>
    <n v="39.99"/>
    <n v="79.98"/>
    <s v="Wallet"/>
    <x v="4"/>
    <m/>
    <n v="63"/>
    <s v="Houston"/>
    <x v="2"/>
    <s v="Male"/>
  </r>
  <r>
    <s v="ORD-20401"/>
    <s v="CUST-5050"/>
    <d v="2022-01-05T00:00:00"/>
    <x v="5"/>
    <s v="Wireless Earbuds"/>
    <n v="79.989999999999995"/>
    <n v="3"/>
    <n v="0"/>
    <n v="79.989999999999995"/>
    <n v="239.97"/>
    <s v="Wallet"/>
    <x v="0"/>
    <n v="5"/>
    <n v="63"/>
    <s v="Houston"/>
    <x v="2"/>
    <s v="Male"/>
  </r>
  <r>
    <s v="ORD-20402"/>
    <s v="CUST-5050"/>
    <d v="2022-05-27T00:00:00"/>
    <x v="0"/>
    <s v="Fiction Novel"/>
    <n v="14.99"/>
    <n v="1"/>
    <n v="5"/>
    <n v="14.24"/>
    <n v="14.24"/>
    <s v="UPI"/>
    <x v="0"/>
    <n v="4"/>
    <n v="63"/>
    <s v="Houston"/>
    <x v="2"/>
    <s v="Male"/>
  </r>
  <r>
    <s v="ORD-20403"/>
    <s v="CUST-5050"/>
    <d v="2023-04-15T00:00:00"/>
    <x v="3"/>
    <s v="Cotton T-Shirt"/>
    <n v="24.99"/>
    <n v="4"/>
    <n v="0"/>
    <n v="24.99"/>
    <n v="99.96"/>
    <s v="Wallet"/>
    <x v="0"/>
    <m/>
    <n v="63"/>
    <s v="Houston"/>
    <x v="2"/>
    <s v="Male"/>
  </r>
  <r>
    <s v="ORD-20404"/>
    <s v="CUST-5050"/>
    <d v="2022-04-21T00:00:00"/>
    <x v="5"/>
    <s v="Smart Watch"/>
    <n v="199.99"/>
    <n v="2"/>
    <n v="20"/>
    <n v="159.99"/>
    <n v="319.98"/>
    <s v="Debit Card"/>
    <x v="1"/>
    <n v="1"/>
    <n v="63"/>
    <s v="Houston"/>
    <x v="2"/>
    <s v="Male"/>
  </r>
  <r>
    <s v="ORD-20405"/>
    <s v="CUST-5050"/>
    <d v="2022-12-20T00:00:00"/>
    <x v="6"/>
    <s v="Lip Balm Set"/>
    <n v="14.99"/>
    <n v="2"/>
    <n v="15"/>
    <n v="12.74"/>
    <n v="25.48"/>
    <s v="Debit Card"/>
    <x v="0"/>
    <n v="5"/>
    <n v="63"/>
    <s v="Houston"/>
    <x v="2"/>
    <s v="Male"/>
  </r>
  <r>
    <s v="ORD-20406"/>
    <s v="CUST-5051"/>
    <d v="2022-01-06T00:00:00"/>
    <x v="5"/>
    <s v="USB-C Hub"/>
    <n v="34.99"/>
    <n v="2"/>
    <n v="20"/>
    <n v="27.99"/>
    <n v="55.98"/>
    <s v="UPI"/>
    <x v="0"/>
    <m/>
    <n v="29"/>
    <s v="Los Angeles"/>
    <x v="0"/>
    <s v="Female"/>
  </r>
  <r>
    <s v="ORD-20407"/>
    <s v="CUST-5052"/>
    <d v="2024-05-02T00:00:00"/>
    <x v="0"/>
    <s v="Fiction Novel"/>
    <n v="14.99"/>
    <n v="2"/>
    <n v="20"/>
    <n v="11.99"/>
    <n v="23.98"/>
    <s v="Debit Card"/>
    <x v="0"/>
    <m/>
    <n v="28"/>
    <s v="Chicago"/>
    <x v="0"/>
    <s v="Male"/>
  </r>
  <r>
    <s v="ORD-20408"/>
    <s v="CUST-5052"/>
    <d v="2022-11-14T00:00:00"/>
    <x v="3"/>
    <s v="Yoga Pants"/>
    <n v="44.99"/>
    <n v="3"/>
    <n v="0"/>
    <n v="44.99"/>
    <n v="134.97"/>
    <s v="Debit Card"/>
    <x v="0"/>
    <n v="5"/>
    <n v="28"/>
    <s v="Chicago"/>
    <x v="0"/>
    <s v="Male"/>
  </r>
  <r>
    <s v="ORD-20409"/>
    <s v="CUST-5052"/>
    <d v="2024-06-22T00:00:00"/>
    <x v="1"/>
    <s v="Remote Control Car"/>
    <n v="39.99"/>
    <n v="3"/>
    <n v="0"/>
    <n v="39.99"/>
    <n v="119.97"/>
    <s v="PayPal"/>
    <x v="0"/>
    <n v="5"/>
    <n v="28"/>
    <s v="Chicago"/>
    <x v="0"/>
    <s v="Male"/>
  </r>
  <r>
    <s v="ORD-20410"/>
    <s v="CUST-5052"/>
    <d v="2022-10-16T00:00:00"/>
    <x v="2"/>
    <s v="Blender"/>
    <n v="64.989999999999995"/>
    <n v="4"/>
    <n v="0"/>
    <n v="64.989999999999995"/>
    <n v="259.95999999999998"/>
    <s v="Wallet"/>
    <x v="0"/>
    <n v="5"/>
    <n v="28"/>
    <s v="Chicago"/>
    <x v="0"/>
    <s v="Male"/>
  </r>
  <r>
    <s v="ORD-20411"/>
    <s v="CUST-5052"/>
    <d v="2023-06-19T00:00:00"/>
    <x v="0"/>
    <s v="Fiction Novel"/>
    <n v="14.99"/>
    <n v="2"/>
    <n v="5"/>
    <n v="14.24"/>
    <n v="28.48"/>
    <s v="Debit Card"/>
    <x v="0"/>
    <n v="4"/>
    <n v="28"/>
    <s v="Chicago"/>
    <x v="0"/>
    <s v="Male"/>
  </r>
  <r>
    <s v="ORD-20412"/>
    <s v="CUST-5052"/>
    <d v="2024-11-09T00:00:00"/>
    <x v="5"/>
    <s v="Wireless Earbuds"/>
    <n v="79.989999999999995"/>
    <n v="2"/>
    <n v="5"/>
    <n v="75.989999999999995"/>
    <n v="151.97999999999999"/>
    <s v="UPI"/>
    <x v="4"/>
    <m/>
    <n v="28"/>
    <s v="Chicago"/>
    <x v="0"/>
    <s v="Male"/>
  </r>
  <r>
    <s v="ORD-20413"/>
    <s v="CUST-5052"/>
    <d v="2023-10-06T00:00:00"/>
    <x v="2"/>
    <s v="Air Fryer"/>
    <n v="89.99"/>
    <n v="4"/>
    <n v="20"/>
    <n v="71.989999999999995"/>
    <n v="287.95999999999998"/>
    <s v="Credit Card"/>
    <x v="4"/>
    <m/>
    <n v="28"/>
    <s v="Chicago"/>
    <x v="0"/>
    <s v="Male"/>
  </r>
  <r>
    <s v="ORD-20414"/>
    <s v="CUST-5052"/>
    <d v="2024-07-06T00:00:00"/>
    <x v="0"/>
    <s v="Python for Beginners"/>
    <n v="29.99"/>
    <n v="3"/>
    <n v="10"/>
    <n v="26.99"/>
    <n v="80.97"/>
    <s v="Debit Card"/>
    <x v="0"/>
    <m/>
    <n v="28"/>
    <s v="Chicago"/>
    <x v="0"/>
    <s v="Male"/>
  </r>
  <r>
    <s v="ORD-20415"/>
    <s v="CUST-5053"/>
    <d v="2024-09-09T00:00:00"/>
    <x v="1"/>
    <s v="LEGO Classic Set"/>
    <n v="49.99"/>
    <n v="1"/>
    <n v="0"/>
    <n v="49.99"/>
    <n v="49.99"/>
    <s v="Debit Card"/>
    <x v="0"/>
    <n v="5"/>
    <n v="23"/>
    <s v="San Diego"/>
    <x v="0"/>
    <s v="Female"/>
  </r>
  <r>
    <s v="ORD-20416"/>
    <s v="CUST-5053"/>
    <d v="2023-12-25T00:00:00"/>
    <x v="5"/>
    <s v="Smart Watch"/>
    <n v="199.99"/>
    <n v="1"/>
    <n v="0"/>
    <n v="199.99"/>
    <n v="199.99"/>
    <s v="Wallet"/>
    <x v="0"/>
    <n v="4"/>
    <n v="23"/>
    <s v="San Diego"/>
    <x v="0"/>
    <s v="Female"/>
  </r>
  <r>
    <s v="ORD-20417"/>
    <s v="CUST-5053"/>
    <d v="2022-01-09T00:00:00"/>
    <x v="4"/>
    <s v="Jump Rope"/>
    <n v="14.99"/>
    <n v="4"/>
    <n v="20"/>
    <n v="11.99"/>
    <n v="47.96"/>
    <s v="UPI"/>
    <x v="4"/>
    <m/>
    <n v="23"/>
    <s v="San Diego"/>
    <x v="0"/>
    <s v="Female"/>
  </r>
  <r>
    <s v="ORD-20418"/>
    <s v="CUST-5053"/>
    <d v="2022-12-04T00:00:00"/>
    <x v="1"/>
    <s v="Remote Control Car"/>
    <n v="39.99"/>
    <n v="1"/>
    <n v="10"/>
    <n v="35.99"/>
    <n v="35.99"/>
    <s v="Wallet"/>
    <x v="0"/>
    <n v="5"/>
    <n v="23"/>
    <s v="San Diego"/>
    <x v="0"/>
    <s v="Female"/>
  </r>
  <r>
    <s v="ORD-20419"/>
    <s v="CUST-5053"/>
    <d v="2023-06-19T00:00:00"/>
    <x v="0"/>
    <s v="Fiction Novel"/>
    <n v="14.99"/>
    <n v="3"/>
    <n v="20"/>
    <n v="11.99"/>
    <n v="35.97"/>
    <s v="Credit Card"/>
    <x v="0"/>
    <n v="4"/>
    <n v="23"/>
    <s v="San Diego"/>
    <x v="0"/>
    <s v="Female"/>
  </r>
  <r>
    <s v="ORD-20420"/>
    <s v="CUST-5053"/>
    <d v="2023-02-03T00:00:00"/>
    <x v="0"/>
    <s v="Fiction Novel"/>
    <n v="14.99"/>
    <n v="3"/>
    <n v="0"/>
    <n v="14.99"/>
    <n v="44.97"/>
    <s v="Credit Card"/>
    <x v="0"/>
    <m/>
    <n v="23"/>
    <s v="San Diego"/>
    <x v="0"/>
    <s v="Female"/>
  </r>
  <r>
    <s v="ORD-20421"/>
    <s v="CUST-5053"/>
    <d v="2022-01-09T00:00:00"/>
    <x v="1"/>
    <s v="Puzzle 1000pcs"/>
    <n v="24.99"/>
    <n v="2"/>
    <n v="0"/>
    <n v="24.99"/>
    <n v="49.98"/>
    <s v="Credit Card"/>
    <x v="0"/>
    <n v="3"/>
    <n v="23"/>
    <s v="San Diego"/>
    <x v="0"/>
    <s v="Female"/>
  </r>
  <r>
    <s v="ORD-20422"/>
    <s v="CUST-5053"/>
    <d v="2024-08-14T00:00:00"/>
    <x v="5"/>
    <s v="Wireless Earbuds"/>
    <n v="79.989999999999995"/>
    <n v="1"/>
    <n v="0"/>
    <n v="79.989999999999995"/>
    <n v="79.989999999999995"/>
    <s v="Wallet"/>
    <x v="0"/>
    <n v="3"/>
    <n v="23"/>
    <s v="San Diego"/>
    <x v="0"/>
    <s v="Female"/>
  </r>
  <r>
    <s v="ORD-20423"/>
    <s v="CUST-5053"/>
    <d v="2022-08-11T00:00:00"/>
    <x v="6"/>
    <s v="Hair Mask"/>
    <n v="24.99"/>
    <n v="2"/>
    <n v="5"/>
    <n v="23.74"/>
    <n v="47.48"/>
    <s v="PayPal"/>
    <x v="0"/>
    <n v="5"/>
    <n v="23"/>
    <s v="San Diego"/>
    <x v="0"/>
    <s v="Female"/>
  </r>
  <r>
    <s v="ORD-20424"/>
    <s v="CUST-5054"/>
    <d v="2024-04-13T00:00:00"/>
    <x v="1"/>
    <s v="Action Figure"/>
    <n v="19.989999999999998"/>
    <n v="2"/>
    <n v="10"/>
    <n v="17.989999999999998"/>
    <n v="35.979999999999997"/>
    <s v="Wallet"/>
    <x v="0"/>
    <m/>
    <n v="26"/>
    <s v="Dallas"/>
    <x v="0"/>
    <s v="Female"/>
  </r>
  <r>
    <s v="ORD-20425"/>
    <s v="CUST-5054"/>
    <d v="2024-05-27T00:00:00"/>
    <x v="2"/>
    <s v="Air Fryer"/>
    <n v="89.99"/>
    <n v="3"/>
    <n v="15"/>
    <n v="76.489999999999995"/>
    <n v="229.47"/>
    <s v="Debit Card"/>
    <x v="0"/>
    <n v="4"/>
    <n v="26"/>
    <s v="Dallas"/>
    <x v="0"/>
    <s v="Female"/>
  </r>
  <r>
    <s v="ORD-20426"/>
    <s v="CUST-5054"/>
    <d v="2022-04-05T00:00:00"/>
    <x v="2"/>
    <s v="Blender"/>
    <n v="64.989999999999995"/>
    <n v="1"/>
    <n v="0"/>
    <n v="64.989999999999995"/>
    <n v="64.989999999999995"/>
    <s v="UPI"/>
    <x v="1"/>
    <n v="4"/>
    <n v="26"/>
    <s v="Dallas"/>
    <x v="0"/>
    <s v="Female"/>
  </r>
  <r>
    <s v="ORD-20427"/>
    <s v="CUST-5054"/>
    <d v="2024-04-03T00:00:00"/>
    <x v="4"/>
    <s v="Jump Rope"/>
    <n v="14.99"/>
    <n v="4"/>
    <n v="5"/>
    <n v="14.24"/>
    <n v="56.96"/>
    <s v="Debit Card"/>
    <x v="0"/>
    <n v="4"/>
    <n v="26"/>
    <s v="Dallas"/>
    <x v="0"/>
    <s v="Female"/>
  </r>
  <r>
    <s v="ORD-20428"/>
    <s v="CUST-5054"/>
    <d v="2023-06-26T00:00:00"/>
    <x v="2"/>
    <s v="Coffee Maker"/>
    <n v="59.99"/>
    <n v="2"/>
    <n v="20"/>
    <n v="47.99"/>
    <n v="95.98"/>
    <s v="Wallet"/>
    <x v="0"/>
    <n v="4"/>
    <n v="26"/>
    <s v="Dallas"/>
    <x v="0"/>
    <s v="Female"/>
  </r>
  <r>
    <s v="ORD-20429"/>
    <s v="CUST-5054"/>
    <d v="2024-04-20T00:00:00"/>
    <x v="4"/>
    <s v="Yoga Mat"/>
    <n v="29.99"/>
    <n v="1"/>
    <n v="0"/>
    <n v="29.99"/>
    <n v="29.99"/>
    <s v="UPI"/>
    <x v="0"/>
    <m/>
    <n v="26"/>
    <s v="Dallas"/>
    <x v="0"/>
    <s v="Female"/>
  </r>
  <r>
    <s v="ORD-20430"/>
    <s v="CUST-5054"/>
    <d v="2024-11-10T00:00:00"/>
    <x v="5"/>
    <s v="Wireless Earbuds"/>
    <n v="79.989999999999995"/>
    <n v="3"/>
    <n v="15"/>
    <n v="67.989999999999995"/>
    <n v="203.97"/>
    <s v="Wallet"/>
    <x v="0"/>
    <n v="4"/>
    <n v="26"/>
    <s v="Dallas"/>
    <x v="0"/>
    <s v="Female"/>
  </r>
  <r>
    <s v="ORD-20431"/>
    <s v="CUST-5054"/>
    <d v="2022-04-20T00:00:00"/>
    <x v="2"/>
    <s v="Coffee Maker"/>
    <n v="59.99"/>
    <n v="2"/>
    <n v="0"/>
    <n v="59.99"/>
    <n v="119.98"/>
    <s v="Debit Card"/>
    <x v="0"/>
    <n v="5"/>
    <n v="26"/>
    <s v="Dallas"/>
    <x v="0"/>
    <s v="Female"/>
  </r>
  <r>
    <s v="ORD-20432"/>
    <s v="CUST-5054"/>
    <d v="2024-10-08T00:00:00"/>
    <x v="2"/>
    <s v="Air Fryer"/>
    <n v="89.99"/>
    <n v="2"/>
    <n v="10"/>
    <n v="80.989999999999995"/>
    <n v="161.97999999999999"/>
    <s v="Wallet"/>
    <x v="0"/>
    <n v="5"/>
    <n v="26"/>
    <s v="Dallas"/>
    <x v="0"/>
    <s v="Female"/>
  </r>
  <r>
    <s v="ORD-20433"/>
    <s v="CUST-5054"/>
    <d v="2024-06-17T00:00:00"/>
    <x v="5"/>
    <s v="Smart Watch"/>
    <n v="199.99"/>
    <n v="2"/>
    <n v="0"/>
    <n v="199.99"/>
    <n v="399.98"/>
    <s v="Debit Card"/>
    <x v="0"/>
    <n v="5"/>
    <n v="26"/>
    <s v="Dallas"/>
    <x v="0"/>
    <s v="Female"/>
  </r>
  <r>
    <s v="ORD-20434"/>
    <s v="CUST-5054"/>
    <d v="2023-06-10T00:00:00"/>
    <x v="4"/>
    <s v="Resistance Bands"/>
    <n v="19.989999999999998"/>
    <n v="3"/>
    <n v="0"/>
    <n v="19.989999999999998"/>
    <n v="59.97"/>
    <s v="Credit Card"/>
    <x v="2"/>
    <n v="4"/>
    <n v="26"/>
    <s v="Dallas"/>
    <x v="0"/>
    <s v="Female"/>
  </r>
  <r>
    <s v="ORD-20435"/>
    <s v="CUST-5054"/>
    <d v="2022-04-05T00:00:00"/>
    <x v="3"/>
    <s v="Denim Jacket"/>
    <n v="69.989999999999995"/>
    <n v="1"/>
    <n v="20"/>
    <n v="55.99"/>
    <n v="55.99"/>
    <s v="Wallet"/>
    <x v="0"/>
    <m/>
    <n v="26"/>
    <s v="Dallas"/>
    <x v="0"/>
    <s v="Female"/>
  </r>
  <r>
    <s v="ORD-20436"/>
    <s v="CUST-5054"/>
    <d v="2022-02-10T00:00:00"/>
    <x v="3"/>
    <s v="Denim Jacket"/>
    <n v="69.989999999999995"/>
    <n v="1"/>
    <n v="15"/>
    <n v="59.49"/>
    <n v="59.49"/>
    <s v="Debit Card"/>
    <x v="0"/>
    <n v="4"/>
    <n v="26"/>
    <s v="Dallas"/>
    <x v="0"/>
    <s v="Female"/>
  </r>
  <r>
    <s v="ORD-20437"/>
    <s v="CUST-5054"/>
    <d v="2024-05-09T00:00:00"/>
    <x v="0"/>
    <s v="Data Science Handbook"/>
    <n v="49.99"/>
    <n v="2"/>
    <n v="0"/>
    <n v="49.99"/>
    <n v="99.98"/>
    <s v="Credit Card"/>
    <x v="0"/>
    <n v="1"/>
    <n v="26"/>
    <s v="Dallas"/>
    <x v="0"/>
    <s v="Female"/>
  </r>
  <r>
    <s v="ORD-20438"/>
    <s v="CUST-5054"/>
    <d v="2024-06-23T00:00:00"/>
    <x v="0"/>
    <s v="Fiction Novel"/>
    <n v="14.99"/>
    <n v="3"/>
    <n v="0"/>
    <n v="14.99"/>
    <n v="44.97"/>
    <s v="Wallet"/>
    <x v="0"/>
    <n v="5"/>
    <n v="26"/>
    <s v="Dallas"/>
    <x v="0"/>
    <s v="Female"/>
  </r>
  <r>
    <s v="ORD-20439"/>
    <s v="CUST-5055"/>
    <d v="2022-09-26T00:00:00"/>
    <x v="2"/>
    <s v="Blender"/>
    <n v="64.989999999999995"/>
    <n v="2"/>
    <n v="15"/>
    <n v="55.24"/>
    <n v="110.48"/>
    <s v="Wallet"/>
    <x v="0"/>
    <n v="4"/>
    <n v="36"/>
    <s v="Chicago"/>
    <x v="2"/>
    <s v="Male"/>
  </r>
  <r>
    <s v="ORD-20440"/>
    <s v="CUST-5055"/>
    <d v="2022-02-23T00:00:00"/>
    <x v="5"/>
    <s v="Smart Watch"/>
    <n v="199.99"/>
    <n v="2"/>
    <n v="0"/>
    <n v="199.99"/>
    <n v="399.98"/>
    <s v="PayPal"/>
    <x v="0"/>
    <m/>
    <n v="36"/>
    <s v="Chicago"/>
    <x v="2"/>
    <s v="Male"/>
  </r>
  <r>
    <s v="ORD-20441"/>
    <s v="CUST-5055"/>
    <d v="2022-04-06T00:00:00"/>
    <x v="6"/>
    <s v="Hair Mask"/>
    <n v="24.99"/>
    <n v="2"/>
    <n v="5"/>
    <n v="23.74"/>
    <n v="47.48"/>
    <s v="Credit Card"/>
    <x v="0"/>
    <n v="4"/>
    <n v="36"/>
    <s v="Chicago"/>
    <x v="2"/>
    <s v="Male"/>
  </r>
  <r>
    <s v="ORD-20442"/>
    <s v="CUST-5055"/>
    <d v="2023-01-25T00:00:00"/>
    <x v="1"/>
    <s v="Remote Control Car"/>
    <n v="39.99"/>
    <n v="4"/>
    <n v="0"/>
    <n v="39.99"/>
    <n v="159.96"/>
    <s v="Credit Card"/>
    <x v="0"/>
    <m/>
    <n v="36"/>
    <s v="Chicago"/>
    <x v="2"/>
    <s v="Male"/>
  </r>
  <r>
    <s v="ORD-20443"/>
    <s v="CUST-5055"/>
    <d v="2024-08-13T00:00:00"/>
    <x v="6"/>
    <s v="Lip Balm Set"/>
    <n v="14.99"/>
    <n v="4"/>
    <n v="15"/>
    <n v="12.74"/>
    <n v="50.96"/>
    <s v="Debit Card"/>
    <x v="0"/>
    <n v="3"/>
    <n v="36"/>
    <s v="Chicago"/>
    <x v="2"/>
    <s v="Male"/>
  </r>
  <r>
    <s v="ORD-20444"/>
    <s v="CUST-5055"/>
    <d v="2022-10-24T00:00:00"/>
    <x v="5"/>
    <s v="Wireless Earbuds"/>
    <n v="79.989999999999995"/>
    <n v="2"/>
    <n v="0"/>
    <n v="79.989999999999995"/>
    <n v="159.97999999999999"/>
    <s v="UPI"/>
    <x v="0"/>
    <n v="3"/>
    <n v="36"/>
    <s v="Chicago"/>
    <x v="2"/>
    <s v="Male"/>
  </r>
  <r>
    <s v="ORD-20445"/>
    <s v="CUST-5055"/>
    <d v="2022-05-11T00:00:00"/>
    <x v="2"/>
    <s v="Non-stick Pan Set"/>
    <n v="44.99"/>
    <n v="4"/>
    <n v="20"/>
    <n v="35.99"/>
    <n v="143.96"/>
    <s v="Debit Card"/>
    <x v="0"/>
    <n v="4"/>
    <n v="36"/>
    <s v="Chicago"/>
    <x v="2"/>
    <s v="Male"/>
  </r>
  <r>
    <s v="ORD-20446"/>
    <s v="CUST-5055"/>
    <d v="2022-04-02T00:00:00"/>
    <x v="3"/>
    <s v="Yoga Pants"/>
    <n v="44.99"/>
    <n v="1"/>
    <n v="15"/>
    <n v="38.24"/>
    <n v="38.24"/>
    <s v="Debit Card"/>
    <x v="0"/>
    <n v="4"/>
    <n v="36"/>
    <s v="Chicago"/>
    <x v="2"/>
    <s v="Male"/>
  </r>
  <r>
    <s v="ORD-20447"/>
    <s v="CUST-5055"/>
    <d v="2023-11-17T00:00:00"/>
    <x v="5"/>
    <s v="USB-C Hub"/>
    <n v="34.99"/>
    <n v="2"/>
    <n v="5"/>
    <n v="33.24"/>
    <n v="66.48"/>
    <s v="Credit Card"/>
    <x v="0"/>
    <n v="4"/>
    <n v="36"/>
    <s v="Chicago"/>
    <x v="2"/>
    <s v="Male"/>
  </r>
  <r>
    <s v="ORD-20448"/>
    <s v="CUST-5055"/>
    <d v="2024-01-12T00:00:00"/>
    <x v="3"/>
    <s v="Yoga Pants"/>
    <n v="44.99"/>
    <n v="1"/>
    <n v="5"/>
    <n v="42.74"/>
    <n v="42.74"/>
    <s v="Wallet"/>
    <x v="0"/>
    <n v="5"/>
    <n v="36"/>
    <s v="Chicago"/>
    <x v="2"/>
    <s v="Male"/>
  </r>
  <r>
    <s v="ORD-20449"/>
    <s v="CUST-5055"/>
    <d v="2023-09-02T00:00:00"/>
    <x v="1"/>
    <s v="LEGO Classic Set"/>
    <n v="49.99"/>
    <n v="2"/>
    <n v="5"/>
    <n v="47.49"/>
    <n v="94.98"/>
    <s v="UPI"/>
    <x v="4"/>
    <n v="3"/>
    <n v="36"/>
    <s v="Chicago"/>
    <x v="2"/>
    <s v="Male"/>
  </r>
  <r>
    <s v="ORD-20450"/>
    <s v="CUST-5055"/>
    <d v="2023-03-21T00:00:00"/>
    <x v="0"/>
    <s v="Fiction Novel"/>
    <n v="14.99"/>
    <n v="4"/>
    <n v="10"/>
    <n v="13.49"/>
    <n v="53.96"/>
    <s v="UPI"/>
    <x v="0"/>
    <n v="4"/>
    <n v="36"/>
    <s v="Chicago"/>
    <x v="2"/>
    <s v="Male"/>
  </r>
  <r>
    <s v="ORD-20451"/>
    <s v="CUST-5055"/>
    <d v="2023-02-12T00:00:00"/>
    <x v="1"/>
    <s v="Remote Control Car"/>
    <n v="39.99"/>
    <n v="4"/>
    <n v="0"/>
    <n v="39.99"/>
    <n v="159.96"/>
    <s v="Wallet"/>
    <x v="0"/>
    <m/>
    <n v="36"/>
    <s v="Chicago"/>
    <x v="2"/>
    <s v="Male"/>
  </r>
  <r>
    <s v="ORD-20452"/>
    <s v="CUST-5055"/>
    <d v="2022-06-25T00:00:00"/>
    <x v="2"/>
    <s v="Blender"/>
    <n v="64.989999999999995"/>
    <n v="2"/>
    <n v="0"/>
    <n v="64.989999999999995"/>
    <n v="129.97999999999999"/>
    <s v="Credit Card"/>
    <x v="1"/>
    <m/>
    <n v="36"/>
    <s v="Chicago"/>
    <x v="2"/>
    <s v="Male"/>
  </r>
  <r>
    <s v="ORD-20453"/>
    <s v="CUST-5056"/>
    <d v="2024-11-13T00:00:00"/>
    <x v="5"/>
    <s v="Bluetooth Speaker"/>
    <n v="49.99"/>
    <n v="4"/>
    <n v="0"/>
    <n v="49.99"/>
    <n v="199.96"/>
    <s v="PayPal"/>
    <x v="0"/>
    <n v="4"/>
    <n v="35"/>
    <s v="Dallas"/>
    <x v="2"/>
    <s v="Female"/>
  </r>
  <r>
    <s v="ORD-20454"/>
    <s v="CUST-5056"/>
    <d v="2022-06-27T00:00:00"/>
    <x v="5"/>
    <s v="Wireless Earbuds"/>
    <n v="79.989999999999995"/>
    <n v="3"/>
    <n v="0"/>
    <n v="79.989999999999995"/>
    <n v="239.97"/>
    <s v="PayPal"/>
    <x v="0"/>
    <n v="5"/>
    <n v="35"/>
    <s v="Dallas"/>
    <x v="2"/>
    <s v="Female"/>
  </r>
  <r>
    <s v="ORD-20455"/>
    <s v="CUST-5056"/>
    <d v="2022-10-08T00:00:00"/>
    <x v="3"/>
    <s v="Yoga Pants"/>
    <n v="44.99"/>
    <n v="2"/>
    <n v="15"/>
    <n v="38.24"/>
    <n v="76.48"/>
    <s v="PayPal"/>
    <x v="0"/>
    <n v="5"/>
    <n v="35"/>
    <s v="Dallas"/>
    <x v="2"/>
    <s v="Female"/>
  </r>
  <r>
    <s v="ORD-20456"/>
    <s v="CUST-5056"/>
    <d v="2022-10-25T00:00:00"/>
    <x v="3"/>
    <s v="Running Shoes"/>
    <n v="89.99"/>
    <n v="3"/>
    <n v="5"/>
    <n v="85.49"/>
    <n v="256.47000000000003"/>
    <s v="Wallet"/>
    <x v="4"/>
    <n v="3"/>
    <n v="35"/>
    <s v="Dallas"/>
    <x v="2"/>
    <s v="Female"/>
  </r>
  <r>
    <s v="ORD-20457"/>
    <s v="CUST-5056"/>
    <d v="2023-05-12T00:00:00"/>
    <x v="6"/>
    <s v="Face Serum"/>
    <n v="39.99"/>
    <n v="4"/>
    <n v="0"/>
    <n v="39.99"/>
    <n v="159.96"/>
    <s v="Wallet"/>
    <x v="0"/>
    <n v="4"/>
    <n v="35"/>
    <s v="Dallas"/>
    <x v="2"/>
    <s v="Female"/>
  </r>
  <r>
    <s v="ORD-20458"/>
    <s v="CUST-5056"/>
    <d v="2022-02-01T00:00:00"/>
    <x v="5"/>
    <s v="Bluetooth Speaker"/>
    <n v="49.99"/>
    <n v="3"/>
    <n v="0"/>
    <n v="49.99"/>
    <n v="149.97"/>
    <s v="Wallet"/>
    <x v="0"/>
    <n v="5"/>
    <n v="35"/>
    <s v="Dallas"/>
    <x v="2"/>
    <s v="Female"/>
  </r>
  <r>
    <s v="ORD-20459"/>
    <s v="CUST-5056"/>
    <d v="2022-05-04T00:00:00"/>
    <x v="4"/>
    <s v="Jump Rope"/>
    <n v="14.99"/>
    <n v="4"/>
    <n v="10"/>
    <n v="13.49"/>
    <n v="53.96"/>
    <s v="Credit Card"/>
    <x v="0"/>
    <n v="5"/>
    <n v="35"/>
    <s v="Dallas"/>
    <x v="2"/>
    <s v="Female"/>
  </r>
  <r>
    <s v="ORD-20460"/>
    <s v="CUST-5056"/>
    <d v="2024-09-21T00:00:00"/>
    <x v="0"/>
    <s v="Data Science Handbook"/>
    <n v="49.99"/>
    <n v="2"/>
    <n v="20"/>
    <n v="39.99"/>
    <n v="79.98"/>
    <s v="UPI"/>
    <x v="0"/>
    <n v="5"/>
    <n v="35"/>
    <s v="Dallas"/>
    <x v="2"/>
    <s v="Female"/>
  </r>
  <r>
    <s v="ORD-20461"/>
    <s v="CUST-5056"/>
    <d v="2022-04-15T00:00:00"/>
    <x v="6"/>
    <s v="Moisturizer SPF 50"/>
    <n v="29.99"/>
    <n v="2"/>
    <n v="20"/>
    <n v="23.99"/>
    <n v="47.98"/>
    <s v="UPI"/>
    <x v="0"/>
    <m/>
    <n v="35"/>
    <s v="Dallas"/>
    <x v="2"/>
    <s v="Female"/>
  </r>
  <r>
    <s v="ORD-20462"/>
    <s v="CUST-5056"/>
    <d v="2023-04-11T00:00:00"/>
    <x v="3"/>
    <s v="Running Shoes"/>
    <n v="89.99"/>
    <n v="1"/>
    <n v="0"/>
    <n v="89.99"/>
    <n v="89.99"/>
    <s v="Debit Card"/>
    <x v="3"/>
    <n v="4"/>
    <n v="35"/>
    <s v="Dallas"/>
    <x v="2"/>
    <s v="Female"/>
  </r>
  <r>
    <s v="ORD-20463"/>
    <s v="CUST-5056"/>
    <d v="2023-08-16T00:00:00"/>
    <x v="1"/>
    <s v="Action Figure"/>
    <n v="19.989999999999998"/>
    <n v="3"/>
    <n v="0"/>
    <n v="19.989999999999998"/>
    <n v="59.97"/>
    <s v="Wallet"/>
    <x v="0"/>
    <m/>
    <n v="35"/>
    <s v="Dallas"/>
    <x v="2"/>
    <s v="Female"/>
  </r>
  <r>
    <s v="ORD-20464"/>
    <s v="CUST-5057"/>
    <d v="2023-01-06T00:00:00"/>
    <x v="2"/>
    <s v="Coffee Maker"/>
    <n v="59.99"/>
    <n v="4"/>
    <n v="5"/>
    <n v="56.99"/>
    <n v="227.96"/>
    <s v="PayPal"/>
    <x v="0"/>
    <n v="5"/>
    <n v="60"/>
    <s v="Jacksonville"/>
    <x v="3"/>
    <s v="Female"/>
  </r>
  <r>
    <s v="ORD-20465"/>
    <s v="CUST-5057"/>
    <d v="2022-02-28T00:00:00"/>
    <x v="0"/>
    <s v="Fiction Novel"/>
    <n v="14.99"/>
    <n v="2"/>
    <n v="5"/>
    <n v="14.24"/>
    <n v="28.48"/>
    <s v="PayPal"/>
    <x v="0"/>
    <n v="5"/>
    <n v="60"/>
    <s v="Jacksonville"/>
    <x v="3"/>
    <s v="Female"/>
  </r>
  <r>
    <s v="ORD-20466"/>
    <s v="CUST-5057"/>
    <d v="2023-11-07T00:00:00"/>
    <x v="1"/>
    <s v="LEGO Classic Set"/>
    <n v="49.99"/>
    <n v="1"/>
    <n v="20"/>
    <n v="39.99"/>
    <n v="39.99"/>
    <s v="Wallet"/>
    <x v="0"/>
    <n v="5"/>
    <n v="60"/>
    <s v="Jacksonville"/>
    <x v="3"/>
    <s v="Female"/>
  </r>
  <r>
    <s v="ORD-20467"/>
    <s v="CUST-5057"/>
    <d v="2023-07-07T00:00:00"/>
    <x v="1"/>
    <s v="Remote Control Car"/>
    <n v="39.99"/>
    <n v="2"/>
    <n v="0"/>
    <n v="39.99"/>
    <n v="79.98"/>
    <s v="Debit Card"/>
    <x v="0"/>
    <n v="4"/>
    <n v="60"/>
    <s v="Jacksonville"/>
    <x v="3"/>
    <s v="Female"/>
  </r>
  <r>
    <s v="ORD-20468"/>
    <s v="CUST-5057"/>
    <d v="2022-06-23T00:00:00"/>
    <x v="6"/>
    <s v="Moisturizer SPF 50"/>
    <n v="29.99"/>
    <n v="4"/>
    <n v="0"/>
    <n v="29.99"/>
    <n v="119.96"/>
    <s v="Wallet"/>
    <x v="0"/>
    <n v="4"/>
    <n v="60"/>
    <s v="Jacksonville"/>
    <x v="3"/>
    <s v="Female"/>
  </r>
  <r>
    <s v="ORD-20469"/>
    <s v="CUST-5057"/>
    <d v="2022-12-24T00:00:00"/>
    <x v="5"/>
    <s v="Smart Watch"/>
    <n v="199.99"/>
    <n v="3"/>
    <n v="0"/>
    <n v="199.99"/>
    <n v="599.97"/>
    <s v="Wallet"/>
    <x v="0"/>
    <m/>
    <n v="60"/>
    <s v="Jacksonville"/>
    <x v="3"/>
    <s v="Female"/>
  </r>
  <r>
    <s v="ORD-20470"/>
    <s v="CUST-5057"/>
    <d v="2023-08-17T00:00:00"/>
    <x v="3"/>
    <s v="Running Shoes"/>
    <n v="89.99"/>
    <n v="4"/>
    <n v="10"/>
    <n v="80.989999999999995"/>
    <n v="323.95999999999998"/>
    <s v="Credit Card"/>
    <x v="2"/>
    <m/>
    <n v="60"/>
    <s v="Jacksonville"/>
    <x v="3"/>
    <s v="Female"/>
  </r>
  <r>
    <s v="ORD-20471"/>
    <s v="CUST-5057"/>
    <d v="2022-07-21T00:00:00"/>
    <x v="2"/>
    <s v="Coffee Maker"/>
    <n v="59.99"/>
    <n v="3"/>
    <n v="5"/>
    <n v="56.99"/>
    <n v="170.97"/>
    <s v="Debit Card"/>
    <x v="0"/>
    <m/>
    <n v="60"/>
    <s v="Jacksonville"/>
    <x v="3"/>
    <s v="Female"/>
  </r>
  <r>
    <s v="ORD-20472"/>
    <s v="CUST-5057"/>
    <d v="2024-07-28T00:00:00"/>
    <x v="4"/>
    <s v="Water Bottle"/>
    <n v="24.99"/>
    <n v="4"/>
    <n v="15"/>
    <n v="21.24"/>
    <n v="84.96"/>
    <s v="UPI"/>
    <x v="0"/>
    <n v="4"/>
    <n v="60"/>
    <s v="Jacksonville"/>
    <x v="3"/>
    <s v="Female"/>
  </r>
  <r>
    <s v="ORD-20473"/>
    <s v="CUST-5057"/>
    <d v="2023-11-09T00:00:00"/>
    <x v="0"/>
    <s v="Fiction Novel"/>
    <n v="14.99"/>
    <n v="2"/>
    <n v="0"/>
    <n v="14.99"/>
    <n v="29.98"/>
    <s v="UPI"/>
    <x v="0"/>
    <n v="3"/>
    <n v="60"/>
    <s v="Jacksonville"/>
    <x v="3"/>
    <s v="Female"/>
  </r>
  <r>
    <s v="ORD-20474"/>
    <s v="CUST-5057"/>
    <d v="2024-01-18T00:00:00"/>
    <x v="6"/>
    <s v="Moisturizer SPF 50"/>
    <n v="29.99"/>
    <n v="3"/>
    <n v="5"/>
    <n v="28.49"/>
    <n v="85.47"/>
    <s v="UPI"/>
    <x v="0"/>
    <m/>
    <n v="60"/>
    <s v="Jacksonville"/>
    <x v="3"/>
    <s v="Female"/>
  </r>
  <r>
    <s v="ORD-20475"/>
    <s v="CUST-5057"/>
    <d v="2024-05-02T00:00:00"/>
    <x v="5"/>
    <s v="Bluetooth Speaker"/>
    <n v="49.99"/>
    <n v="4"/>
    <n v="10"/>
    <n v="44.99"/>
    <n v="179.96"/>
    <s v="Credit Card"/>
    <x v="0"/>
    <m/>
    <n v="60"/>
    <s v="Jacksonville"/>
    <x v="3"/>
    <s v="Female"/>
  </r>
  <r>
    <s v="ORD-20476"/>
    <s v="CUST-5057"/>
    <d v="2024-02-05T00:00:00"/>
    <x v="1"/>
    <s v="Puzzle 1000pcs"/>
    <n v="24.99"/>
    <n v="2"/>
    <n v="5"/>
    <n v="23.74"/>
    <n v="47.48"/>
    <s v="Credit Card"/>
    <x v="0"/>
    <n v="4"/>
    <n v="60"/>
    <s v="Jacksonville"/>
    <x v="3"/>
    <s v="Female"/>
  </r>
  <r>
    <s v="ORD-20477"/>
    <s v="CUST-5058"/>
    <d v="2022-04-12T00:00:00"/>
    <x v="4"/>
    <s v="Resistance Bands"/>
    <n v="19.989999999999998"/>
    <n v="4"/>
    <n v="5"/>
    <n v="18.989999999999998"/>
    <n v="75.959999999999994"/>
    <s v="PayPal"/>
    <x v="0"/>
    <n v="4"/>
    <n v="59"/>
    <s v="Jacksonville"/>
    <x v="1"/>
    <s v="Female"/>
  </r>
  <r>
    <s v="ORD-20478"/>
    <s v="CUST-5058"/>
    <d v="2023-03-23T00:00:00"/>
    <x v="0"/>
    <s v="Fiction Novel"/>
    <n v="14.99"/>
    <n v="4"/>
    <n v="15"/>
    <n v="12.74"/>
    <n v="50.96"/>
    <s v="Wallet"/>
    <x v="0"/>
    <n v="4"/>
    <n v="59"/>
    <s v="Jacksonville"/>
    <x v="1"/>
    <s v="Female"/>
  </r>
  <r>
    <s v="ORD-20479"/>
    <s v="CUST-5058"/>
    <d v="2024-07-06T00:00:00"/>
    <x v="1"/>
    <s v="Action Figure"/>
    <n v="19.989999999999998"/>
    <n v="3"/>
    <n v="0"/>
    <n v="19.989999999999998"/>
    <n v="59.97"/>
    <s v="Credit Card"/>
    <x v="0"/>
    <m/>
    <n v="59"/>
    <s v="Jacksonville"/>
    <x v="1"/>
    <s v="Female"/>
  </r>
  <r>
    <s v="ORD-20480"/>
    <s v="CUST-5058"/>
    <d v="2022-05-14T00:00:00"/>
    <x v="2"/>
    <s v="Blender"/>
    <n v="64.989999999999995"/>
    <n v="1"/>
    <n v="10"/>
    <n v="58.49"/>
    <n v="58.49"/>
    <s v="Wallet"/>
    <x v="0"/>
    <m/>
    <n v="59"/>
    <s v="Jacksonville"/>
    <x v="1"/>
    <s v="Female"/>
  </r>
  <r>
    <s v="ORD-20481"/>
    <s v="CUST-5058"/>
    <d v="2023-11-21T00:00:00"/>
    <x v="2"/>
    <s v="Air Fryer"/>
    <n v="89.99"/>
    <n v="3"/>
    <n v="5"/>
    <n v="85.49"/>
    <n v="256.47000000000003"/>
    <s v="UPI"/>
    <x v="0"/>
    <n v="5"/>
    <n v="59"/>
    <s v="Jacksonville"/>
    <x v="1"/>
    <s v="Female"/>
  </r>
  <r>
    <s v="ORD-20482"/>
    <s v="CUST-5058"/>
    <d v="2022-02-04T00:00:00"/>
    <x v="5"/>
    <s v="USB-C Hub"/>
    <n v="34.99"/>
    <n v="1"/>
    <n v="0"/>
    <n v="34.99"/>
    <n v="34.99"/>
    <s v="Debit Card"/>
    <x v="0"/>
    <n v="5"/>
    <n v="59"/>
    <s v="Jacksonville"/>
    <x v="1"/>
    <s v="Female"/>
  </r>
  <r>
    <s v="ORD-20483"/>
    <s v="CUST-5058"/>
    <d v="2022-12-27T00:00:00"/>
    <x v="2"/>
    <s v="Blender"/>
    <n v="64.989999999999995"/>
    <n v="4"/>
    <n v="0"/>
    <n v="64.989999999999995"/>
    <n v="259.95999999999998"/>
    <s v="Debit Card"/>
    <x v="0"/>
    <m/>
    <n v="59"/>
    <s v="Jacksonville"/>
    <x v="1"/>
    <s v="Female"/>
  </r>
  <r>
    <s v="ORD-20484"/>
    <s v="CUST-5058"/>
    <d v="2023-10-12T00:00:00"/>
    <x v="3"/>
    <s v="Denim Jacket"/>
    <n v="69.989999999999995"/>
    <n v="1"/>
    <n v="15"/>
    <n v="59.49"/>
    <n v="59.49"/>
    <s v="UPI"/>
    <x v="0"/>
    <n v="4"/>
    <n v="59"/>
    <s v="Jacksonville"/>
    <x v="1"/>
    <s v="Female"/>
  </r>
  <r>
    <s v="ORD-20485"/>
    <s v="CUST-5058"/>
    <d v="2022-11-25T00:00:00"/>
    <x v="1"/>
    <s v="Action Figure"/>
    <n v="19.989999999999998"/>
    <n v="3"/>
    <n v="10"/>
    <n v="17.989999999999998"/>
    <n v="53.97"/>
    <s v="UPI"/>
    <x v="0"/>
    <n v="4"/>
    <n v="59"/>
    <s v="Jacksonville"/>
    <x v="1"/>
    <s v="Female"/>
  </r>
  <r>
    <s v="ORD-20486"/>
    <s v="CUST-5058"/>
    <d v="2023-09-11T00:00:00"/>
    <x v="4"/>
    <s v="Water Bottle"/>
    <n v="24.99"/>
    <n v="3"/>
    <n v="15"/>
    <n v="21.24"/>
    <n v="63.72"/>
    <s v="Debit Card"/>
    <x v="0"/>
    <n v="4"/>
    <n v="59"/>
    <s v="Jacksonville"/>
    <x v="1"/>
    <s v="Female"/>
  </r>
  <r>
    <s v="ORD-20487"/>
    <s v="CUST-5058"/>
    <d v="2023-03-17T00:00:00"/>
    <x v="1"/>
    <s v="Remote Control Car"/>
    <n v="39.99"/>
    <n v="3"/>
    <n v="0"/>
    <n v="39.99"/>
    <n v="119.97"/>
    <s v="Debit Card"/>
    <x v="0"/>
    <m/>
    <n v="59"/>
    <s v="Jacksonville"/>
    <x v="1"/>
    <s v="Female"/>
  </r>
  <r>
    <s v="ORD-20488"/>
    <s v="CUST-5058"/>
    <d v="2023-09-04T00:00:00"/>
    <x v="2"/>
    <s v="Coffee Maker"/>
    <n v="59.99"/>
    <n v="2"/>
    <n v="15"/>
    <n v="50.99"/>
    <n v="101.98"/>
    <s v="PayPal"/>
    <x v="0"/>
    <n v="5"/>
    <n v="59"/>
    <s v="Jacksonville"/>
    <x v="1"/>
    <s v="Female"/>
  </r>
  <r>
    <s v="ORD-20489"/>
    <s v="CUST-5058"/>
    <d v="2024-02-24T00:00:00"/>
    <x v="0"/>
    <s v="Data Science Handbook"/>
    <n v="49.99"/>
    <n v="1"/>
    <n v="0"/>
    <n v="49.99"/>
    <n v="49.99"/>
    <s v="Credit Card"/>
    <x v="0"/>
    <n v="2"/>
    <n v="59"/>
    <s v="Jacksonville"/>
    <x v="1"/>
    <s v="Female"/>
  </r>
  <r>
    <s v="ORD-20490"/>
    <s v="CUST-5059"/>
    <d v="2022-06-07T00:00:00"/>
    <x v="4"/>
    <s v="Jump Rope"/>
    <n v="14.99"/>
    <n v="2"/>
    <n v="0"/>
    <n v="14.99"/>
    <n v="29.98"/>
    <s v="Wallet"/>
    <x v="0"/>
    <n v="5"/>
    <n v="37"/>
    <s v="Chicago"/>
    <x v="3"/>
    <s v="Male"/>
  </r>
  <r>
    <s v="ORD-20491"/>
    <s v="CUST-5059"/>
    <d v="2023-08-01T00:00:00"/>
    <x v="6"/>
    <s v="Hair Mask"/>
    <n v="24.99"/>
    <n v="3"/>
    <n v="15"/>
    <n v="21.24"/>
    <n v="63.72"/>
    <s v="Credit Card"/>
    <x v="0"/>
    <m/>
    <n v="37"/>
    <s v="Chicago"/>
    <x v="3"/>
    <s v="Male"/>
  </r>
  <r>
    <s v="ORD-20492"/>
    <s v="CUST-5059"/>
    <d v="2022-09-07T00:00:00"/>
    <x v="0"/>
    <s v="Python for Beginners"/>
    <n v="29.99"/>
    <n v="1"/>
    <n v="0"/>
    <n v="29.99"/>
    <n v="29.99"/>
    <s v="Wallet"/>
    <x v="0"/>
    <m/>
    <n v="37"/>
    <s v="Chicago"/>
    <x v="3"/>
    <s v="Male"/>
  </r>
  <r>
    <s v="ORD-20493"/>
    <s v="CUST-5059"/>
    <d v="2023-10-09T00:00:00"/>
    <x v="1"/>
    <s v="Remote Control Car"/>
    <n v="39.99"/>
    <n v="2"/>
    <n v="15"/>
    <n v="33.99"/>
    <n v="67.98"/>
    <s v="Debit Card"/>
    <x v="0"/>
    <n v="5"/>
    <n v="37"/>
    <s v="Chicago"/>
    <x v="3"/>
    <s v="Male"/>
  </r>
  <r>
    <s v="ORD-20494"/>
    <s v="CUST-5059"/>
    <d v="2022-06-01T00:00:00"/>
    <x v="3"/>
    <s v="Denim Jacket"/>
    <n v="69.989999999999995"/>
    <n v="1"/>
    <n v="15"/>
    <n v="59.49"/>
    <n v="59.49"/>
    <s v="Debit Card"/>
    <x v="0"/>
    <n v="4"/>
    <n v="37"/>
    <s v="Chicago"/>
    <x v="3"/>
    <s v="Male"/>
  </r>
  <r>
    <s v="ORD-20495"/>
    <s v="CUST-5059"/>
    <d v="2023-03-02T00:00:00"/>
    <x v="6"/>
    <s v="Moisturizer SPF 50"/>
    <n v="29.99"/>
    <n v="1"/>
    <n v="15"/>
    <n v="25.49"/>
    <n v="25.49"/>
    <s v="Debit Card"/>
    <x v="0"/>
    <n v="5"/>
    <n v="37"/>
    <s v="Chicago"/>
    <x v="3"/>
    <s v="Male"/>
  </r>
  <r>
    <s v="ORD-20496"/>
    <s v="CUST-5059"/>
    <d v="2023-04-07T00:00:00"/>
    <x v="3"/>
    <s v="Running Shoes"/>
    <n v="89.99"/>
    <n v="3"/>
    <n v="20"/>
    <n v="71.989999999999995"/>
    <n v="215.97"/>
    <s v="PayPal"/>
    <x v="0"/>
    <n v="5"/>
    <n v="37"/>
    <s v="Chicago"/>
    <x v="3"/>
    <s v="Male"/>
  </r>
  <r>
    <s v="ORD-20497"/>
    <s v="CUST-5059"/>
    <d v="2024-10-07T00:00:00"/>
    <x v="1"/>
    <s v="Remote Control Car"/>
    <n v="39.99"/>
    <n v="1"/>
    <n v="15"/>
    <n v="33.99"/>
    <n v="33.99"/>
    <s v="PayPal"/>
    <x v="0"/>
    <n v="3"/>
    <n v="37"/>
    <s v="Chicago"/>
    <x v="3"/>
    <s v="Male"/>
  </r>
  <r>
    <s v="ORD-20498"/>
    <s v="CUST-5060"/>
    <d v="2022-11-16T00:00:00"/>
    <x v="5"/>
    <s v="Bluetooth Speaker"/>
    <n v="49.99"/>
    <n v="3"/>
    <n v="15"/>
    <n v="42.49"/>
    <n v="127.47"/>
    <s v="PayPal"/>
    <x v="0"/>
    <n v="5"/>
    <n v="26"/>
    <s v="Houston"/>
    <x v="3"/>
    <s v="Male"/>
  </r>
  <r>
    <s v="ORD-20499"/>
    <s v="CUST-5060"/>
    <d v="2024-07-24T00:00:00"/>
    <x v="6"/>
    <s v="Face Serum"/>
    <n v="39.99"/>
    <n v="4"/>
    <n v="0"/>
    <n v="39.99"/>
    <n v="159.96"/>
    <s v="Debit Card"/>
    <x v="0"/>
    <n v="1"/>
    <n v="26"/>
    <s v="Houston"/>
    <x v="3"/>
    <s v="Male"/>
  </r>
  <r>
    <s v="ORD-20500"/>
    <s v="CUST-5060"/>
    <d v="2023-02-18T00:00:00"/>
    <x v="6"/>
    <s v="Moisturizer SPF 50"/>
    <n v="29.99"/>
    <n v="2"/>
    <n v="0"/>
    <n v="29.99"/>
    <n v="59.98"/>
    <s v="Credit Card"/>
    <x v="0"/>
    <n v="5"/>
    <n v="26"/>
    <s v="Houston"/>
    <x v="3"/>
    <s v="Male"/>
  </r>
  <r>
    <s v="ORD-20501"/>
    <s v="CUST-5060"/>
    <d v="2024-10-01T00:00:00"/>
    <x v="0"/>
    <s v="Data Science Handbook"/>
    <n v="49.99"/>
    <n v="2"/>
    <n v="0"/>
    <n v="49.99"/>
    <n v="99.98"/>
    <s v="UPI"/>
    <x v="0"/>
    <n v="4"/>
    <n v="26"/>
    <s v="Houston"/>
    <x v="3"/>
    <s v="Male"/>
  </r>
  <r>
    <s v="ORD-20502"/>
    <s v="CUST-5060"/>
    <d v="2023-04-11T00:00:00"/>
    <x v="2"/>
    <s v="Air Fryer"/>
    <n v="89.99"/>
    <n v="2"/>
    <n v="0"/>
    <n v="89.99"/>
    <n v="179.98"/>
    <s v="Credit Card"/>
    <x v="0"/>
    <n v="2"/>
    <n v="26"/>
    <s v="Houston"/>
    <x v="3"/>
    <s v="Male"/>
  </r>
  <r>
    <s v="ORD-20503"/>
    <s v="CUST-5060"/>
    <d v="2024-08-13T00:00:00"/>
    <x v="4"/>
    <s v="Yoga Mat"/>
    <n v="29.99"/>
    <n v="3"/>
    <n v="5"/>
    <n v="28.49"/>
    <n v="85.47"/>
    <s v="Wallet"/>
    <x v="0"/>
    <m/>
    <n v="26"/>
    <s v="Houston"/>
    <x v="3"/>
    <s v="Male"/>
  </r>
  <r>
    <s v="ORD-20504"/>
    <s v="CUST-5060"/>
    <d v="2022-03-10T00:00:00"/>
    <x v="1"/>
    <s v="Remote Control Car"/>
    <n v="39.99"/>
    <n v="2"/>
    <n v="0"/>
    <n v="39.99"/>
    <n v="79.98"/>
    <s v="Wallet"/>
    <x v="0"/>
    <n v="2"/>
    <n v="26"/>
    <s v="Houston"/>
    <x v="3"/>
    <s v="Male"/>
  </r>
  <r>
    <s v="ORD-20505"/>
    <s v="CUST-5060"/>
    <d v="2022-11-01T00:00:00"/>
    <x v="2"/>
    <s v="Blender"/>
    <n v="64.989999999999995"/>
    <n v="4"/>
    <n v="0"/>
    <n v="64.989999999999995"/>
    <n v="259.95999999999998"/>
    <s v="Wallet"/>
    <x v="0"/>
    <n v="5"/>
    <n v="26"/>
    <s v="Houston"/>
    <x v="3"/>
    <s v="Male"/>
  </r>
  <r>
    <s v="ORD-20506"/>
    <s v="CUST-5060"/>
    <d v="2023-03-04T00:00:00"/>
    <x v="2"/>
    <s v="Coffee Maker"/>
    <n v="59.99"/>
    <n v="2"/>
    <n v="10"/>
    <n v="53.99"/>
    <n v="107.98"/>
    <s v="PayPal"/>
    <x v="4"/>
    <n v="4"/>
    <n v="26"/>
    <s v="Houston"/>
    <x v="3"/>
    <s v="Male"/>
  </r>
  <r>
    <s v="ORD-20507"/>
    <s v="CUST-5060"/>
    <d v="2023-10-19T00:00:00"/>
    <x v="0"/>
    <s v="Python for Beginners"/>
    <n v="29.99"/>
    <n v="4"/>
    <n v="0"/>
    <n v="29.99"/>
    <n v="119.96"/>
    <s v="Wallet"/>
    <x v="0"/>
    <n v="4"/>
    <n v="26"/>
    <s v="Houston"/>
    <x v="3"/>
    <s v="Male"/>
  </r>
  <r>
    <s v="ORD-20508"/>
    <s v="CUST-5060"/>
    <d v="2022-02-19T00:00:00"/>
    <x v="2"/>
    <s v="Blender"/>
    <n v="64.989999999999995"/>
    <n v="2"/>
    <n v="20"/>
    <n v="51.99"/>
    <n v="103.98"/>
    <s v="Wallet"/>
    <x v="0"/>
    <m/>
    <n v="26"/>
    <s v="Houston"/>
    <x v="3"/>
    <s v="Male"/>
  </r>
  <r>
    <s v="ORD-20509"/>
    <s v="CUST-5060"/>
    <d v="2024-04-27T00:00:00"/>
    <x v="2"/>
    <s v="Blender"/>
    <n v="64.989999999999995"/>
    <n v="1"/>
    <n v="0"/>
    <n v="64.989999999999995"/>
    <n v="64.989999999999995"/>
    <s v="Credit Card"/>
    <x v="0"/>
    <n v="5"/>
    <n v="26"/>
    <s v="Houston"/>
    <x v="3"/>
    <s v="Male"/>
  </r>
  <r>
    <s v="ORD-20510"/>
    <s v="CUST-5061"/>
    <d v="2022-11-25T00:00:00"/>
    <x v="0"/>
    <s v="Data Science Handbook"/>
    <n v="49.99"/>
    <n v="3"/>
    <n v="0"/>
    <n v="49.99"/>
    <n v="149.97"/>
    <s v="PayPal"/>
    <x v="0"/>
    <n v="5"/>
    <n v="46"/>
    <s v="New York"/>
    <x v="2"/>
    <s v="Female"/>
  </r>
  <r>
    <s v="ORD-20511"/>
    <s v="CUST-5061"/>
    <d v="2022-12-08T00:00:00"/>
    <x v="2"/>
    <s v="Air Fryer"/>
    <n v="89.99"/>
    <n v="1"/>
    <n v="0"/>
    <n v="89.99"/>
    <n v="89.99"/>
    <s v="PayPal"/>
    <x v="0"/>
    <n v="4"/>
    <n v="46"/>
    <s v="New York"/>
    <x v="2"/>
    <s v="Female"/>
  </r>
  <r>
    <s v="ORD-20512"/>
    <s v="CUST-5061"/>
    <d v="2024-05-19T00:00:00"/>
    <x v="4"/>
    <s v="Jump Rope"/>
    <n v="14.99"/>
    <n v="3"/>
    <n v="20"/>
    <n v="11.99"/>
    <n v="35.97"/>
    <s v="Wallet"/>
    <x v="0"/>
    <n v="5"/>
    <n v="46"/>
    <s v="New York"/>
    <x v="2"/>
    <s v="Female"/>
  </r>
  <r>
    <s v="ORD-20513"/>
    <s v="CUST-5061"/>
    <d v="2022-06-15T00:00:00"/>
    <x v="4"/>
    <s v="Yoga Mat"/>
    <n v="29.99"/>
    <n v="4"/>
    <n v="0"/>
    <n v="29.99"/>
    <n v="119.96"/>
    <s v="PayPal"/>
    <x v="4"/>
    <n v="4"/>
    <n v="46"/>
    <s v="New York"/>
    <x v="2"/>
    <s v="Female"/>
  </r>
  <r>
    <s v="ORD-20514"/>
    <s v="CUST-5061"/>
    <d v="2023-02-06T00:00:00"/>
    <x v="5"/>
    <s v="Wireless Earbuds"/>
    <n v="79.989999999999995"/>
    <n v="2"/>
    <n v="20"/>
    <n v="63.99"/>
    <n v="127.98"/>
    <s v="Credit Card"/>
    <x v="0"/>
    <n v="5"/>
    <n v="46"/>
    <s v="New York"/>
    <x v="2"/>
    <s v="Female"/>
  </r>
  <r>
    <s v="ORD-20515"/>
    <s v="CUST-5062"/>
    <d v="2023-04-18T00:00:00"/>
    <x v="1"/>
    <s v="Puzzle 1000pcs"/>
    <n v="24.99"/>
    <n v="2"/>
    <n v="15"/>
    <n v="21.24"/>
    <n v="42.48"/>
    <s v="UPI"/>
    <x v="0"/>
    <m/>
    <n v="56"/>
    <s v="Austin"/>
    <x v="3"/>
    <s v="Male"/>
  </r>
  <r>
    <s v="ORD-20516"/>
    <s v="CUST-5062"/>
    <d v="2022-02-19T00:00:00"/>
    <x v="6"/>
    <s v="Face Serum"/>
    <n v="39.99"/>
    <n v="1"/>
    <n v="10"/>
    <n v="35.99"/>
    <n v="35.99"/>
    <s v="Credit Card"/>
    <x v="0"/>
    <n v="4"/>
    <n v="56"/>
    <s v="Austin"/>
    <x v="3"/>
    <s v="Male"/>
  </r>
  <r>
    <s v="ORD-20517"/>
    <s v="CUST-5062"/>
    <d v="2022-12-27T00:00:00"/>
    <x v="4"/>
    <s v="Resistance Bands"/>
    <n v="19.989999999999998"/>
    <n v="1"/>
    <n v="0"/>
    <n v="19.989999999999998"/>
    <n v="19.989999999999998"/>
    <s v="Credit Card"/>
    <x v="0"/>
    <m/>
    <n v="56"/>
    <s v="Austin"/>
    <x v="3"/>
    <s v="Male"/>
  </r>
  <r>
    <s v="ORD-20518"/>
    <s v="CUST-5062"/>
    <d v="2024-09-06T00:00:00"/>
    <x v="5"/>
    <s v="Wireless Earbuds"/>
    <n v="79.989999999999995"/>
    <n v="1"/>
    <n v="20"/>
    <n v="63.99"/>
    <n v="63.99"/>
    <s v="UPI"/>
    <x v="0"/>
    <n v="4"/>
    <n v="56"/>
    <s v="Austin"/>
    <x v="3"/>
    <s v="Male"/>
  </r>
  <r>
    <s v="ORD-20519"/>
    <s v="CUST-5062"/>
    <d v="2024-02-04T00:00:00"/>
    <x v="0"/>
    <s v="Business Analytics"/>
    <n v="39.99"/>
    <n v="1"/>
    <n v="0"/>
    <n v="39.99"/>
    <n v="39.99"/>
    <s v="PayPal"/>
    <x v="0"/>
    <m/>
    <n v="56"/>
    <s v="Austin"/>
    <x v="3"/>
    <s v="Male"/>
  </r>
  <r>
    <s v="ORD-20520"/>
    <s v="CUST-5062"/>
    <d v="2024-01-07T00:00:00"/>
    <x v="5"/>
    <s v="USB-C Hub"/>
    <n v="34.99"/>
    <n v="3"/>
    <n v="0"/>
    <n v="34.99"/>
    <n v="104.97"/>
    <s v="UPI"/>
    <x v="0"/>
    <m/>
    <n v="56"/>
    <s v="Austin"/>
    <x v="3"/>
    <s v="Male"/>
  </r>
  <r>
    <s v="ORD-20521"/>
    <s v="CUST-5062"/>
    <d v="2022-03-21T00:00:00"/>
    <x v="6"/>
    <s v="Face Serum"/>
    <n v="39.99"/>
    <n v="1"/>
    <n v="10"/>
    <n v="35.99"/>
    <n v="35.99"/>
    <s v="Wallet"/>
    <x v="0"/>
    <n v="2"/>
    <n v="56"/>
    <s v="Austin"/>
    <x v="3"/>
    <s v="Male"/>
  </r>
  <r>
    <s v="ORD-20522"/>
    <s v="CUST-5062"/>
    <d v="2023-01-15T00:00:00"/>
    <x v="4"/>
    <s v="Yoga Mat"/>
    <n v="29.99"/>
    <n v="1"/>
    <n v="20"/>
    <n v="23.99"/>
    <n v="23.99"/>
    <s v="Wallet"/>
    <x v="3"/>
    <n v="4"/>
    <n v="56"/>
    <s v="Austin"/>
    <x v="3"/>
    <s v="Male"/>
  </r>
  <r>
    <s v="ORD-20523"/>
    <s v="CUST-5062"/>
    <d v="2024-11-06T00:00:00"/>
    <x v="5"/>
    <s v="USB-C Hub"/>
    <n v="34.99"/>
    <n v="1"/>
    <n v="10"/>
    <n v="31.49"/>
    <n v="31.49"/>
    <s v="Wallet"/>
    <x v="0"/>
    <n v="5"/>
    <n v="56"/>
    <s v="Austin"/>
    <x v="3"/>
    <s v="Male"/>
  </r>
  <r>
    <s v="ORD-20524"/>
    <s v="CUST-5062"/>
    <d v="2022-12-10T00:00:00"/>
    <x v="3"/>
    <s v="Cotton T-Shirt"/>
    <n v="24.99"/>
    <n v="1"/>
    <n v="10"/>
    <n v="22.49"/>
    <n v="22.49"/>
    <s v="Credit Card"/>
    <x v="0"/>
    <m/>
    <n v="56"/>
    <s v="Austin"/>
    <x v="3"/>
    <s v="Male"/>
  </r>
  <r>
    <s v="ORD-20525"/>
    <s v="CUST-5062"/>
    <d v="2022-09-18T00:00:00"/>
    <x v="5"/>
    <s v="Smart Watch"/>
    <n v="199.99"/>
    <n v="4"/>
    <n v="15"/>
    <n v="169.99"/>
    <n v="679.96"/>
    <s v="Wallet"/>
    <x v="3"/>
    <n v="2"/>
    <n v="56"/>
    <s v="Austin"/>
    <x v="3"/>
    <s v="Male"/>
  </r>
  <r>
    <s v="ORD-20526"/>
    <s v="CUST-5062"/>
    <d v="2023-09-22T00:00:00"/>
    <x v="0"/>
    <s v="Fiction Novel"/>
    <n v="14.99"/>
    <n v="4"/>
    <n v="0"/>
    <n v="14.99"/>
    <n v="59.96"/>
    <s v="PayPal"/>
    <x v="0"/>
    <n v="4"/>
    <n v="56"/>
    <s v="Austin"/>
    <x v="3"/>
    <s v="Male"/>
  </r>
  <r>
    <s v="ORD-20527"/>
    <s v="CUST-5062"/>
    <d v="2024-12-27T00:00:00"/>
    <x v="4"/>
    <s v="Water Bottle"/>
    <n v="24.99"/>
    <n v="1"/>
    <n v="15"/>
    <n v="21.24"/>
    <n v="21.24"/>
    <s v="Wallet"/>
    <x v="0"/>
    <m/>
    <n v="56"/>
    <s v="Austin"/>
    <x v="3"/>
    <s v="Male"/>
  </r>
  <r>
    <s v="ORD-20528"/>
    <s v="CUST-5062"/>
    <d v="2022-06-01T00:00:00"/>
    <x v="3"/>
    <s v="Yoga Pants"/>
    <n v="44.99"/>
    <n v="2"/>
    <n v="0"/>
    <n v="44.99"/>
    <n v="89.98"/>
    <s v="Wallet"/>
    <x v="0"/>
    <m/>
    <n v="56"/>
    <s v="Austin"/>
    <x v="3"/>
    <s v="Male"/>
  </r>
  <r>
    <s v="ORD-20529"/>
    <s v="CUST-5062"/>
    <d v="2023-02-23T00:00:00"/>
    <x v="1"/>
    <s v="LEGO Classic Set"/>
    <n v="49.99"/>
    <n v="4"/>
    <n v="20"/>
    <n v="39.99"/>
    <n v="159.96"/>
    <s v="Credit Card"/>
    <x v="0"/>
    <n v="4"/>
    <n v="56"/>
    <s v="Austin"/>
    <x v="3"/>
    <s v="Male"/>
  </r>
  <r>
    <s v="ORD-20530"/>
    <s v="CUST-5063"/>
    <d v="2024-12-11T00:00:00"/>
    <x v="4"/>
    <s v="Resistance Bands"/>
    <n v="19.989999999999998"/>
    <n v="2"/>
    <n v="10"/>
    <n v="17.989999999999998"/>
    <n v="35.979999999999997"/>
    <s v="Credit Card"/>
    <x v="0"/>
    <n v="2"/>
    <n v="30"/>
    <s v="San Antonio"/>
    <x v="3"/>
    <s v="Male"/>
  </r>
  <r>
    <s v="ORD-20531"/>
    <s v="CUST-5063"/>
    <d v="2022-11-23T00:00:00"/>
    <x v="2"/>
    <s v="Coffee Maker"/>
    <n v="59.99"/>
    <n v="1"/>
    <n v="10"/>
    <n v="53.99"/>
    <n v="53.99"/>
    <s v="PayPal"/>
    <x v="0"/>
    <m/>
    <n v="30"/>
    <s v="San Antonio"/>
    <x v="3"/>
    <s v="Male"/>
  </r>
  <r>
    <s v="ORD-20532"/>
    <s v="CUST-5063"/>
    <d v="2024-12-06T00:00:00"/>
    <x v="5"/>
    <s v="Smart Watch"/>
    <n v="199.99"/>
    <n v="2"/>
    <n v="5"/>
    <n v="189.99"/>
    <n v="379.98"/>
    <s v="Wallet"/>
    <x v="0"/>
    <n v="5"/>
    <n v="30"/>
    <s v="San Antonio"/>
    <x v="3"/>
    <s v="Male"/>
  </r>
  <r>
    <s v="ORD-20533"/>
    <s v="CUST-5063"/>
    <d v="2023-03-09T00:00:00"/>
    <x v="5"/>
    <s v="Wireless Earbuds"/>
    <n v="79.989999999999995"/>
    <n v="1"/>
    <n v="0"/>
    <n v="79.989999999999995"/>
    <n v="79.989999999999995"/>
    <s v="PayPal"/>
    <x v="4"/>
    <n v="4"/>
    <n v="30"/>
    <s v="San Antonio"/>
    <x v="3"/>
    <s v="Male"/>
  </r>
  <r>
    <s v="ORD-20534"/>
    <s v="CUST-5063"/>
    <d v="2022-11-03T00:00:00"/>
    <x v="0"/>
    <s v="Data Science Handbook"/>
    <n v="49.99"/>
    <n v="1"/>
    <n v="10"/>
    <n v="44.99"/>
    <n v="44.99"/>
    <s v="Credit Card"/>
    <x v="0"/>
    <m/>
    <n v="30"/>
    <s v="San Antonio"/>
    <x v="3"/>
    <s v="Male"/>
  </r>
  <r>
    <s v="ORD-20535"/>
    <s v="CUST-5063"/>
    <d v="2024-11-21T00:00:00"/>
    <x v="4"/>
    <s v="Yoga Mat"/>
    <n v="29.99"/>
    <n v="2"/>
    <n v="0"/>
    <n v="29.99"/>
    <n v="59.98"/>
    <s v="PayPal"/>
    <x v="0"/>
    <n v="2"/>
    <n v="30"/>
    <s v="San Antonio"/>
    <x v="3"/>
    <s v="Male"/>
  </r>
  <r>
    <s v="ORD-20536"/>
    <s v="CUST-5063"/>
    <d v="2024-11-11T00:00:00"/>
    <x v="4"/>
    <s v="Jump Rope"/>
    <n v="14.99"/>
    <n v="1"/>
    <n v="15"/>
    <n v="12.74"/>
    <n v="12.74"/>
    <s v="PayPal"/>
    <x v="2"/>
    <n v="5"/>
    <n v="30"/>
    <s v="San Antonio"/>
    <x v="3"/>
    <s v="Male"/>
  </r>
  <r>
    <s v="ORD-20537"/>
    <s v="CUST-5063"/>
    <d v="2024-04-22T00:00:00"/>
    <x v="4"/>
    <s v="Water Bottle"/>
    <n v="24.99"/>
    <n v="3"/>
    <n v="0"/>
    <n v="24.99"/>
    <n v="74.97"/>
    <s v="PayPal"/>
    <x v="0"/>
    <n v="4"/>
    <n v="30"/>
    <s v="San Antonio"/>
    <x v="3"/>
    <s v="Male"/>
  </r>
  <r>
    <s v="ORD-20538"/>
    <s v="CUST-5063"/>
    <d v="2024-03-10T00:00:00"/>
    <x v="6"/>
    <s v="Lip Balm Set"/>
    <n v="14.99"/>
    <n v="2"/>
    <n v="5"/>
    <n v="14.24"/>
    <n v="28.48"/>
    <s v="Credit Card"/>
    <x v="0"/>
    <n v="5"/>
    <n v="30"/>
    <s v="San Antonio"/>
    <x v="3"/>
    <s v="Male"/>
  </r>
  <r>
    <s v="ORD-20539"/>
    <s v="CUST-5063"/>
    <d v="2024-07-01T00:00:00"/>
    <x v="2"/>
    <s v="Coffee Maker"/>
    <n v="59.99"/>
    <n v="4"/>
    <n v="0"/>
    <n v="59.99"/>
    <n v="239.96"/>
    <s v="UPI"/>
    <x v="0"/>
    <m/>
    <n v="30"/>
    <s v="San Antonio"/>
    <x v="3"/>
    <s v="Male"/>
  </r>
  <r>
    <s v="ORD-20540"/>
    <s v="CUST-5063"/>
    <d v="2024-12-03T00:00:00"/>
    <x v="3"/>
    <s v="Cotton T-Shirt"/>
    <n v="24.99"/>
    <n v="3"/>
    <n v="0"/>
    <n v="24.99"/>
    <n v="74.97"/>
    <s v="PayPal"/>
    <x v="0"/>
    <n v="5"/>
    <n v="30"/>
    <s v="San Antonio"/>
    <x v="3"/>
    <s v="Male"/>
  </r>
  <r>
    <s v="ORD-20541"/>
    <s v="CUST-5063"/>
    <d v="2024-04-08T00:00:00"/>
    <x v="4"/>
    <s v="Water Bottle"/>
    <n v="24.99"/>
    <n v="1"/>
    <n v="15"/>
    <n v="21.24"/>
    <n v="21.24"/>
    <s v="PayPal"/>
    <x v="0"/>
    <n v="4"/>
    <n v="30"/>
    <s v="San Antonio"/>
    <x v="3"/>
    <s v="Male"/>
  </r>
  <r>
    <s v="ORD-20542"/>
    <s v="CUST-5063"/>
    <d v="2023-09-07T00:00:00"/>
    <x v="6"/>
    <s v="Lip Balm Set"/>
    <n v="14.99"/>
    <n v="3"/>
    <n v="10"/>
    <n v="13.49"/>
    <n v="40.47"/>
    <s v="PayPal"/>
    <x v="4"/>
    <n v="5"/>
    <n v="30"/>
    <s v="San Antonio"/>
    <x v="3"/>
    <s v="Male"/>
  </r>
  <r>
    <s v="ORD-20543"/>
    <s v="CUST-5063"/>
    <d v="2023-03-27T00:00:00"/>
    <x v="3"/>
    <s v="Yoga Pants"/>
    <n v="44.99"/>
    <n v="2"/>
    <n v="10"/>
    <n v="40.49"/>
    <n v="80.98"/>
    <s v="PayPal"/>
    <x v="0"/>
    <n v="5"/>
    <n v="30"/>
    <s v="San Antonio"/>
    <x v="3"/>
    <s v="Male"/>
  </r>
  <r>
    <s v="ORD-20544"/>
    <s v="CUST-5063"/>
    <d v="2022-12-15T00:00:00"/>
    <x v="0"/>
    <s v="Data Science Handbook"/>
    <n v="49.99"/>
    <n v="2"/>
    <n v="0"/>
    <n v="49.99"/>
    <n v="99.98"/>
    <s v="Debit Card"/>
    <x v="0"/>
    <n v="3"/>
    <n v="30"/>
    <s v="San Antonio"/>
    <x v="3"/>
    <s v="Male"/>
  </r>
  <r>
    <s v="ORD-20545"/>
    <s v="CUST-5064"/>
    <d v="2022-10-26T00:00:00"/>
    <x v="5"/>
    <s v="Bluetooth Speaker"/>
    <n v="49.99"/>
    <n v="2"/>
    <n v="10"/>
    <n v="44.99"/>
    <n v="89.98"/>
    <s v="Credit Card"/>
    <x v="0"/>
    <n v="1"/>
    <n v="27"/>
    <s v="San Antonio"/>
    <x v="0"/>
    <s v="Female"/>
  </r>
  <r>
    <s v="ORD-20546"/>
    <s v="CUST-5064"/>
    <d v="2024-07-12T00:00:00"/>
    <x v="4"/>
    <s v="Resistance Bands"/>
    <n v="19.989999999999998"/>
    <n v="4"/>
    <n v="15"/>
    <n v="16.989999999999998"/>
    <n v="67.959999999999994"/>
    <s v="Debit Card"/>
    <x v="0"/>
    <n v="4"/>
    <n v="27"/>
    <s v="San Antonio"/>
    <x v="0"/>
    <s v="Female"/>
  </r>
  <r>
    <s v="ORD-20547"/>
    <s v="CUST-5065"/>
    <d v="2022-01-18T00:00:00"/>
    <x v="2"/>
    <s v="Blender"/>
    <n v="64.989999999999995"/>
    <n v="3"/>
    <n v="0"/>
    <n v="64.989999999999995"/>
    <n v="194.97"/>
    <s v="Debit Card"/>
    <x v="0"/>
    <m/>
    <n v="62"/>
    <s v="San Jose"/>
    <x v="3"/>
    <s v="Male"/>
  </r>
  <r>
    <s v="ORD-20548"/>
    <s v="CUST-5065"/>
    <d v="2022-05-08T00:00:00"/>
    <x v="0"/>
    <s v="Fiction Novel"/>
    <n v="14.99"/>
    <n v="1"/>
    <n v="15"/>
    <n v="12.74"/>
    <n v="12.74"/>
    <s v="Wallet"/>
    <x v="4"/>
    <n v="5"/>
    <n v="62"/>
    <s v="San Jose"/>
    <x v="3"/>
    <s v="Male"/>
  </r>
  <r>
    <s v="ORD-20549"/>
    <s v="CUST-5065"/>
    <d v="2023-11-16T00:00:00"/>
    <x v="1"/>
    <s v="LEGO Classic Set"/>
    <n v="49.99"/>
    <n v="4"/>
    <n v="15"/>
    <n v="42.49"/>
    <n v="169.96"/>
    <s v="Wallet"/>
    <x v="0"/>
    <n v="3"/>
    <n v="62"/>
    <s v="San Jose"/>
    <x v="3"/>
    <s v="Male"/>
  </r>
  <r>
    <s v="ORD-20550"/>
    <s v="CUST-5065"/>
    <d v="2024-01-03T00:00:00"/>
    <x v="0"/>
    <s v="Data Science Handbook"/>
    <n v="49.99"/>
    <n v="2"/>
    <n v="20"/>
    <n v="39.99"/>
    <n v="79.98"/>
    <s v="Credit Card"/>
    <x v="0"/>
    <n v="3"/>
    <n v="62"/>
    <s v="San Jose"/>
    <x v="3"/>
    <s v="Male"/>
  </r>
  <r>
    <s v="ORD-20551"/>
    <s v="CUST-5065"/>
    <d v="2022-02-10T00:00:00"/>
    <x v="4"/>
    <s v="Jump Rope"/>
    <n v="14.99"/>
    <n v="3"/>
    <n v="15"/>
    <n v="12.74"/>
    <n v="38.22"/>
    <s v="Debit Card"/>
    <x v="0"/>
    <n v="3"/>
    <n v="62"/>
    <s v="San Jose"/>
    <x v="3"/>
    <s v="Male"/>
  </r>
  <r>
    <s v="ORD-20552"/>
    <s v="CUST-5065"/>
    <d v="2023-03-04T00:00:00"/>
    <x v="6"/>
    <s v="Moisturizer SPF 50"/>
    <n v="29.99"/>
    <n v="1"/>
    <n v="20"/>
    <n v="23.99"/>
    <n v="23.99"/>
    <s v="PayPal"/>
    <x v="4"/>
    <n v="4"/>
    <n v="62"/>
    <s v="San Jose"/>
    <x v="3"/>
    <s v="Male"/>
  </r>
  <r>
    <s v="ORD-20553"/>
    <s v="CUST-5065"/>
    <d v="2022-03-23T00:00:00"/>
    <x v="6"/>
    <s v="Lip Balm Set"/>
    <n v="14.99"/>
    <n v="2"/>
    <n v="0"/>
    <n v="14.99"/>
    <n v="29.98"/>
    <s v="Debit Card"/>
    <x v="0"/>
    <m/>
    <n v="62"/>
    <s v="San Jose"/>
    <x v="3"/>
    <s v="Male"/>
  </r>
  <r>
    <s v="ORD-20554"/>
    <s v="CUST-5065"/>
    <d v="2022-08-23T00:00:00"/>
    <x v="3"/>
    <s v="Yoga Pants"/>
    <n v="44.99"/>
    <n v="2"/>
    <n v="20"/>
    <n v="35.99"/>
    <n v="71.98"/>
    <s v="Debit Card"/>
    <x v="0"/>
    <n v="3"/>
    <n v="62"/>
    <s v="San Jose"/>
    <x v="3"/>
    <s v="Male"/>
  </r>
  <r>
    <s v="ORD-20555"/>
    <s v="CUST-5065"/>
    <d v="2024-05-03T00:00:00"/>
    <x v="2"/>
    <s v="Coffee Maker"/>
    <n v="59.99"/>
    <n v="1"/>
    <n v="0"/>
    <n v="59.99"/>
    <n v="59.99"/>
    <s v="Debit Card"/>
    <x v="0"/>
    <n v="4"/>
    <n v="62"/>
    <s v="San Jose"/>
    <x v="3"/>
    <s v="Male"/>
  </r>
  <r>
    <s v="ORD-20556"/>
    <s v="CUST-5065"/>
    <d v="2023-10-15T00:00:00"/>
    <x v="2"/>
    <s v="Air Fryer"/>
    <n v="89.99"/>
    <n v="2"/>
    <n v="10"/>
    <n v="80.989999999999995"/>
    <n v="161.97999999999999"/>
    <s v="Wallet"/>
    <x v="0"/>
    <m/>
    <n v="62"/>
    <s v="San Jose"/>
    <x v="3"/>
    <s v="Male"/>
  </r>
  <r>
    <s v="ORD-20557"/>
    <s v="CUST-5065"/>
    <d v="2022-04-06T00:00:00"/>
    <x v="1"/>
    <s v="LEGO Classic Set"/>
    <n v="49.99"/>
    <n v="3"/>
    <n v="0"/>
    <n v="49.99"/>
    <n v="149.97"/>
    <s v="Debit Card"/>
    <x v="0"/>
    <n v="5"/>
    <n v="62"/>
    <s v="San Jose"/>
    <x v="3"/>
    <s v="Male"/>
  </r>
  <r>
    <s v="ORD-20558"/>
    <s v="CUST-5065"/>
    <d v="2023-02-05T00:00:00"/>
    <x v="0"/>
    <s v="Python for Beginners"/>
    <n v="29.99"/>
    <n v="2"/>
    <n v="20"/>
    <n v="23.99"/>
    <n v="47.98"/>
    <s v="Debit Card"/>
    <x v="1"/>
    <m/>
    <n v="62"/>
    <s v="San Jose"/>
    <x v="3"/>
    <s v="Male"/>
  </r>
  <r>
    <s v="ORD-20559"/>
    <s v="CUST-5065"/>
    <d v="2022-11-20T00:00:00"/>
    <x v="6"/>
    <s v="Moisturizer SPF 50"/>
    <n v="29.99"/>
    <n v="4"/>
    <n v="10"/>
    <n v="26.99"/>
    <n v="107.96"/>
    <s v="UPI"/>
    <x v="0"/>
    <m/>
    <n v="62"/>
    <s v="San Jose"/>
    <x v="3"/>
    <s v="Male"/>
  </r>
  <r>
    <s v="ORD-20560"/>
    <s v="CUST-5065"/>
    <d v="2022-06-11T00:00:00"/>
    <x v="1"/>
    <s v="Puzzle 1000pcs"/>
    <n v="24.99"/>
    <n v="3"/>
    <n v="20"/>
    <n v="19.989999999999998"/>
    <n v="59.97"/>
    <s v="Wallet"/>
    <x v="4"/>
    <m/>
    <n v="62"/>
    <s v="San Jose"/>
    <x v="3"/>
    <s v="Male"/>
  </r>
  <r>
    <s v="ORD-20561"/>
    <s v="CUST-5066"/>
    <d v="2022-06-19T00:00:00"/>
    <x v="4"/>
    <s v="Jump Rope"/>
    <n v="14.99"/>
    <n v="4"/>
    <n v="15"/>
    <n v="12.74"/>
    <n v="50.96"/>
    <s v="UPI"/>
    <x v="2"/>
    <n v="2"/>
    <n v="36"/>
    <s v="Los Angeles"/>
    <x v="2"/>
    <s v="Male"/>
  </r>
  <r>
    <s v="ORD-20562"/>
    <s v="CUST-5066"/>
    <d v="2022-11-03T00:00:00"/>
    <x v="3"/>
    <s v="Denim Jacket"/>
    <n v="69.989999999999995"/>
    <n v="2"/>
    <n v="10"/>
    <n v="62.99"/>
    <n v="125.98"/>
    <s v="PayPal"/>
    <x v="0"/>
    <n v="5"/>
    <n v="36"/>
    <s v="Los Angeles"/>
    <x v="2"/>
    <s v="Male"/>
  </r>
  <r>
    <s v="ORD-20563"/>
    <s v="CUST-5066"/>
    <d v="2023-07-08T00:00:00"/>
    <x v="6"/>
    <s v="Moisturizer SPF 50"/>
    <n v="29.99"/>
    <n v="3"/>
    <n v="10"/>
    <n v="26.99"/>
    <n v="80.97"/>
    <s v="Credit Card"/>
    <x v="0"/>
    <m/>
    <n v="36"/>
    <s v="Los Angeles"/>
    <x v="2"/>
    <s v="Male"/>
  </r>
  <r>
    <s v="ORD-20564"/>
    <s v="CUST-5067"/>
    <d v="2024-07-05T00:00:00"/>
    <x v="6"/>
    <s v="Lip Balm Set"/>
    <n v="14.99"/>
    <n v="2"/>
    <n v="0"/>
    <n v="14.99"/>
    <n v="29.98"/>
    <s v="Credit Card"/>
    <x v="0"/>
    <n v="4"/>
    <n v="43"/>
    <s v="San Diego"/>
    <x v="1"/>
    <s v="Female"/>
  </r>
  <r>
    <s v="ORD-20565"/>
    <s v="CUST-5067"/>
    <d v="2023-09-23T00:00:00"/>
    <x v="1"/>
    <s v="LEGO Classic Set"/>
    <n v="49.99"/>
    <n v="1"/>
    <n v="5"/>
    <n v="47.49"/>
    <n v="47.49"/>
    <s v="Debit Card"/>
    <x v="0"/>
    <n v="4"/>
    <n v="43"/>
    <s v="San Diego"/>
    <x v="1"/>
    <s v="Female"/>
  </r>
  <r>
    <s v="ORD-20566"/>
    <s v="CUST-5067"/>
    <d v="2024-12-21T00:00:00"/>
    <x v="3"/>
    <s v="Yoga Pants"/>
    <n v="44.99"/>
    <n v="2"/>
    <n v="0"/>
    <n v="44.99"/>
    <n v="89.98"/>
    <s v="Credit Card"/>
    <x v="0"/>
    <n v="4"/>
    <n v="43"/>
    <s v="San Diego"/>
    <x v="1"/>
    <s v="Female"/>
  </r>
  <r>
    <s v="ORD-20567"/>
    <s v="CUST-5067"/>
    <d v="2024-07-20T00:00:00"/>
    <x v="6"/>
    <s v="Face Serum"/>
    <n v="39.99"/>
    <n v="3"/>
    <n v="0"/>
    <n v="39.99"/>
    <n v="119.97"/>
    <s v="PayPal"/>
    <x v="0"/>
    <n v="5"/>
    <n v="43"/>
    <s v="San Diego"/>
    <x v="1"/>
    <s v="Female"/>
  </r>
  <r>
    <s v="ORD-20568"/>
    <s v="CUST-5067"/>
    <d v="2023-05-26T00:00:00"/>
    <x v="4"/>
    <s v="Jump Rope"/>
    <n v="14.99"/>
    <n v="2"/>
    <n v="0"/>
    <n v="14.99"/>
    <n v="29.98"/>
    <s v="UPI"/>
    <x v="0"/>
    <n v="4"/>
    <n v="43"/>
    <s v="San Diego"/>
    <x v="1"/>
    <s v="Female"/>
  </r>
  <r>
    <s v="ORD-20569"/>
    <s v="CUST-5067"/>
    <d v="2023-09-18T00:00:00"/>
    <x v="3"/>
    <s v="Cotton T-Shirt"/>
    <n v="24.99"/>
    <n v="3"/>
    <n v="0"/>
    <n v="24.99"/>
    <n v="74.97"/>
    <s v="UPI"/>
    <x v="0"/>
    <n v="4"/>
    <n v="43"/>
    <s v="San Diego"/>
    <x v="1"/>
    <s v="Female"/>
  </r>
  <r>
    <s v="ORD-20570"/>
    <s v="CUST-5067"/>
    <d v="2023-05-19T00:00:00"/>
    <x v="5"/>
    <s v="Wireless Earbuds"/>
    <n v="79.989999999999995"/>
    <n v="1"/>
    <n v="10"/>
    <n v="71.989999999999995"/>
    <n v="71.989999999999995"/>
    <s v="Wallet"/>
    <x v="0"/>
    <m/>
    <n v="43"/>
    <s v="San Diego"/>
    <x v="1"/>
    <s v="Female"/>
  </r>
  <r>
    <s v="ORD-20571"/>
    <s v="CUST-5068"/>
    <d v="2023-10-03T00:00:00"/>
    <x v="0"/>
    <s v="Data Science Handbook"/>
    <n v="49.99"/>
    <n v="4"/>
    <n v="0"/>
    <n v="49.99"/>
    <n v="199.96"/>
    <s v="Wallet"/>
    <x v="0"/>
    <m/>
    <n v="21"/>
    <s v="Austin"/>
    <x v="1"/>
    <s v="Male"/>
  </r>
  <r>
    <s v="ORD-20572"/>
    <s v="CUST-5069"/>
    <d v="2024-08-10T00:00:00"/>
    <x v="4"/>
    <s v="Water Bottle"/>
    <n v="24.99"/>
    <n v="4"/>
    <n v="10"/>
    <n v="22.49"/>
    <n v="89.96"/>
    <s v="Credit Card"/>
    <x v="0"/>
    <n v="2"/>
    <n v="38"/>
    <s v="Los Angeles"/>
    <x v="2"/>
    <s v="Male"/>
  </r>
  <r>
    <s v="ORD-20573"/>
    <s v="CUST-5069"/>
    <d v="2023-04-21T00:00:00"/>
    <x v="6"/>
    <s v="Moisturizer SPF 50"/>
    <n v="29.99"/>
    <n v="3"/>
    <n v="0"/>
    <n v="29.99"/>
    <n v="89.97"/>
    <s v="PayPal"/>
    <x v="0"/>
    <n v="4"/>
    <n v="38"/>
    <s v="Los Angeles"/>
    <x v="2"/>
    <s v="Male"/>
  </r>
  <r>
    <s v="ORD-20574"/>
    <s v="CUST-5069"/>
    <d v="2022-01-06T00:00:00"/>
    <x v="6"/>
    <s v="Face Serum"/>
    <n v="39.99"/>
    <n v="3"/>
    <n v="0"/>
    <n v="39.99"/>
    <n v="119.97"/>
    <s v="PayPal"/>
    <x v="0"/>
    <m/>
    <n v="38"/>
    <s v="Los Angeles"/>
    <x v="2"/>
    <s v="Male"/>
  </r>
  <r>
    <s v="ORD-20575"/>
    <s v="CUST-5069"/>
    <d v="2024-02-19T00:00:00"/>
    <x v="1"/>
    <s v="Remote Control Car"/>
    <n v="39.99"/>
    <n v="4"/>
    <n v="0"/>
    <n v="39.99"/>
    <n v="159.96"/>
    <s v="Wallet"/>
    <x v="0"/>
    <m/>
    <n v="38"/>
    <s v="Los Angeles"/>
    <x v="2"/>
    <s v="Male"/>
  </r>
  <r>
    <s v="ORD-20576"/>
    <s v="CUST-5069"/>
    <d v="2023-10-22T00:00:00"/>
    <x v="5"/>
    <s v="USB-C Hub"/>
    <n v="34.99"/>
    <n v="1"/>
    <n v="0"/>
    <n v="34.99"/>
    <n v="34.99"/>
    <s v="UPI"/>
    <x v="0"/>
    <m/>
    <n v="38"/>
    <s v="Los Angeles"/>
    <x v="2"/>
    <s v="Male"/>
  </r>
  <r>
    <s v="ORD-20577"/>
    <s v="CUST-5069"/>
    <d v="2023-05-17T00:00:00"/>
    <x v="1"/>
    <s v="Puzzle 1000pcs"/>
    <n v="24.99"/>
    <n v="1"/>
    <n v="10"/>
    <n v="22.49"/>
    <n v="22.49"/>
    <s v="Debit Card"/>
    <x v="0"/>
    <m/>
    <n v="38"/>
    <s v="Los Angeles"/>
    <x v="2"/>
    <s v="Male"/>
  </r>
  <r>
    <s v="ORD-20578"/>
    <s v="CUST-5069"/>
    <d v="2024-06-06T00:00:00"/>
    <x v="3"/>
    <s v="Running Shoes"/>
    <n v="89.99"/>
    <n v="2"/>
    <n v="10"/>
    <n v="80.989999999999995"/>
    <n v="161.97999999999999"/>
    <s v="Credit Card"/>
    <x v="0"/>
    <n v="3"/>
    <n v="38"/>
    <s v="Los Angeles"/>
    <x v="2"/>
    <s v="Male"/>
  </r>
  <r>
    <s v="ORD-20579"/>
    <s v="CUST-5069"/>
    <d v="2023-05-26T00:00:00"/>
    <x v="3"/>
    <s v="Cotton T-Shirt"/>
    <n v="24.99"/>
    <n v="1"/>
    <n v="15"/>
    <n v="21.24"/>
    <n v="21.24"/>
    <s v="Credit Card"/>
    <x v="0"/>
    <n v="5"/>
    <n v="38"/>
    <s v="Los Angeles"/>
    <x v="2"/>
    <s v="Male"/>
  </r>
  <r>
    <s v="ORD-20580"/>
    <s v="CUST-5069"/>
    <d v="2023-09-01T00:00:00"/>
    <x v="2"/>
    <s v="Blender"/>
    <n v="64.989999999999995"/>
    <n v="3"/>
    <n v="5"/>
    <n v="61.74"/>
    <n v="185.22"/>
    <s v="PayPal"/>
    <x v="0"/>
    <n v="5"/>
    <n v="38"/>
    <s v="Los Angeles"/>
    <x v="2"/>
    <s v="Male"/>
  </r>
  <r>
    <s v="ORD-20581"/>
    <s v="CUST-5069"/>
    <d v="2023-09-01T00:00:00"/>
    <x v="5"/>
    <s v="Wireless Earbuds"/>
    <n v="79.989999999999995"/>
    <n v="4"/>
    <n v="0"/>
    <n v="79.989999999999995"/>
    <n v="319.95999999999998"/>
    <s v="PayPal"/>
    <x v="0"/>
    <m/>
    <n v="38"/>
    <s v="Los Angeles"/>
    <x v="2"/>
    <s v="Male"/>
  </r>
  <r>
    <s v="ORD-20582"/>
    <s v="CUST-5069"/>
    <d v="2024-12-05T00:00:00"/>
    <x v="3"/>
    <s v="Cotton T-Shirt"/>
    <n v="24.99"/>
    <n v="2"/>
    <n v="0"/>
    <n v="24.99"/>
    <n v="49.98"/>
    <s v="Debit Card"/>
    <x v="0"/>
    <m/>
    <n v="38"/>
    <s v="Los Angeles"/>
    <x v="2"/>
    <s v="Male"/>
  </r>
  <r>
    <s v="ORD-20583"/>
    <s v="CUST-5069"/>
    <d v="2023-04-09T00:00:00"/>
    <x v="3"/>
    <s v="Cotton T-Shirt"/>
    <n v="24.99"/>
    <n v="3"/>
    <n v="0"/>
    <n v="24.99"/>
    <n v="74.97"/>
    <s v="Debit Card"/>
    <x v="0"/>
    <n v="2"/>
    <n v="38"/>
    <s v="Los Angeles"/>
    <x v="2"/>
    <s v="Male"/>
  </r>
  <r>
    <s v="ORD-20584"/>
    <s v="CUST-5069"/>
    <d v="2024-03-28T00:00:00"/>
    <x v="1"/>
    <s v="Action Figure"/>
    <n v="19.989999999999998"/>
    <n v="2"/>
    <n v="10"/>
    <n v="17.989999999999998"/>
    <n v="35.979999999999997"/>
    <s v="Wallet"/>
    <x v="4"/>
    <n v="5"/>
    <n v="38"/>
    <s v="Los Angeles"/>
    <x v="2"/>
    <s v="Male"/>
  </r>
  <r>
    <s v="ORD-20585"/>
    <s v="CUST-5070"/>
    <d v="2022-03-14T00:00:00"/>
    <x v="5"/>
    <s v="Bluetooth Speaker"/>
    <n v="49.99"/>
    <n v="2"/>
    <n v="15"/>
    <n v="42.49"/>
    <n v="84.98"/>
    <s v="Wallet"/>
    <x v="0"/>
    <n v="3"/>
    <n v="62"/>
    <s v="Philadelphia"/>
    <x v="2"/>
    <s v="Female"/>
  </r>
  <r>
    <s v="ORD-20586"/>
    <s v="CUST-5071"/>
    <d v="2023-11-14T00:00:00"/>
    <x v="6"/>
    <s v="Lip Balm Set"/>
    <n v="14.99"/>
    <n v="4"/>
    <n v="0"/>
    <n v="14.99"/>
    <n v="59.96"/>
    <s v="Debit Card"/>
    <x v="0"/>
    <n v="5"/>
    <n v="25"/>
    <s v="Houston"/>
    <x v="2"/>
    <s v="Female"/>
  </r>
  <r>
    <s v="ORD-20587"/>
    <s v="CUST-5071"/>
    <d v="2023-10-23T00:00:00"/>
    <x v="0"/>
    <s v="Fiction Novel"/>
    <n v="14.99"/>
    <n v="4"/>
    <n v="0"/>
    <n v="14.99"/>
    <n v="59.96"/>
    <s v="PayPal"/>
    <x v="0"/>
    <n v="4"/>
    <n v="25"/>
    <s v="Houston"/>
    <x v="2"/>
    <s v="Female"/>
  </r>
  <r>
    <s v="ORD-20588"/>
    <s v="CUST-5071"/>
    <d v="2022-10-18T00:00:00"/>
    <x v="2"/>
    <s v="Non-stick Pan Set"/>
    <n v="44.99"/>
    <n v="3"/>
    <n v="0"/>
    <n v="44.99"/>
    <n v="134.97"/>
    <s v="UPI"/>
    <x v="0"/>
    <m/>
    <n v="25"/>
    <s v="Houston"/>
    <x v="2"/>
    <s v="Female"/>
  </r>
  <r>
    <s v="ORD-20589"/>
    <s v="CUST-5071"/>
    <d v="2022-02-21T00:00:00"/>
    <x v="6"/>
    <s v="Hair Mask"/>
    <n v="24.99"/>
    <n v="3"/>
    <n v="0"/>
    <n v="24.99"/>
    <n v="74.97"/>
    <s v="UPI"/>
    <x v="0"/>
    <n v="3"/>
    <n v="25"/>
    <s v="Houston"/>
    <x v="2"/>
    <s v="Female"/>
  </r>
  <r>
    <s v="ORD-20590"/>
    <s v="CUST-5071"/>
    <d v="2022-08-06T00:00:00"/>
    <x v="5"/>
    <s v="USB-C Hub"/>
    <n v="34.99"/>
    <n v="4"/>
    <n v="0"/>
    <n v="34.99"/>
    <n v="139.96"/>
    <s v="Wallet"/>
    <x v="0"/>
    <n v="5"/>
    <n v="25"/>
    <s v="Houston"/>
    <x v="2"/>
    <s v="Female"/>
  </r>
  <r>
    <s v="ORD-20591"/>
    <s v="CUST-5071"/>
    <d v="2024-05-07T00:00:00"/>
    <x v="2"/>
    <s v="Air Fryer"/>
    <n v="89.99"/>
    <n v="1"/>
    <n v="0"/>
    <n v="89.99"/>
    <n v="89.99"/>
    <s v="PayPal"/>
    <x v="1"/>
    <n v="4"/>
    <n v="25"/>
    <s v="Houston"/>
    <x v="2"/>
    <s v="Female"/>
  </r>
  <r>
    <s v="ORD-20592"/>
    <s v="CUST-5071"/>
    <d v="2022-05-24T00:00:00"/>
    <x v="4"/>
    <s v="Water Bottle"/>
    <n v="24.99"/>
    <n v="4"/>
    <n v="15"/>
    <n v="21.24"/>
    <n v="84.96"/>
    <s v="PayPal"/>
    <x v="0"/>
    <m/>
    <n v="25"/>
    <s v="Houston"/>
    <x v="2"/>
    <s v="Female"/>
  </r>
  <r>
    <s v="ORD-20593"/>
    <s v="CUST-5071"/>
    <d v="2023-06-01T00:00:00"/>
    <x v="0"/>
    <s v="Data Science Handbook"/>
    <n v="49.99"/>
    <n v="1"/>
    <n v="10"/>
    <n v="44.99"/>
    <n v="44.99"/>
    <s v="Credit Card"/>
    <x v="0"/>
    <m/>
    <n v="25"/>
    <s v="Houston"/>
    <x v="2"/>
    <s v="Female"/>
  </r>
  <r>
    <s v="ORD-20594"/>
    <s v="CUST-5071"/>
    <d v="2022-05-13T00:00:00"/>
    <x v="2"/>
    <s v="Coffee Maker"/>
    <n v="59.99"/>
    <n v="3"/>
    <n v="5"/>
    <n v="56.99"/>
    <n v="170.97"/>
    <s v="UPI"/>
    <x v="1"/>
    <n v="5"/>
    <n v="25"/>
    <s v="Houston"/>
    <x v="2"/>
    <s v="Female"/>
  </r>
  <r>
    <s v="ORD-20595"/>
    <s v="CUST-5071"/>
    <d v="2023-04-05T00:00:00"/>
    <x v="6"/>
    <s v="Face Serum"/>
    <n v="39.99"/>
    <n v="2"/>
    <n v="10"/>
    <n v="35.99"/>
    <n v="71.98"/>
    <s v="Credit Card"/>
    <x v="0"/>
    <n v="5"/>
    <n v="25"/>
    <s v="Houston"/>
    <x v="2"/>
    <s v="Female"/>
  </r>
  <r>
    <s v="ORD-20596"/>
    <s v="CUST-5071"/>
    <d v="2023-11-28T00:00:00"/>
    <x v="1"/>
    <s v="Remote Control Car"/>
    <n v="39.99"/>
    <n v="2"/>
    <n v="20"/>
    <n v="31.99"/>
    <n v="63.98"/>
    <s v="PayPal"/>
    <x v="0"/>
    <n v="4"/>
    <n v="25"/>
    <s v="Houston"/>
    <x v="2"/>
    <s v="Female"/>
  </r>
  <r>
    <s v="ORD-20597"/>
    <s v="CUST-5072"/>
    <d v="2023-02-21T00:00:00"/>
    <x v="2"/>
    <s v="Coffee Maker"/>
    <n v="59.99"/>
    <n v="3"/>
    <n v="20"/>
    <n v="47.99"/>
    <n v="143.97"/>
    <s v="Wallet"/>
    <x v="0"/>
    <n v="1"/>
    <n v="37"/>
    <s v="Austin"/>
    <x v="3"/>
    <s v="Male"/>
  </r>
  <r>
    <s v="ORD-20598"/>
    <s v="CUST-5072"/>
    <d v="2024-01-14T00:00:00"/>
    <x v="4"/>
    <s v="Water Bottle"/>
    <n v="24.99"/>
    <n v="4"/>
    <n v="10"/>
    <n v="22.49"/>
    <n v="89.96"/>
    <s v="PayPal"/>
    <x v="0"/>
    <m/>
    <n v="37"/>
    <s v="Austin"/>
    <x v="3"/>
    <s v="Male"/>
  </r>
  <r>
    <s v="ORD-20599"/>
    <s v="CUST-5072"/>
    <d v="2024-04-14T00:00:00"/>
    <x v="4"/>
    <s v="Water Bottle"/>
    <n v="24.99"/>
    <n v="4"/>
    <n v="0"/>
    <n v="24.99"/>
    <n v="99.96"/>
    <s v="Debit Card"/>
    <x v="0"/>
    <m/>
    <n v="37"/>
    <s v="Austin"/>
    <x v="3"/>
    <s v="Male"/>
  </r>
  <r>
    <s v="ORD-20600"/>
    <s v="CUST-5072"/>
    <d v="2024-09-25T00:00:00"/>
    <x v="2"/>
    <s v="Coffee Maker"/>
    <n v="59.99"/>
    <n v="1"/>
    <n v="15"/>
    <n v="50.99"/>
    <n v="50.99"/>
    <s v="Debit Card"/>
    <x v="0"/>
    <n v="5"/>
    <n v="37"/>
    <s v="Austin"/>
    <x v="3"/>
    <s v="Male"/>
  </r>
  <r>
    <s v="ORD-20601"/>
    <s v="CUST-5072"/>
    <d v="2023-02-11T00:00:00"/>
    <x v="6"/>
    <s v="Hair Mask"/>
    <n v="24.99"/>
    <n v="2"/>
    <n v="15"/>
    <n v="21.24"/>
    <n v="42.48"/>
    <s v="Wallet"/>
    <x v="4"/>
    <n v="4"/>
    <n v="37"/>
    <s v="Austin"/>
    <x v="3"/>
    <s v="Male"/>
  </r>
  <r>
    <s v="ORD-20602"/>
    <s v="CUST-5072"/>
    <d v="2022-03-25T00:00:00"/>
    <x v="3"/>
    <s v="Cotton T-Shirt"/>
    <n v="24.99"/>
    <n v="2"/>
    <n v="10"/>
    <n v="22.49"/>
    <n v="44.98"/>
    <s v="PayPal"/>
    <x v="0"/>
    <m/>
    <n v="37"/>
    <s v="Austin"/>
    <x v="3"/>
    <s v="Male"/>
  </r>
  <r>
    <s v="ORD-20603"/>
    <s v="CUST-5072"/>
    <d v="2024-06-19T00:00:00"/>
    <x v="1"/>
    <s v="Puzzle 1000pcs"/>
    <n v="24.99"/>
    <n v="2"/>
    <n v="0"/>
    <n v="24.99"/>
    <n v="49.98"/>
    <s v="Debit Card"/>
    <x v="0"/>
    <n v="5"/>
    <n v="37"/>
    <s v="Austin"/>
    <x v="3"/>
    <s v="Male"/>
  </r>
  <r>
    <s v="ORD-20604"/>
    <s v="CUST-5072"/>
    <d v="2022-04-18T00:00:00"/>
    <x v="3"/>
    <s v="Running Shoes"/>
    <n v="89.99"/>
    <n v="1"/>
    <n v="10"/>
    <n v="80.989999999999995"/>
    <n v="80.989999999999995"/>
    <s v="Credit Card"/>
    <x v="0"/>
    <n v="5"/>
    <n v="37"/>
    <s v="Austin"/>
    <x v="3"/>
    <s v="Male"/>
  </r>
  <r>
    <s v="ORD-20605"/>
    <s v="CUST-5072"/>
    <d v="2022-04-07T00:00:00"/>
    <x v="3"/>
    <s v="Running Shoes"/>
    <n v="89.99"/>
    <n v="1"/>
    <n v="0"/>
    <n v="89.99"/>
    <n v="89.99"/>
    <s v="Debit Card"/>
    <x v="0"/>
    <n v="4"/>
    <n v="37"/>
    <s v="Austin"/>
    <x v="3"/>
    <s v="Male"/>
  </r>
  <r>
    <s v="ORD-20606"/>
    <s v="CUST-5072"/>
    <d v="2024-03-13T00:00:00"/>
    <x v="2"/>
    <s v="Blender"/>
    <n v="64.989999999999995"/>
    <n v="2"/>
    <n v="5"/>
    <n v="61.74"/>
    <n v="123.48"/>
    <s v="UPI"/>
    <x v="2"/>
    <n v="5"/>
    <n v="37"/>
    <s v="Austin"/>
    <x v="3"/>
    <s v="Male"/>
  </r>
  <r>
    <s v="ORD-20607"/>
    <s v="CUST-5072"/>
    <d v="2023-05-17T00:00:00"/>
    <x v="6"/>
    <s v="Face Serum"/>
    <n v="39.99"/>
    <n v="3"/>
    <n v="5"/>
    <n v="37.99"/>
    <n v="113.97"/>
    <s v="Wallet"/>
    <x v="0"/>
    <n v="5"/>
    <n v="37"/>
    <s v="Austin"/>
    <x v="3"/>
    <s v="Male"/>
  </r>
  <r>
    <s v="ORD-20608"/>
    <s v="CUST-5072"/>
    <d v="2022-07-08T00:00:00"/>
    <x v="4"/>
    <s v="Yoga Mat"/>
    <n v="29.99"/>
    <n v="4"/>
    <n v="15"/>
    <n v="25.49"/>
    <n v="101.96"/>
    <s v="Debit Card"/>
    <x v="0"/>
    <n v="4"/>
    <n v="37"/>
    <s v="Austin"/>
    <x v="3"/>
    <s v="Male"/>
  </r>
  <r>
    <s v="ORD-20609"/>
    <s v="CUST-5072"/>
    <d v="2024-09-01T00:00:00"/>
    <x v="5"/>
    <s v="Smart Watch"/>
    <n v="199.99"/>
    <n v="4"/>
    <n v="0"/>
    <n v="199.99"/>
    <n v="799.96"/>
    <s v="PayPal"/>
    <x v="0"/>
    <m/>
    <n v="37"/>
    <s v="Austin"/>
    <x v="3"/>
    <s v="Male"/>
  </r>
  <r>
    <s v="ORD-20610"/>
    <s v="CUST-5073"/>
    <d v="2024-05-21T00:00:00"/>
    <x v="4"/>
    <s v="Water Bottle"/>
    <n v="24.99"/>
    <n v="3"/>
    <n v="0"/>
    <n v="24.99"/>
    <n v="74.97"/>
    <s v="Debit Card"/>
    <x v="0"/>
    <m/>
    <n v="43"/>
    <s v="Dallas"/>
    <x v="2"/>
    <s v="Female"/>
  </r>
  <r>
    <s v="ORD-20611"/>
    <s v="CUST-5073"/>
    <d v="2023-09-15T00:00:00"/>
    <x v="2"/>
    <s v="Coffee Maker"/>
    <n v="59.99"/>
    <n v="3"/>
    <n v="0"/>
    <n v="59.99"/>
    <n v="179.97"/>
    <s v="PayPal"/>
    <x v="0"/>
    <m/>
    <n v="43"/>
    <s v="Dallas"/>
    <x v="2"/>
    <s v="Female"/>
  </r>
  <r>
    <s v="ORD-20612"/>
    <s v="CUST-5073"/>
    <d v="2022-12-26T00:00:00"/>
    <x v="0"/>
    <s v="Business Analytics"/>
    <n v="39.99"/>
    <n v="3"/>
    <n v="20"/>
    <n v="31.99"/>
    <n v="95.97"/>
    <s v="UPI"/>
    <x v="0"/>
    <n v="4"/>
    <n v="43"/>
    <s v="Dallas"/>
    <x v="2"/>
    <s v="Female"/>
  </r>
  <r>
    <s v="ORD-20613"/>
    <s v="CUST-5073"/>
    <d v="2022-03-02T00:00:00"/>
    <x v="2"/>
    <s v="Blender"/>
    <n v="64.989999999999995"/>
    <n v="4"/>
    <n v="0"/>
    <n v="64.989999999999995"/>
    <n v="259.95999999999998"/>
    <s v="UPI"/>
    <x v="0"/>
    <m/>
    <n v="43"/>
    <s v="Dallas"/>
    <x v="2"/>
    <s v="Female"/>
  </r>
  <r>
    <s v="ORD-20614"/>
    <s v="CUST-5073"/>
    <d v="2022-04-02T00:00:00"/>
    <x v="0"/>
    <s v="Data Science Handbook"/>
    <n v="49.99"/>
    <n v="4"/>
    <n v="10"/>
    <n v="44.99"/>
    <n v="179.96"/>
    <s v="PayPal"/>
    <x v="0"/>
    <n v="4"/>
    <n v="43"/>
    <s v="Dallas"/>
    <x v="2"/>
    <s v="Female"/>
  </r>
  <r>
    <s v="ORD-20615"/>
    <s v="CUST-5074"/>
    <d v="2024-05-05T00:00:00"/>
    <x v="2"/>
    <s v="Coffee Maker"/>
    <n v="59.99"/>
    <n v="3"/>
    <n v="0"/>
    <n v="59.99"/>
    <n v="179.97"/>
    <s v="Credit Card"/>
    <x v="0"/>
    <m/>
    <n v="23"/>
    <s v="Austin"/>
    <x v="3"/>
    <s v="Male"/>
  </r>
  <r>
    <s v="ORD-20616"/>
    <s v="CUST-5074"/>
    <d v="2024-09-22T00:00:00"/>
    <x v="1"/>
    <s v="LEGO Classic Set"/>
    <n v="49.99"/>
    <n v="2"/>
    <n v="0"/>
    <n v="49.99"/>
    <n v="99.98"/>
    <s v="Credit Card"/>
    <x v="0"/>
    <m/>
    <n v="23"/>
    <s v="Austin"/>
    <x v="3"/>
    <s v="Male"/>
  </r>
  <r>
    <s v="ORD-20617"/>
    <s v="CUST-5074"/>
    <d v="2024-10-04T00:00:00"/>
    <x v="6"/>
    <s v="Hair Mask"/>
    <n v="24.99"/>
    <n v="3"/>
    <n v="15"/>
    <n v="21.24"/>
    <n v="63.72"/>
    <s v="Wallet"/>
    <x v="0"/>
    <n v="4"/>
    <n v="23"/>
    <s v="Austin"/>
    <x v="3"/>
    <s v="Male"/>
  </r>
  <r>
    <s v="ORD-20618"/>
    <s v="CUST-5074"/>
    <d v="2024-01-28T00:00:00"/>
    <x v="3"/>
    <s v="Cotton T-Shirt"/>
    <n v="24.99"/>
    <n v="2"/>
    <n v="0"/>
    <n v="24.99"/>
    <n v="49.98"/>
    <s v="PayPal"/>
    <x v="0"/>
    <m/>
    <n v="23"/>
    <s v="Austin"/>
    <x v="3"/>
    <s v="Male"/>
  </r>
  <r>
    <s v="ORD-20619"/>
    <s v="CUST-5075"/>
    <d v="2023-12-26T00:00:00"/>
    <x v="5"/>
    <s v="USB-C Hub"/>
    <n v="34.99"/>
    <n v="2"/>
    <n v="0"/>
    <n v="34.99"/>
    <n v="69.98"/>
    <s v="Credit Card"/>
    <x v="0"/>
    <n v="5"/>
    <n v="33"/>
    <s v="Houston"/>
    <x v="2"/>
    <s v="Female"/>
  </r>
  <r>
    <s v="ORD-20620"/>
    <s v="CUST-5075"/>
    <d v="2023-04-04T00:00:00"/>
    <x v="3"/>
    <s v="Yoga Pants"/>
    <n v="44.99"/>
    <n v="2"/>
    <n v="5"/>
    <n v="42.74"/>
    <n v="85.48"/>
    <s v="UPI"/>
    <x v="0"/>
    <n v="5"/>
    <n v="33"/>
    <s v="Houston"/>
    <x v="2"/>
    <s v="Female"/>
  </r>
  <r>
    <s v="ORD-20621"/>
    <s v="CUST-5075"/>
    <d v="2022-04-02T00:00:00"/>
    <x v="0"/>
    <s v="Data Science Handbook"/>
    <n v="49.99"/>
    <n v="4"/>
    <n v="0"/>
    <n v="49.99"/>
    <n v="199.96"/>
    <s v="PayPal"/>
    <x v="0"/>
    <n v="4"/>
    <n v="33"/>
    <s v="Houston"/>
    <x v="2"/>
    <s v="Female"/>
  </r>
  <r>
    <s v="ORD-20622"/>
    <s v="CUST-5075"/>
    <d v="2022-10-13T00:00:00"/>
    <x v="5"/>
    <s v="Smart Watch"/>
    <n v="199.99"/>
    <n v="2"/>
    <n v="20"/>
    <n v="159.99"/>
    <n v="319.98"/>
    <s v="Wallet"/>
    <x v="0"/>
    <n v="4"/>
    <n v="33"/>
    <s v="Houston"/>
    <x v="2"/>
    <s v="Female"/>
  </r>
  <r>
    <s v="ORD-20623"/>
    <s v="CUST-5075"/>
    <d v="2023-05-12T00:00:00"/>
    <x v="3"/>
    <s v="Yoga Pants"/>
    <n v="44.99"/>
    <n v="3"/>
    <n v="0"/>
    <n v="44.99"/>
    <n v="134.97"/>
    <s v="Credit Card"/>
    <x v="0"/>
    <n v="3"/>
    <n v="33"/>
    <s v="Houston"/>
    <x v="2"/>
    <s v="Female"/>
  </r>
  <r>
    <s v="ORD-20624"/>
    <s v="CUST-5075"/>
    <d v="2024-06-13T00:00:00"/>
    <x v="5"/>
    <s v="Wireless Earbuds"/>
    <n v="79.989999999999995"/>
    <n v="3"/>
    <n v="20"/>
    <n v="63.99"/>
    <n v="191.97"/>
    <s v="Debit Card"/>
    <x v="0"/>
    <m/>
    <n v="33"/>
    <s v="Houston"/>
    <x v="2"/>
    <s v="Female"/>
  </r>
  <r>
    <s v="ORD-20625"/>
    <s v="CUST-5075"/>
    <d v="2022-06-25T00:00:00"/>
    <x v="6"/>
    <s v="Lip Balm Set"/>
    <n v="14.99"/>
    <n v="3"/>
    <n v="5"/>
    <n v="14.24"/>
    <n v="42.72"/>
    <s v="PayPal"/>
    <x v="0"/>
    <n v="3"/>
    <n v="33"/>
    <s v="Houston"/>
    <x v="2"/>
    <s v="Female"/>
  </r>
  <r>
    <s v="ORD-20626"/>
    <s v="CUST-5075"/>
    <d v="2024-09-02T00:00:00"/>
    <x v="3"/>
    <s v="Yoga Pants"/>
    <n v="44.99"/>
    <n v="2"/>
    <n v="0"/>
    <n v="44.99"/>
    <n v="89.98"/>
    <s v="PayPal"/>
    <x v="0"/>
    <n v="1"/>
    <n v="33"/>
    <s v="Houston"/>
    <x v="2"/>
    <s v="Female"/>
  </r>
  <r>
    <s v="ORD-20627"/>
    <s v="CUST-5076"/>
    <d v="2024-11-23T00:00:00"/>
    <x v="5"/>
    <s v="USB-C Hub"/>
    <n v="34.99"/>
    <n v="4"/>
    <n v="15"/>
    <n v="29.74"/>
    <n v="118.96"/>
    <s v="Wallet"/>
    <x v="2"/>
    <n v="4"/>
    <n v="55"/>
    <s v="Dallas"/>
    <x v="0"/>
    <s v="Male"/>
  </r>
  <r>
    <s v="ORD-20628"/>
    <s v="CUST-5076"/>
    <d v="2024-06-28T00:00:00"/>
    <x v="3"/>
    <s v="Running Shoes"/>
    <n v="89.99"/>
    <n v="3"/>
    <n v="20"/>
    <n v="71.989999999999995"/>
    <n v="215.97"/>
    <s v="Wallet"/>
    <x v="1"/>
    <n v="4"/>
    <n v="55"/>
    <s v="Dallas"/>
    <x v="0"/>
    <s v="Male"/>
  </r>
  <r>
    <s v="ORD-20629"/>
    <s v="CUST-5076"/>
    <d v="2022-05-05T00:00:00"/>
    <x v="4"/>
    <s v="Resistance Bands"/>
    <n v="19.989999999999998"/>
    <n v="3"/>
    <n v="0"/>
    <n v="19.989999999999998"/>
    <n v="59.97"/>
    <s v="Wallet"/>
    <x v="0"/>
    <m/>
    <n v="55"/>
    <s v="Dallas"/>
    <x v="0"/>
    <s v="Male"/>
  </r>
  <r>
    <s v="ORD-20630"/>
    <s v="CUST-5077"/>
    <d v="2024-03-15T00:00:00"/>
    <x v="6"/>
    <s v="Lip Balm Set"/>
    <n v="14.99"/>
    <n v="4"/>
    <n v="0"/>
    <n v="14.99"/>
    <n v="59.96"/>
    <s v="Credit Card"/>
    <x v="2"/>
    <m/>
    <n v="56"/>
    <s v="Austin"/>
    <x v="2"/>
    <s v="Male"/>
  </r>
  <r>
    <s v="ORD-20631"/>
    <s v="CUST-5077"/>
    <d v="2023-01-17T00:00:00"/>
    <x v="6"/>
    <s v="Moisturizer SPF 50"/>
    <n v="29.99"/>
    <n v="1"/>
    <n v="10"/>
    <n v="26.99"/>
    <n v="26.99"/>
    <s v="PayPal"/>
    <x v="0"/>
    <m/>
    <n v="56"/>
    <s v="Austin"/>
    <x v="2"/>
    <s v="Male"/>
  </r>
  <r>
    <s v="ORD-20632"/>
    <s v="CUST-5077"/>
    <d v="2024-04-02T00:00:00"/>
    <x v="2"/>
    <s v="Blender"/>
    <n v="64.989999999999995"/>
    <n v="2"/>
    <n v="15"/>
    <n v="55.24"/>
    <n v="110.48"/>
    <s v="UPI"/>
    <x v="0"/>
    <n v="4"/>
    <n v="56"/>
    <s v="Austin"/>
    <x v="2"/>
    <s v="Male"/>
  </r>
  <r>
    <s v="ORD-20633"/>
    <s v="CUST-5077"/>
    <d v="2023-03-11T00:00:00"/>
    <x v="6"/>
    <s v="Lip Balm Set"/>
    <n v="14.99"/>
    <n v="2"/>
    <n v="20"/>
    <n v="11.99"/>
    <n v="23.98"/>
    <s v="Credit Card"/>
    <x v="0"/>
    <m/>
    <n v="56"/>
    <s v="Austin"/>
    <x v="2"/>
    <s v="Male"/>
  </r>
  <r>
    <s v="ORD-20634"/>
    <s v="CUST-5077"/>
    <d v="2022-08-18T00:00:00"/>
    <x v="4"/>
    <s v="Jump Rope"/>
    <n v="14.99"/>
    <n v="3"/>
    <n v="5"/>
    <n v="14.24"/>
    <n v="42.72"/>
    <s v="PayPal"/>
    <x v="0"/>
    <n v="4"/>
    <n v="56"/>
    <s v="Austin"/>
    <x v="2"/>
    <s v="Male"/>
  </r>
  <r>
    <s v="ORD-20635"/>
    <s v="CUST-5078"/>
    <d v="2022-03-19T00:00:00"/>
    <x v="3"/>
    <s v="Yoga Pants"/>
    <n v="44.99"/>
    <n v="4"/>
    <n v="5"/>
    <n v="42.74"/>
    <n v="170.96"/>
    <s v="Wallet"/>
    <x v="0"/>
    <n v="3"/>
    <n v="35"/>
    <s v="San Diego"/>
    <x v="3"/>
    <s v="Male"/>
  </r>
  <r>
    <s v="ORD-20636"/>
    <s v="CUST-5078"/>
    <d v="2024-02-14T00:00:00"/>
    <x v="0"/>
    <s v="Fiction Novel"/>
    <n v="14.99"/>
    <n v="1"/>
    <n v="5"/>
    <n v="14.24"/>
    <n v="14.24"/>
    <s v="UPI"/>
    <x v="0"/>
    <n v="3"/>
    <n v="35"/>
    <s v="San Diego"/>
    <x v="3"/>
    <s v="Male"/>
  </r>
  <r>
    <s v="ORD-20637"/>
    <s v="CUST-5078"/>
    <d v="2023-11-03T00:00:00"/>
    <x v="4"/>
    <s v="Resistance Bands"/>
    <n v="19.989999999999998"/>
    <n v="3"/>
    <n v="0"/>
    <n v="19.989999999999998"/>
    <n v="59.97"/>
    <s v="PayPal"/>
    <x v="0"/>
    <m/>
    <n v="35"/>
    <s v="San Diego"/>
    <x v="3"/>
    <s v="Male"/>
  </r>
  <r>
    <s v="ORD-20638"/>
    <s v="CUST-5078"/>
    <d v="2024-07-20T00:00:00"/>
    <x v="3"/>
    <s v="Denim Jacket"/>
    <n v="69.989999999999995"/>
    <n v="3"/>
    <n v="15"/>
    <n v="59.49"/>
    <n v="178.47"/>
    <s v="Credit Card"/>
    <x v="0"/>
    <m/>
    <n v="35"/>
    <s v="San Diego"/>
    <x v="3"/>
    <s v="Male"/>
  </r>
  <r>
    <s v="ORD-20639"/>
    <s v="CUST-5078"/>
    <d v="2024-04-12T00:00:00"/>
    <x v="1"/>
    <s v="Remote Control Car"/>
    <n v="39.99"/>
    <n v="4"/>
    <n v="0"/>
    <n v="39.99"/>
    <n v="159.96"/>
    <s v="UPI"/>
    <x v="0"/>
    <m/>
    <n v="35"/>
    <s v="San Diego"/>
    <x v="3"/>
    <s v="Male"/>
  </r>
  <r>
    <s v="ORD-20640"/>
    <s v="CUST-5078"/>
    <d v="2023-09-26T00:00:00"/>
    <x v="3"/>
    <s v="Denim Jacket"/>
    <n v="69.989999999999995"/>
    <n v="2"/>
    <n v="0"/>
    <n v="69.989999999999995"/>
    <n v="139.97999999999999"/>
    <s v="Debit Card"/>
    <x v="0"/>
    <n v="4"/>
    <n v="35"/>
    <s v="San Diego"/>
    <x v="3"/>
    <s v="Male"/>
  </r>
  <r>
    <s v="ORD-20641"/>
    <s v="CUST-5078"/>
    <d v="2023-11-28T00:00:00"/>
    <x v="3"/>
    <s v="Denim Jacket"/>
    <n v="69.989999999999995"/>
    <n v="1"/>
    <n v="5"/>
    <n v="66.489999999999995"/>
    <n v="66.489999999999995"/>
    <s v="PayPal"/>
    <x v="1"/>
    <m/>
    <n v="35"/>
    <s v="San Diego"/>
    <x v="3"/>
    <s v="Male"/>
  </r>
  <r>
    <s v="ORD-20642"/>
    <s v="CUST-5078"/>
    <d v="2024-12-19T00:00:00"/>
    <x v="6"/>
    <s v="Face Serum"/>
    <n v="39.99"/>
    <n v="2"/>
    <n v="20"/>
    <n v="31.99"/>
    <n v="63.98"/>
    <s v="Credit Card"/>
    <x v="0"/>
    <n v="5"/>
    <n v="35"/>
    <s v="San Diego"/>
    <x v="3"/>
    <s v="Male"/>
  </r>
  <r>
    <s v="ORD-20643"/>
    <s v="CUST-5078"/>
    <d v="2023-08-08T00:00:00"/>
    <x v="6"/>
    <s v="Face Serum"/>
    <n v="39.99"/>
    <n v="4"/>
    <n v="0"/>
    <n v="39.99"/>
    <n v="159.96"/>
    <s v="Debit Card"/>
    <x v="0"/>
    <n v="3"/>
    <n v="35"/>
    <s v="San Diego"/>
    <x v="3"/>
    <s v="Male"/>
  </r>
  <r>
    <s v="ORD-20644"/>
    <s v="CUST-5078"/>
    <d v="2022-03-08T00:00:00"/>
    <x v="2"/>
    <s v="Air Fryer"/>
    <n v="89.99"/>
    <n v="1"/>
    <n v="15"/>
    <n v="76.489999999999995"/>
    <n v="76.489999999999995"/>
    <s v="Credit Card"/>
    <x v="0"/>
    <n v="3"/>
    <n v="35"/>
    <s v="San Diego"/>
    <x v="3"/>
    <s v="Male"/>
  </r>
  <r>
    <s v="ORD-20645"/>
    <s v="CUST-5078"/>
    <d v="2022-05-14T00:00:00"/>
    <x v="5"/>
    <s v="Wireless Earbuds"/>
    <n v="79.989999999999995"/>
    <n v="1"/>
    <n v="10"/>
    <n v="71.989999999999995"/>
    <n v="71.989999999999995"/>
    <s v="UPI"/>
    <x v="0"/>
    <n v="4"/>
    <n v="35"/>
    <s v="San Diego"/>
    <x v="3"/>
    <s v="Male"/>
  </r>
  <r>
    <s v="ORD-20646"/>
    <s v="CUST-5078"/>
    <d v="2024-08-28T00:00:00"/>
    <x v="1"/>
    <s v="Remote Control Car"/>
    <n v="39.99"/>
    <n v="2"/>
    <n v="5"/>
    <n v="37.99"/>
    <n v="75.98"/>
    <s v="PayPal"/>
    <x v="0"/>
    <m/>
    <n v="35"/>
    <s v="San Diego"/>
    <x v="3"/>
    <s v="Male"/>
  </r>
  <r>
    <s v="ORD-20647"/>
    <s v="CUST-5079"/>
    <d v="2023-08-26T00:00:00"/>
    <x v="0"/>
    <s v="Business Analytics"/>
    <n v="39.99"/>
    <n v="2"/>
    <n v="0"/>
    <n v="39.99"/>
    <n v="79.98"/>
    <s v="Debit Card"/>
    <x v="0"/>
    <n v="5"/>
    <n v="40"/>
    <s v="Chicago"/>
    <x v="2"/>
    <s v="Male"/>
  </r>
  <r>
    <s v="ORD-20648"/>
    <s v="CUST-5079"/>
    <d v="2022-07-28T00:00:00"/>
    <x v="1"/>
    <s v="Puzzle 1000pcs"/>
    <n v="24.99"/>
    <n v="4"/>
    <n v="20"/>
    <n v="19.989999999999998"/>
    <n v="79.959999999999994"/>
    <s v="Debit Card"/>
    <x v="0"/>
    <n v="3"/>
    <n v="40"/>
    <s v="Chicago"/>
    <x v="2"/>
    <s v="Male"/>
  </r>
  <r>
    <s v="ORD-20649"/>
    <s v="CUST-5079"/>
    <d v="2023-02-04T00:00:00"/>
    <x v="4"/>
    <s v="Jump Rope"/>
    <n v="14.99"/>
    <n v="4"/>
    <n v="0"/>
    <n v="14.99"/>
    <n v="59.96"/>
    <s v="Credit Card"/>
    <x v="0"/>
    <n v="5"/>
    <n v="40"/>
    <s v="Chicago"/>
    <x v="2"/>
    <s v="Male"/>
  </r>
  <r>
    <s v="ORD-20650"/>
    <s v="CUST-5079"/>
    <d v="2022-01-24T00:00:00"/>
    <x v="3"/>
    <s v="Denim Jacket"/>
    <n v="69.989999999999995"/>
    <n v="2"/>
    <n v="0"/>
    <n v="69.989999999999995"/>
    <n v="139.97999999999999"/>
    <s v="Wallet"/>
    <x v="0"/>
    <m/>
    <n v="40"/>
    <s v="Chicago"/>
    <x v="2"/>
    <s v="Male"/>
  </r>
  <r>
    <s v="ORD-20651"/>
    <s v="CUST-5079"/>
    <d v="2024-12-12T00:00:00"/>
    <x v="2"/>
    <s v="Coffee Maker"/>
    <n v="59.99"/>
    <n v="4"/>
    <n v="0"/>
    <n v="59.99"/>
    <n v="239.96"/>
    <s v="Wallet"/>
    <x v="0"/>
    <n v="4"/>
    <n v="40"/>
    <s v="Chicago"/>
    <x v="2"/>
    <s v="Male"/>
  </r>
  <r>
    <s v="ORD-20652"/>
    <s v="CUST-5079"/>
    <d v="2023-08-03T00:00:00"/>
    <x v="3"/>
    <s v="Denim Jacket"/>
    <n v="69.989999999999995"/>
    <n v="2"/>
    <n v="5"/>
    <n v="66.489999999999995"/>
    <n v="132.97999999999999"/>
    <s v="PayPal"/>
    <x v="0"/>
    <m/>
    <n v="40"/>
    <s v="Chicago"/>
    <x v="2"/>
    <s v="Male"/>
  </r>
  <r>
    <s v="ORD-20653"/>
    <s v="CUST-5079"/>
    <d v="2024-11-01T00:00:00"/>
    <x v="4"/>
    <s v="Water Bottle"/>
    <n v="24.99"/>
    <n v="3"/>
    <n v="10"/>
    <n v="22.49"/>
    <n v="67.47"/>
    <s v="UPI"/>
    <x v="0"/>
    <n v="4"/>
    <n v="40"/>
    <s v="Chicago"/>
    <x v="2"/>
    <s v="Male"/>
  </r>
  <r>
    <s v="ORD-20654"/>
    <s v="CUST-5080"/>
    <d v="2022-04-21T00:00:00"/>
    <x v="6"/>
    <s v="Lip Balm Set"/>
    <n v="14.99"/>
    <n v="4"/>
    <n v="10"/>
    <n v="13.49"/>
    <n v="53.96"/>
    <s v="UPI"/>
    <x v="0"/>
    <m/>
    <n v="55"/>
    <s v="San Antonio"/>
    <x v="1"/>
    <s v="Male"/>
  </r>
  <r>
    <s v="ORD-20655"/>
    <s v="CUST-5080"/>
    <d v="2022-12-06T00:00:00"/>
    <x v="3"/>
    <s v="Yoga Pants"/>
    <n v="44.99"/>
    <n v="2"/>
    <n v="5"/>
    <n v="42.74"/>
    <n v="85.48"/>
    <s v="Wallet"/>
    <x v="2"/>
    <n v="4"/>
    <n v="55"/>
    <s v="San Antonio"/>
    <x v="1"/>
    <s v="Male"/>
  </r>
  <r>
    <s v="ORD-20656"/>
    <s v="CUST-5080"/>
    <d v="2024-10-05T00:00:00"/>
    <x v="2"/>
    <s v="Air Fryer"/>
    <n v="89.99"/>
    <n v="3"/>
    <n v="20"/>
    <n v="71.989999999999995"/>
    <n v="215.97"/>
    <s v="UPI"/>
    <x v="0"/>
    <n v="3"/>
    <n v="55"/>
    <s v="San Antonio"/>
    <x v="1"/>
    <s v="Male"/>
  </r>
  <r>
    <s v="ORD-20657"/>
    <s v="CUST-5080"/>
    <d v="2023-06-27T00:00:00"/>
    <x v="6"/>
    <s v="Moisturizer SPF 50"/>
    <n v="29.99"/>
    <n v="1"/>
    <n v="10"/>
    <n v="26.99"/>
    <n v="26.99"/>
    <s v="Debit Card"/>
    <x v="0"/>
    <n v="4"/>
    <n v="55"/>
    <s v="San Antonio"/>
    <x v="1"/>
    <s v="Male"/>
  </r>
  <r>
    <s v="ORD-20658"/>
    <s v="CUST-5080"/>
    <d v="2022-09-21T00:00:00"/>
    <x v="3"/>
    <s v="Cotton T-Shirt"/>
    <n v="24.99"/>
    <n v="1"/>
    <n v="20"/>
    <n v="19.989999999999998"/>
    <n v="19.989999999999998"/>
    <s v="PayPal"/>
    <x v="0"/>
    <n v="5"/>
    <n v="55"/>
    <s v="San Antonio"/>
    <x v="1"/>
    <s v="Male"/>
  </r>
  <r>
    <s v="ORD-20659"/>
    <s v="CUST-5081"/>
    <d v="2023-03-21T00:00:00"/>
    <x v="4"/>
    <s v="Water Bottle"/>
    <n v="24.99"/>
    <n v="2"/>
    <n v="20"/>
    <n v="19.989999999999998"/>
    <n v="39.979999999999997"/>
    <s v="Wallet"/>
    <x v="0"/>
    <n v="5"/>
    <n v="28"/>
    <s v="Dallas"/>
    <x v="2"/>
    <s v="Male"/>
  </r>
  <r>
    <s v="ORD-20660"/>
    <s v="CUST-5081"/>
    <d v="2024-12-20T00:00:00"/>
    <x v="3"/>
    <s v="Yoga Pants"/>
    <n v="44.99"/>
    <n v="2"/>
    <n v="0"/>
    <n v="44.99"/>
    <n v="89.98"/>
    <s v="UPI"/>
    <x v="0"/>
    <n v="5"/>
    <n v="28"/>
    <s v="Dallas"/>
    <x v="2"/>
    <s v="Male"/>
  </r>
  <r>
    <s v="ORD-20661"/>
    <s v="CUST-5081"/>
    <d v="2024-05-06T00:00:00"/>
    <x v="5"/>
    <s v="Smart Watch"/>
    <n v="199.99"/>
    <n v="4"/>
    <n v="0"/>
    <n v="199.99"/>
    <n v="799.96"/>
    <s v="UPI"/>
    <x v="0"/>
    <n v="5"/>
    <n v="28"/>
    <s v="Dallas"/>
    <x v="2"/>
    <s v="Male"/>
  </r>
  <r>
    <s v="ORD-20662"/>
    <s v="CUST-5081"/>
    <d v="2023-07-23T00:00:00"/>
    <x v="1"/>
    <s v="Action Figure"/>
    <n v="19.989999999999998"/>
    <n v="2"/>
    <n v="0"/>
    <n v="19.989999999999998"/>
    <n v="39.979999999999997"/>
    <s v="PayPal"/>
    <x v="4"/>
    <n v="5"/>
    <n v="28"/>
    <s v="Dallas"/>
    <x v="2"/>
    <s v="Male"/>
  </r>
  <r>
    <s v="ORD-20663"/>
    <s v="CUST-5081"/>
    <d v="2022-05-04T00:00:00"/>
    <x v="2"/>
    <s v="Blender"/>
    <n v="64.989999999999995"/>
    <n v="2"/>
    <n v="15"/>
    <n v="55.24"/>
    <n v="110.48"/>
    <s v="UPI"/>
    <x v="0"/>
    <n v="4"/>
    <n v="28"/>
    <s v="Dallas"/>
    <x v="2"/>
    <s v="Male"/>
  </r>
  <r>
    <s v="ORD-20664"/>
    <s v="CUST-5081"/>
    <d v="2022-05-23T00:00:00"/>
    <x v="2"/>
    <s v="Coffee Maker"/>
    <n v="59.99"/>
    <n v="1"/>
    <n v="20"/>
    <n v="47.99"/>
    <n v="47.99"/>
    <s v="Credit Card"/>
    <x v="0"/>
    <n v="2"/>
    <n v="28"/>
    <s v="Dallas"/>
    <x v="2"/>
    <s v="Male"/>
  </r>
  <r>
    <s v="ORD-20665"/>
    <s v="CUST-5081"/>
    <d v="2024-02-23T00:00:00"/>
    <x v="0"/>
    <s v="Python for Beginners"/>
    <n v="29.99"/>
    <n v="3"/>
    <n v="0"/>
    <n v="29.99"/>
    <n v="89.97"/>
    <s v="PayPal"/>
    <x v="0"/>
    <m/>
    <n v="28"/>
    <s v="Dallas"/>
    <x v="2"/>
    <s v="Male"/>
  </r>
  <r>
    <s v="ORD-20666"/>
    <s v="CUST-5081"/>
    <d v="2022-06-27T00:00:00"/>
    <x v="2"/>
    <s v="Blender"/>
    <n v="64.989999999999995"/>
    <n v="2"/>
    <n v="0"/>
    <n v="64.989999999999995"/>
    <n v="129.97999999999999"/>
    <s v="UPI"/>
    <x v="0"/>
    <m/>
    <n v="28"/>
    <s v="Dallas"/>
    <x v="2"/>
    <s v="Male"/>
  </r>
  <r>
    <s v="ORD-20667"/>
    <s v="CUST-5081"/>
    <d v="2024-03-27T00:00:00"/>
    <x v="6"/>
    <s v="Lip Balm Set"/>
    <n v="14.99"/>
    <n v="2"/>
    <n v="0"/>
    <n v="14.99"/>
    <n v="29.98"/>
    <s v="Debit Card"/>
    <x v="0"/>
    <n v="3"/>
    <n v="28"/>
    <s v="Dallas"/>
    <x v="2"/>
    <s v="Male"/>
  </r>
  <r>
    <s v="ORD-20668"/>
    <s v="CUST-5081"/>
    <d v="2023-07-14T00:00:00"/>
    <x v="1"/>
    <s v="Remote Control Car"/>
    <n v="39.99"/>
    <n v="4"/>
    <n v="0"/>
    <n v="39.99"/>
    <n v="159.96"/>
    <s v="Debit Card"/>
    <x v="0"/>
    <n v="5"/>
    <n v="28"/>
    <s v="Dallas"/>
    <x v="2"/>
    <s v="Male"/>
  </r>
  <r>
    <s v="ORD-20669"/>
    <s v="CUST-5081"/>
    <d v="2023-03-06T00:00:00"/>
    <x v="4"/>
    <s v="Resistance Bands"/>
    <n v="19.989999999999998"/>
    <n v="2"/>
    <n v="20"/>
    <n v="15.99"/>
    <n v="31.98"/>
    <s v="Wallet"/>
    <x v="0"/>
    <m/>
    <n v="28"/>
    <s v="Dallas"/>
    <x v="2"/>
    <s v="Male"/>
  </r>
  <r>
    <s v="ORD-20670"/>
    <s v="CUST-5081"/>
    <d v="2022-04-05T00:00:00"/>
    <x v="0"/>
    <s v="Python for Beginners"/>
    <n v="29.99"/>
    <n v="2"/>
    <n v="10"/>
    <n v="26.99"/>
    <n v="53.98"/>
    <s v="Debit Card"/>
    <x v="0"/>
    <m/>
    <n v="28"/>
    <s v="Dallas"/>
    <x v="2"/>
    <s v="Male"/>
  </r>
  <r>
    <s v="ORD-20671"/>
    <s v="CUST-5081"/>
    <d v="2023-06-10T00:00:00"/>
    <x v="2"/>
    <s v="Non-stick Pan Set"/>
    <n v="44.99"/>
    <n v="2"/>
    <n v="5"/>
    <n v="42.74"/>
    <n v="85.48"/>
    <s v="PayPal"/>
    <x v="0"/>
    <n v="3"/>
    <n v="28"/>
    <s v="Dallas"/>
    <x v="2"/>
    <s v="Male"/>
  </r>
  <r>
    <s v="ORD-20672"/>
    <s v="CUST-5081"/>
    <d v="2024-02-22T00:00:00"/>
    <x v="3"/>
    <s v="Cotton T-Shirt"/>
    <n v="24.99"/>
    <n v="4"/>
    <n v="5"/>
    <n v="23.74"/>
    <n v="94.96"/>
    <s v="Debit Card"/>
    <x v="0"/>
    <m/>
    <n v="28"/>
    <s v="Dallas"/>
    <x v="2"/>
    <s v="Male"/>
  </r>
  <r>
    <s v="ORD-20673"/>
    <s v="CUST-5082"/>
    <d v="2024-02-19T00:00:00"/>
    <x v="4"/>
    <s v="Resistance Bands"/>
    <n v="19.989999999999998"/>
    <n v="4"/>
    <n v="5"/>
    <n v="18.989999999999998"/>
    <n v="75.959999999999994"/>
    <s v="Credit Card"/>
    <x v="0"/>
    <n v="3"/>
    <n v="58"/>
    <s v="Chicago"/>
    <x v="2"/>
    <s v="Male"/>
  </r>
  <r>
    <s v="ORD-20674"/>
    <s v="CUST-5082"/>
    <d v="2024-02-11T00:00:00"/>
    <x v="6"/>
    <s v="Face Serum"/>
    <n v="39.99"/>
    <n v="1"/>
    <n v="20"/>
    <n v="31.99"/>
    <n v="31.99"/>
    <s v="Debit Card"/>
    <x v="0"/>
    <m/>
    <n v="58"/>
    <s v="Chicago"/>
    <x v="2"/>
    <s v="Male"/>
  </r>
  <r>
    <s v="ORD-20675"/>
    <s v="CUST-5082"/>
    <d v="2022-07-05T00:00:00"/>
    <x v="1"/>
    <s v="Puzzle 1000pcs"/>
    <n v="24.99"/>
    <n v="4"/>
    <n v="0"/>
    <n v="24.99"/>
    <n v="99.96"/>
    <s v="Credit Card"/>
    <x v="4"/>
    <n v="4"/>
    <n v="58"/>
    <s v="Chicago"/>
    <x v="2"/>
    <s v="Male"/>
  </r>
  <r>
    <s v="ORD-20676"/>
    <s v="CUST-5083"/>
    <d v="2023-10-19T00:00:00"/>
    <x v="6"/>
    <s v="Face Serum"/>
    <n v="39.99"/>
    <n v="1"/>
    <n v="0"/>
    <n v="39.99"/>
    <n v="39.99"/>
    <s v="UPI"/>
    <x v="3"/>
    <m/>
    <n v="48"/>
    <s v="New York"/>
    <x v="3"/>
    <s v="Male"/>
  </r>
  <r>
    <s v="ORD-20677"/>
    <s v="CUST-5083"/>
    <d v="2023-08-15T00:00:00"/>
    <x v="0"/>
    <s v="Fiction Novel"/>
    <n v="14.99"/>
    <n v="2"/>
    <n v="5"/>
    <n v="14.24"/>
    <n v="28.48"/>
    <s v="UPI"/>
    <x v="0"/>
    <m/>
    <n v="48"/>
    <s v="New York"/>
    <x v="3"/>
    <s v="Male"/>
  </r>
  <r>
    <s v="ORD-20678"/>
    <s v="CUST-5083"/>
    <d v="2023-01-15T00:00:00"/>
    <x v="3"/>
    <s v="Denim Jacket"/>
    <n v="69.989999999999995"/>
    <n v="4"/>
    <n v="0"/>
    <n v="69.989999999999995"/>
    <n v="279.95999999999998"/>
    <s v="Debit Card"/>
    <x v="0"/>
    <n v="5"/>
    <n v="48"/>
    <s v="New York"/>
    <x v="3"/>
    <s v="Male"/>
  </r>
  <r>
    <s v="ORD-20679"/>
    <s v="CUST-5084"/>
    <d v="2023-08-26T00:00:00"/>
    <x v="5"/>
    <s v="Smart Watch"/>
    <n v="199.99"/>
    <n v="3"/>
    <n v="20"/>
    <n v="159.99"/>
    <n v="479.97"/>
    <s v="Wallet"/>
    <x v="0"/>
    <n v="5"/>
    <n v="24"/>
    <s v="Chicago"/>
    <x v="0"/>
    <s v="Male"/>
  </r>
  <r>
    <s v="ORD-20680"/>
    <s v="CUST-5084"/>
    <d v="2024-07-22T00:00:00"/>
    <x v="2"/>
    <s v="Blender"/>
    <n v="64.989999999999995"/>
    <n v="2"/>
    <n v="0"/>
    <n v="64.989999999999995"/>
    <n v="129.97999999999999"/>
    <s v="Debit Card"/>
    <x v="0"/>
    <m/>
    <n v="24"/>
    <s v="Chicago"/>
    <x v="0"/>
    <s v="Male"/>
  </r>
  <r>
    <s v="ORD-20681"/>
    <s v="CUST-5084"/>
    <d v="2023-09-23T00:00:00"/>
    <x v="4"/>
    <s v="Resistance Bands"/>
    <n v="19.989999999999998"/>
    <n v="3"/>
    <n v="0"/>
    <n v="19.989999999999998"/>
    <n v="59.97"/>
    <s v="PayPal"/>
    <x v="0"/>
    <m/>
    <n v="24"/>
    <s v="Chicago"/>
    <x v="0"/>
    <s v="Male"/>
  </r>
  <r>
    <s v="ORD-20682"/>
    <s v="CUST-5084"/>
    <d v="2024-01-02T00:00:00"/>
    <x v="0"/>
    <s v="Business Analytics"/>
    <n v="39.99"/>
    <n v="4"/>
    <n v="15"/>
    <n v="33.99"/>
    <n v="135.96"/>
    <s v="PayPal"/>
    <x v="0"/>
    <n v="3"/>
    <n v="24"/>
    <s v="Chicago"/>
    <x v="0"/>
    <s v="Male"/>
  </r>
  <r>
    <s v="ORD-20683"/>
    <s v="CUST-5084"/>
    <d v="2024-01-21T00:00:00"/>
    <x v="4"/>
    <s v="Water Bottle"/>
    <n v="24.99"/>
    <n v="4"/>
    <n v="20"/>
    <n v="19.989999999999998"/>
    <n v="79.959999999999994"/>
    <s v="Debit Card"/>
    <x v="0"/>
    <n v="5"/>
    <n v="24"/>
    <s v="Chicago"/>
    <x v="0"/>
    <s v="Male"/>
  </r>
  <r>
    <s v="ORD-20684"/>
    <s v="CUST-5084"/>
    <d v="2022-03-23T00:00:00"/>
    <x v="5"/>
    <s v="Bluetooth Speaker"/>
    <n v="49.99"/>
    <n v="3"/>
    <n v="5"/>
    <n v="47.49"/>
    <n v="142.47"/>
    <s v="PayPal"/>
    <x v="0"/>
    <m/>
    <n v="24"/>
    <s v="Chicago"/>
    <x v="0"/>
    <s v="Male"/>
  </r>
  <r>
    <s v="ORD-20685"/>
    <s v="CUST-5084"/>
    <d v="2023-07-02T00:00:00"/>
    <x v="3"/>
    <s v="Yoga Pants"/>
    <n v="44.99"/>
    <n v="1"/>
    <n v="20"/>
    <n v="35.99"/>
    <n v="35.99"/>
    <s v="Credit Card"/>
    <x v="0"/>
    <m/>
    <n v="24"/>
    <s v="Chicago"/>
    <x v="0"/>
    <s v="Male"/>
  </r>
  <r>
    <s v="ORD-20686"/>
    <s v="CUST-5084"/>
    <d v="2022-09-05T00:00:00"/>
    <x v="4"/>
    <s v="Yoga Mat"/>
    <n v="29.99"/>
    <n v="1"/>
    <n v="5"/>
    <n v="28.49"/>
    <n v="28.49"/>
    <s v="PayPal"/>
    <x v="1"/>
    <n v="4"/>
    <n v="24"/>
    <s v="Chicago"/>
    <x v="0"/>
    <s v="Male"/>
  </r>
  <r>
    <s v="ORD-20687"/>
    <s v="CUST-5084"/>
    <d v="2022-08-06T00:00:00"/>
    <x v="6"/>
    <s v="Moisturizer SPF 50"/>
    <n v="29.99"/>
    <n v="2"/>
    <n v="15"/>
    <n v="25.49"/>
    <n v="50.98"/>
    <s v="Credit Card"/>
    <x v="0"/>
    <n v="2"/>
    <n v="24"/>
    <s v="Chicago"/>
    <x v="0"/>
    <s v="Male"/>
  </r>
  <r>
    <s v="ORD-20688"/>
    <s v="CUST-5084"/>
    <d v="2023-08-01T00:00:00"/>
    <x v="4"/>
    <s v="Jump Rope"/>
    <n v="14.99"/>
    <n v="2"/>
    <n v="0"/>
    <n v="14.99"/>
    <n v="29.98"/>
    <s v="UPI"/>
    <x v="0"/>
    <m/>
    <n v="24"/>
    <s v="Chicago"/>
    <x v="0"/>
    <s v="Male"/>
  </r>
  <r>
    <s v="ORD-20689"/>
    <s v="CUST-5084"/>
    <d v="2023-02-16T00:00:00"/>
    <x v="0"/>
    <s v="Python for Beginners"/>
    <n v="29.99"/>
    <n v="2"/>
    <n v="0"/>
    <n v="29.99"/>
    <n v="59.98"/>
    <s v="Wallet"/>
    <x v="0"/>
    <n v="4"/>
    <n v="24"/>
    <s v="Chicago"/>
    <x v="0"/>
    <s v="Male"/>
  </r>
  <r>
    <s v="ORD-20690"/>
    <s v="CUST-5085"/>
    <d v="2022-05-06T00:00:00"/>
    <x v="0"/>
    <s v="Business Analytics"/>
    <n v="39.99"/>
    <n v="2"/>
    <n v="10"/>
    <n v="35.99"/>
    <n v="71.98"/>
    <s v="PayPal"/>
    <x v="0"/>
    <m/>
    <n v="18"/>
    <s v="Los Angeles"/>
    <x v="2"/>
    <s v="Male"/>
  </r>
  <r>
    <s v="ORD-20691"/>
    <s v="CUST-5085"/>
    <d v="2023-03-26T00:00:00"/>
    <x v="0"/>
    <s v="Data Science Handbook"/>
    <n v="49.99"/>
    <n v="4"/>
    <n v="0"/>
    <n v="49.99"/>
    <n v="199.96"/>
    <s v="Credit Card"/>
    <x v="0"/>
    <n v="5"/>
    <n v="18"/>
    <s v="Los Angeles"/>
    <x v="2"/>
    <s v="Male"/>
  </r>
  <r>
    <s v="ORD-20692"/>
    <s v="CUST-5085"/>
    <d v="2023-06-09T00:00:00"/>
    <x v="2"/>
    <s v="Blender"/>
    <n v="64.989999999999995"/>
    <n v="4"/>
    <n v="20"/>
    <n v="51.99"/>
    <n v="207.96"/>
    <s v="Wallet"/>
    <x v="0"/>
    <n v="5"/>
    <n v="18"/>
    <s v="Los Angeles"/>
    <x v="2"/>
    <s v="Male"/>
  </r>
  <r>
    <s v="ORD-20693"/>
    <s v="CUST-5085"/>
    <d v="2023-03-12T00:00:00"/>
    <x v="2"/>
    <s v="Blender"/>
    <n v="64.989999999999995"/>
    <n v="2"/>
    <n v="10"/>
    <n v="58.49"/>
    <n v="116.98"/>
    <s v="PayPal"/>
    <x v="0"/>
    <n v="5"/>
    <n v="18"/>
    <s v="Los Angeles"/>
    <x v="2"/>
    <s v="Male"/>
  </r>
  <r>
    <s v="ORD-20694"/>
    <s v="CUST-5085"/>
    <d v="2022-12-12T00:00:00"/>
    <x v="5"/>
    <s v="USB-C Hub"/>
    <n v="34.99"/>
    <n v="2"/>
    <n v="0"/>
    <n v="34.99"/>
    <n v="69.98"/>
    <s v="Wallet"/>
    <x v="0"/>
    <n v="5"/>
    <n v="18"/>
    <s v="Los Angeles"/>
    <x v="2"/>
    <s v="Male"/>
  </r>
  <r>
    <s v="ORD-20695"/>
    <s v="CUST-5085"/>
    <d v="2022-05-26T00:00:00"/>
    <x v="6"/>
    <s v="Lip Balm Set"/>
    <n v="14.99"/>
    <n v="1"/>
    <n v="0"/>
    <n v="14.99"/>
    <n v="14.99"/>
    <s v="Debit Card"/>
    <x v="4"/>
    <m/>
    <n v="18"/>
    <s v="Los Angeles"/>
    <x v="2"/>
    <s v="Male"/>
  </r>
  <r>
    <s v="ORD-20696"/>
    <s v="CUST-5085"/>
    <d v="2023-02-14T00:00:00"/>
    <x v="5"/>
    <s v="Wireless Earbuds"/>
    <n v="79.989999999999995"/>
    <n v="3"/>
    <n v="0"/>
    <n v="79.989999999999995"/>
    <n v="239.97"/>
    <s v="UPI"/>
    <x v="0"/>
    <n v="4"/>
    <n v="18"/>
    <s v="Los Angeles"/>
    <x v="2"/>
    <s v="Male"/>
  </r>
  <r>
    <s v="ORD-20697"/>
    <s v="CUST-5086"/>
    <d v="2024-12-20T00:00:00"/>
    <x v="2"/>
    <s v="Non-stick Pan Set"/>
    <n v="44.99"/>
    <n v="2"/>
    <n v="20"/>
    <n v="35.99"/>
    <n v="71.98"/>
    <s v="UPI"/>
    <x v="0"/>
    <n v="3"/>
    <n v="34"/>
    <s v="San Diego"/>
    <x v="2"/>
    <s v="Female"/>
  </r>
  <r>
    <s v="ORD-20698"/>
    <s v="CUST-5086"/>
    <d v="2024-10-12T00:00:00"/>
    <x v="5"/>
    <s v="Bluetooth Speaker"/>
    <n v="49.99"/>
    <n v="1"/>
    <n v="0"/>
    <n v="49.99"/>
    <n v="49.99"/>
    <s v="PayPal"/>
    <x v="4"/>
    <m/>
    <n v="34"/>
    <s v="San Diego"/>
    <x v="2"/>
    <s v="Female"/>
  </r>
  <r>
    <s v="ORD-20699"/>
    <s v="CUST-5086"/>
    <d v="2023-03-18T00:00:00"/>
    <x v="5"/>
    <s v="Wireless Earbuds"/>
    <n v="79.989999999999995"/>
    <n v="3"/>
    <n v="0"/>
    <n v="79.989999999999995"/>
    <n v="239.97"/>
    <s v="Debit Card"/>
    <x v="0"/>
    <n v="3"/>
    <n v="34"/>
    <s v="San Diego"/>
    <x v="2"/>
    <s v="Female"/>
  </r>
  <r>
    <s v="ORD-20700"/>
    <s v="CUST-5086"/>
    <d v="2022-02-27T00:00:00"/>
    <x v="2"/>
    <s v="Blender"/>
    <n v="64.989999999999995"/>
    <n v="3"/>
    <n v="0"/>
    <n v="64.989999999999995"/>
    <n v="194.97"/>
    <s v="Credit Card"/>
    <x v="0"/>
    <m/>
    <n v="34"/>
    <s v="San Diego"/>
    <x v="2"/>
    <s v="Female"/>
  </r>
  <r>
    <s v="ORD-20701"/>
    <s v="CUST-5086"/>
    <d v="2024-11-04T00:00:00"/>
    <x v="5"/>
    <s v="Smart Watch"/>
    <n v="199.99"/>
    <n v="3"/>
    <n v="0"/>
    <n v="199.99"/>
    <n v="599.97"/>
    <s v="Wallet"/>
    <x v="0"/>
    <n v="4"/>
    <n v="34"/>
    <s v="San Diego"/>
    <x v="2"/>
    <s v="Female"/>
  </r>
  <r>
    <s v="ORD-20702"/>
    <s v="CUST-5086"/>
    <d v="2023-12-04T00:00:00"/>
    <x v="3"/>
    <s v="Denim Jacket"/>
    <n v="69.989999999999995"/>
    <n v="1"/>
    <n v="0"/>
    <n v="69.989999999999995"/>
    <n v="69.989999999999995"/>
    <s v="Wallet"/>
    <x v="0"/>
    <n v="4"/>
    <n v="34"/>
    <s v="San Diego"/>
    <x v="2"/>
    <s v="Female"/>
  </r>
  <r>
    <s v="ORD-20703"/>
    <s v="CUST-5086"/>
    <d v="2024-05-09T00:00:00"/>
    <x v="4"/>
    <s v="Resistance Bands"/>
    <n v="19.989999999999998"/>
    <n v="1"/>
    <n v="0"/>
    <n v="19.989999999999998"/>
    <n v="19.989999999999998"/>
    <s v="Credit Card"/>
    <x v="0"/>
    <m/>
    <n v="34"/>
    <s v="San Diego"/>
    <x v="2"/>
    <s v="Female"/>
  </r>
  <r>
    <s v="ORD-20704"/>
    <s v="CUST-5086"/>
    <d v="2023-06-25T00:00:00"/>
    <x v="6"/>
    <s v="Hair Mask"/>
    <n v="24.99"/>
    <n v="4"/>
    <n v="10"/>
    <n v="22.49"/>
    <n v="89.96"/>
    <s v="Wallet"/>
    <x v="0"/>
    <n v="5"/>
    <n v="34"/>
    <s v="San Diego"/>
    <x v="2"/>
    <s v="Female"/>
  </r>
  <r>
    <s v="ORD-20705"/>
    <s v="CUST-5086"/>
    <d v="2024-04-20T00:00:00"/>
    <x v="2"/>
    <s v="Non-stick Pan Set"/>
    <n v="44.99"/>
    <n v="2"/>
    <n v="0"/>
    <n v="44.99"/>
    <n v="89.98"/>
    <s v="Debit Card"/>
    <x v="0"/>
    <n v="5"/>
    <n v="34"/>
    <s v="San Diego"/>
    <x v="2"/>
    <s v="Female"/>
  </r>
  <r>
    <s v="ORD-20706"/>
    <s v="CUST-5086"/>
    <d v="2024-04-13T00:00:00"/>
    <x v="5"/>
    <s v="Bluetooth Speaker"/>
    <n v="49.99"/>
    <n v="4"/>
    <n v="0"/>
    <n v="49.99"/>
    <n v="199.96"/>
    <s v="PayPal"/>
    <x v="0"/>
    <n v="5"/>
    <n v="34"/>
    <s v="San Diego"/>
    <x v="2"/>
    <s v="Female"/>
  </r>
  <r>
    <s v="ORD-20707"/>
    <s v="CUST-5086"/>
    <d v="2024-08-22T00:00:00"/>
    <x v="1"/>
    <s v="Puzzle 1000pcs"/>
    <n v="24.99"/>
    <n v="1"/>
    <n v="0"/>
    <n v="24.99"/>
    <n v="24.99"/>
    <s v="UPI"/>
    <x v="0"/>
    <n v="5"/>
    <n v="34"/>
    <s v="San Diego"/>
    <x v="2"/>
    <s v="Female"/>
  </r>
  <r>
    <s v="ORD-20708"/>
    <s v="CUST-5086"/>
    <d v="2022-10-05T00:00:00"/>
    <x v="0"/>
    <s v="Python for Beginners"/>
    <n v="29.99"/>
    <n v="1"/>
    <n v="15"/>
    <n v="25.49"/>
    <n v="25.49"/>
    <s v="Credit Card"/>
    <x v="4"/>
    <n v="5"/>
    <n v="34"/>
    <s v="San Diego"/>
    <x v="2"/>
    <s v="Female"/>
  </r>
  <r>
    <s v="ORD-20709"/>
    <s v="CUST-5086"/>
    <d v="2022-06-09T00:00:00"/>
    <x v="5"/>
    <s v="Bluetooth Speaker"/>
    <n v="49.99"/>
    <n v="4"/>
    <n v="5"/>
    <n v="47.49"/>
    <n v="189.96"/>
    <s v="UPI"/>
    <x v="0"/>
    <n v="4"/>
    <n v="34"/>
    <s v="San Diego"/>
    <x v="2"/>
    <s v="Female"/>
  </r>
  <r>
    <s v="ORD-20710"/>
    <s v="CUST-5086"/>
    <d v="2022-05-08T00:00:00"/>
    <x v="2"/>
    <s v="Coffee Maker"/>
    <n v="59.99"/>
    <n v="4"/>
    <n v="0"/>
    <n v="59.99"/>
    <n v="239.96"/>
    <s v="Wallet"/>
    <x v="0"/>
    <m/>
    <n v="34"/>
    <s v="San Diego"/>
    <x v="2"/>
    <s v="Female"/>
  </r>
  <r>
    <s v="ORD-20711"/>
    <s v="CUST-5087"/>
    <d v="2022-10-28T00:00:00"/>
    <x v="1"/>
    <s v="Puzzle 1000pcs"/>
    <n v="24.99"/>
    <n v="1"/>
    <n v="5"/>
    <n v="23.74"/>
    <n v="23.74"/>
    <s v="PayPal"/>
    <x v="1"/>
    <n v="3"/>
    <n v="59"/>
    <s v="Jacksonville"/>
    <x v="1"/>
    <s v="Male"/>
  </r>
  <r>
    <s v="ORD-20712"/>
    <s v="CUST-5087"/>
    <d v="2024-08-28T00:00:00"/>
    <x v="3"/>
    <s v="Running Shoes"/>
    <n v="89.99"/>
    <n v="4"/>
    <n v="20"/>
    <n v="71.989999999999995"/>
    <n v="287.95999999999998"/>
    <s v="PayPal"/>
    <x v="0"/>
    <m/>
    <n v="59"/>
    <s v="Jacksonville"/>
    <x v="1"/>
    <s v="Male"/>
  </r>
  <r>
    <s v="ORD-20713"/>
    <s v="CUST-5087"/>
    <d v="2023-02-15T00:00:00"/>
    <x v="2"/>
    <s v="Coffee Maker"/>
    <n v="59.99"/>
    <n v="4"/>
    <n v="0"/>
    <n v="59.99"/>
    <n v="239.96"/>
    <s v="Debit Card"/>
    <x v="0"/>
    <n v="5"/>
    <n v="59"/>
    <s v="Jacksonville"/>
    <x v="1"/>
    <s v="Male"/>
  </r>
  <r>
    <s v="ORD-20714"/>
    <s v="CUST-5087"/>
    <d v="2023-05-26T00:00:00"/>
    <x v="1"/>
    <s v="Remote Control Car"/>
    <n v="39.99"/>
    <n v="3"/>
    <n v="20"/>
    <n v="31.99"/>
    <n v="95.97"/>
    <s v="Wallet"/>
    <x v="0"/>
    <m/>
    <n v="59"/>
    <s v="Jacksonville"/>
    <x v="1"/>
    <s v="Male"/>
  </r>
  <r>
    <s v="ORD-20715"/>
    <s v="CUST-5087"/>
    <d v="2022-09-27T00:00:00"/>
    <x v="0"/>
    <s v="Data Science Handbook"/>
    <n v="49.99"/>
    <n v="3"/>
    <n v="0"/>
    <n v="49.99"/>
    <n v="149.97"/>
    <s v="Wallet"/>
    <x v="0"/>
    <m/>
    <n v="59"/>
    <s v="Jacksonville"/>
    <x v="1"/>
    <s v="Male"/>
  </r>
  <r>
    <s v="ORD-20716"/>
    <s v="CUST-5087"/>
    <d v="2023-05-21T00:00:00"/>
    <x v="0"/>
    <s v="Data Science Handbook"/>
    <n v="49.99"/>
    <n v="3"/>
    <n v="20"/>
    <n v="39.99"/>
    <n v="119.97"/>
    <s v="Wallet"/>
    <x v="0"/>
    <m/>
    <n v="59"/>
    <s v="Jacksonville"/>
    <x v="1"/>
    <s v="Male"/>
  </r>
  <r>
    <s v="ORD-20717"/>
    <s v="CUST-5087"/>
    <d v="2022-04-20T00:00:00"/>
    <x v="6"/>
    <s v="Hair Mask"/>
    <n v="24.99"/>
    <n v="4"/>
    <n v="0"/>
    <n v="24.99"/>
    <n v="99.96"/>
    <s v="Debit Card"/>
    <x v="0"/>
    <n v="3"/>
    <n v="59"/>
    <s v="Jacksonville"/>
    <x v="1"/>
    <s v="Male"/>
  </r>
  <r>
    <s v="ORD-20718"/>
    <s v="CUST-5087"/>
    <d v="2023-02-09T00:00:00"/>
    <x v="1"/>
    <s v="LEGO Classic Set"/>
    <n v="49.99"/>
    <n v="4"/>
    <n v="5"/>
    <n v="47.49"/>
    <n v="189.96"/>
    <s v="Wallet"/>
    <x v="4"/>
    <n v="4"/>
    <n v="59"/>
    <s v="Jacksonville"/>
    <x v="1"/>
    <s v="Male"/>
  </r>
  <r>
    <s v="ORD-20719"/>
    <s v="CUST-5087"/>
    <d v="2024-10-15T00:00:00"/>
    <x v="6"/>
    <s v="Hair Mask"/>
    <n v="24.99"/>
    <n v="4"/>
    <n v="10"/>
    <n v="22.49"/>
    <n v="89.96"/>
    <s v="Debit Card"/>
    <x v="0"/>
    <n v="4"/>
    <n v="59"/>
    <s v="Jacksonville"/>
    <x v="1"/>
    <s v="Male"/>
  </r>
  <r>
    <s v="ORD-20720"/>
    <s v="CUST-5088"/>
    <d v="2023-01-01T00:00:00"/>
    <x v="1"/>
    <s v="LEGO Classic Set"/>
    <n v="49.99"/>
    <n v="1"/>
    <n v="0"/>
    <n v="49.99"/>
    <n v="49.99"/>
    <s v="Debit Card"/>
    <x v="0"/>
    <m/>
    <n v="47"/>
    <s v="Phoenix"/>
    <x v="3"/>
    <s v="Female"/>
  </r>
  <r>
    <s v="ORD-20721"/>
    <s v="CUST-5088"/>
    <d v="2024-04-07T00:00:00"/>
    <x v="0"/>
    <s v="Fiction Novel"/>
    <n v="14.99"/>
    <n v="3"/>
    <n v="5"/>
    <n v="14.24"/>
    <n v="42.72"/>
    <s v="Wallet"/>
    <x v="4"/>
    <n v="5"/>
    <n v="47"/>
    <s v="Phoenix"/>
    <x v="3"/>
    <s v="Female"/>
  </r>
  <r>
    <s v="ORD-20722"/>
    <s v="CUST-5088"/>
    <d v="2022-07-05T00:00:00"/>
    <x v="4"/>
    <s v="Yoga Mat"/>
    <n v="29.99"/>
    <n v="1"/>
    <n v="15"/>
    <n v="25.49"/>
    <n v="25.49"/>
    <s v="Wallet"/>
    <x v="4"/>
    <m/>
    <n v="47"/>
    <s v="Phoenix"/>
    <x v="3"/>
    <s v="Female"/>
  </r>
  <r>
    <s v="ORD-20723"/>
    <s v="CUST-5088"/>
    <d v="2022-01-11T00:00:00"/>
    <x v="1"/>
    <s v="Action Figure"/>
    <n v="19.989999999999998"/>
    <n v="3"/>
    <n v="0"/>
    <n v="19.989999999999998"/>
    <n v="59.97"/>
    <s v="Debit Card"/>
    <x v="0"/>
    <m/>
    <n v="47"/>
    <s v="Phoenix"/>
    <x v="3"/>
    <s v="Female"/>
  </r>
  <r>
    <s v="ORD-20724"/>
    <s v="CUST-5089"/>
    <d v="2024-11-02T00:00:00"/>
    <x v="4"/>
    <s v="Jump Rope"/>
    <n v="14.99"/>
    <n v="2"/>
    <n v="20"/>
    <n v="11.99"/>
    <n v="23.98"/>
    <s v="Credit Card"/>
    <x v="4"/>
    <m/>
    <n v="45"/>
    <s v="Houston"/>
    <x v="3"/>
    <s v="Female"/>
  </r>
  <r>
    <s v="ORD-20725"/>
    <s v="CUST-5089"/>
    <d v="2024-09-07T00:00:00"/>
    <x v="6"/>
    <s v="Lip Balm Set"/>
    <n v="14.99"/>
    <n v="4"/>
    <n v="0"/>
    <n v="14.99"/>
    <n v="59.96"/>
    <s v="PayPal"/>
    <x v="0"/>
    <m/>
    <n v="45"/>
    <s v="Houston"/>
    <x v="3"/>
    <s v="Female"/>
  </r>
  <r>
    <s v="ORD-20726"/>
    <s v="CUST-5089"/>
    <d v="2024-05-27T00:00:00"/>
    <x v="2"/>
    <s v="Blender"/>
    <n v="64.989999999999995"/>
    <n v="4"/>
    <n v="5"/>
    <n v="61.74"/>
    <n v="246.96"/>
    <s v="UPI"/>
    <x v="0"/>
    <n v="3"/>
    <n v="45"/>
    <s v="Houston"/>
    <x v="3"/>
    <s v="Female"/>
  </r>
  <r>
    <s v="ORD-20727"/>
    <s v="CUST-5089"/>
    <d v="2024-02-20T00:00:00"/>
    <x v="0"/>
    <s v="Fiction Novel"/>
    <n v="14.99"/>
    <n v="1"/>
    <n v="0"/>
    <n v="14.99"/>
    <n v="14.99"/>
    <s v="Debit Card"/>
    <x v="0"/>
    <n v="5"/>
    <n v="45"/>
    <s v="Houston"/>
    <x v="3"/>
    <s v="Female"/>
  </r>
  <r>
    <s v="ORD-20728"/>
    <s v="CUST-5089"/>
    <d v="2024-08-24T00:00:00"/>
    <x v="5"/>
    <s v="Bluetooth Speaker"/>
    <n v="49.99"/>
    <n v="1"/>
    <n v="0"/>
    <n v="49.99"/>
    <n v="49.99"/>
    <s v="Wallet"/>
    <x v="0"/>
    <n v="2"/>
    <n v="45"/>
    <s v="Houston"/>
    <x v="3"/>
    <s v="Female"/>
  </r>
  <r>
    <s v="ORD-20729"/>
    <s v="CUST-5089"/>
    <d v="2022-08-19T00:00:00"/>
    <x v="0"/>
    <s v="Business Analytics"/>
    <n v="39.99"/>
    <n v="3"/>
    <n v="0"/>
    <n v="39.99"/>
    <n v="119.97"/>
    <s v="Debit Card"/>
    <x v="0"/>
    <n v="5"/>
    <n v="45"/>
    <s v="Houston"/>
    <x v="3"/>
    <s v="Female"/>
  </r>
  <r>
    <s v="ORD-20730"/>
    <s v="CUST-5089"/>
    <d v="2024-10-25T00:00:00"/>
    <x v="0"/>
    <s v="Fiction Novel"/>
    <n v="14.99"/>
    <n v="2"/>
    <n v="0"/>
    <n v="14.99"/>
    <n v="29.98"/>
    <s v="UPI"/>
    <x v="0"/>
    <n v="5"/>
    <n v="45"/>
    <s v="Houston"/>
    <x v="3"/>
    <s v="Female"/>
  </r>
  <r>
    <s v="ORD-20731"/>
    <s v="CUST-5090"/>
    <d v="2024-06-16T00:00:00"/>
    <x v="5"/>
    <s v="Bluetooth Speaker"/>
    <n v="49.99"/>
    <n v="1"/>
    <n v="5"/>
    <n v="47.49"/>
    <n v="47.49"/>
    <s v="PayPal"/>
    <x v="0"/>
    <n v="3"/>
    <n v="53"/>
    <s v="New York"/>
    <x v="3"/>
    <s v="Female"/>
  </r>
  <r>
    <s v="ORD-20732"/>
    <s v="CUST-5090"/>
    <d v="2022-09-16T00:00:00"/>
    <x v="6"/>
    <s v="Lip Balm Set"/>
    <n v="14.99"/>
    <n v="4"/>
    <n v="5"/>
    <n v="14.24"/>
    <n v="56.96"/>
    <s v="Credit Card"/>
    <x v="0"/>
    <m/>
    <n v="53"/>
    <s v="New York"/>
    <x v="3"/>
    <s v="Female"/>
  </r>
  <r>
    <s v="ORD-20733"/>
    <s v="CUST-5090"/>
    <d v="2024-03-08T00:00:00"/>
    <x v="0"/>
    <s v="Data Science Handbook"/>
    <n v="49.99"/>
    <n v="3"/>
    <n v="15"/>
    <n v="42.49"/>
    <n v="127.47"/>
    <s v="PayPal"/>
    <x v="0"/>
    <n v="5"/>
    <n v="53"/>
    <s v="New York"/>
    <x v="3"/>
    <s v="Female"/>
  </r>
  <r>
    <s v="ORD-20734"/>
    <s v="CUST-5090"/>
    <d v="2022-02-03T00:00:00"/>
    <x v="3"/>
    <s v="Denim Jacket"/>
    <n v="69.989999999999995"/>
    <n v="2"/>
    <n v="15"/>
    <n v="59.49"/>
    <n v="118.98"/>
    <s v="Wallet"/>
    <x v="0"/>
    <n v="2"/>
    <n v="53"/>
    <s v="New York"/>
    <x v="3"/>
    <s v="Female"/>
  </r>
  <r>
    <s v="ORD-20735"/>
    <s v="CUST-5090"/>
    <d v="2023-09-08T00:00:00"/>
    <x v="3"/>
    <s v="Running Shoes"/>
    <n v="89.99"/>
    <n v="3"/>
    <n v="20"/>
    <n v="71.989999999999995"/>
    <n v="215.97"/>
    <s v="Credit Card"/>
    <x v="0"/>
    <n v="4"/>
    <n v="53"/>
    <s v="New York"/>
    <x v="3"/>
    <s v="Female"/>
  </r>
  <r>
    <s v="ORD-20736"/>
    <s v="CUST-5090"/>
    <d v="2024-08-24T00:00:00"/>
    <x v="3"/>
    <s v="Cotton T-Shirt"/>
    <n v="24.99"/>
    <n v="2"/>
    <n v="0"/>
    <n v="24.99"/>
    <n v="49.98"/>
    <s v="Credit Card"/>
    <x v="0"/>
    <m/>
    <n v="53"/>
    <s v="New York"/>
    <x v="3"/>
    <s v="Female"/>
  </r>
  <r>
    <s v="ORD-20737"/>
    <s v="CUST-5090"/>
    <d v="2024-10-01T00:00:00"/>
    <x v="4"/>
    <s v="Yoga Mat"/>
    <n v="29.99"/>
    <n v="3"/>
    <n v="20"/>
    <n v="23.99"/>
    <n v="71.97"/>
    <s v="Credit Card"/>
    <x v="0"/>
    <m/>
    <n v="53"/>
    <s v="New York"/>
    <x v="3"/>
    <s v="Female"/>
  </r>
  <r>
    <s v="ORD-20738"/>
    <s v="CUST-5091"/>
    <d v="2022-10-13T00:00:00"/>
    <x v="1"/>
    <s v="Action Figure"/>
    <n v="19.989999999999998"/>
    <n v="3"/>
    <n v="15"/>
    <n v="16.989999999999998"/>
    <n v="50.97"/>
    <s v="Wallet"/>
    <x v="0"/>
    <n v="4"/>
    <n v="29"/>
    <s v="San Jose"/>
    <x v="2"/>
    <s v="Female"/>
  </r>
  <r>
    <s v="ORD-20739"/>
    <s v="CUST-5091"/>
    <d v="2024-11-13T00:00:00"/>
    <x v="5"/>
    <s v="Bluetooth Speaker"/>
    <n v="49.99"/>
    <n v="3"/>
    <n v="20"/>
    <n v="39.99"/>
    <n v="119.97"/>
    <s v="PayPal"/>
    <x v="0"/>
    <n v="4"/>
    <n v="29"/>
    <s v="San Jose"/>
    <x v="2"/>
    <s v="Female"/>
  </r>
  <r>
    <s v="ORD-20740"/>
    <s v="CUST-5091"/>
    <d v="2024-07-13T00:00:00"/>
    <x v="3"/>
    <s v="Denim Jacket"/>
    <n v="69.989999999999995"/>
    <n v="2"/>
    <n v="0"/>
    <n v="69.989999999999995"/>
    <n v="139.97999999999999"/>
    <s v="PayPal"/>
    <x v="0"/>
    <n v="4"/>
    <n v="29"/>
    <s v="San Jose"/>
    <x v="2"/>
    <s v="Female"/>
  </r>
  <r>
    <s v="ORD-20741"/>
    <s v="CUST-5091"/>
    <d v="2022-04-21T00:00:00"/>
    <x v="3"/>
    <s v="Cotton T-Shirt"/>
    <n v="24.99"/>
    <n v="2"/>
    <n v="5"/>
    <n v="23.74"/>
    <n v="47.48"/>
    <s v="PayPal"/>
    <x v="0"/>
    <n v="5"/>
    <n v="29"/>
    <s v="San Jose"/>
    <x v="2"/>
    <s v="Female"/>
  </r>
  <r>
    <s v="ORD-20742"/>
    <s v="CUST-5091"/>
    <d v="2022-12-18T00:00:00"/>
    <x v="2"/>
    <s v="Blender"/>
    <n v="64.989999999999995"/>
    <n v="4"/>
    <n v="0"/>
    <n v="64.989999999999995"/>
    <n v="259.95999999999998"/>
    <s v="PayPal"/>
    <x v="0"/>
    <n v="5"/>
    <n v="29"/>
    <s v="San Jose"/>
    <x v="2"/>
    <s v="Female"/>
  </r>
  <r>
    <s v="ORD-20743"/>
    <s v="CUST-5091"/>
    <d v="2022-05-21T00:00:00"/>
    <x v="1"/>
    <s v="LEGO Classic Set"/>
    <n v="49.99"/>
    <n v="3"/>
    <n v="10"/>
    <n v="44.99"/>
    <n v="134.97"/>
    <s v="Debit Card"/>
    <x v="0"/>
    <m/>
    <n v="29"/>
    <s v="San Jose"/>
    <x v="2"/>
    <s v="Female"/>
  </r>
  <r>
    <s v="ORD-20744"/>
    <s v="CUST-5091"/>
    <d v="2022-08-02T00:00:00"/>
    <x v="6"/>
    <s v="Hair Mask"/>
    <n v="24.99"/>
    <n v="3"/>
    <n v="5"/>
    <n v="23.74"/>
    <n v="71.22"/>
    <s v="Debit Card"/>
    <x v="0"/>
    <n v="4"/>
    <n v="29"/>
    <s v="San Jose"/>
    <x v="2"/>
    <s v="Female"/>
  </r>
  <r>
    <s v="ORD-20745"/>
    <s v="CUST-5091"/>
    <d v="2024-07-21T00:00:00"/>
    <x v="6"/>
    <s v="Face Serum"/>
    <n v="39.99"/>
    <n v="4"/>
    <n v="5"/>
    <n v="37.99"/>
    <n v="151.96"/>
    <s v="Credit Card"/>
    <x v="0"/>
    <m/>
    <n v="29"/>
    <s v="San Jose"/>
    <x v="2"/>
    <s v="Female"/>
  </r>
  <r>
    <s v="ORD-20746"/>
    <s v="CUST-5091"/>
    <d v="2022-11-18T00:00:00"/>
    <x v="4"/>
    <s v="Water Bottle"/>
    <n v="24.99"/>
    <n v="1"/>
    <n v="0"/>
    <n v="24.99"/>
    <n v="24.99"/>
    <s v="Wallet"/>
    <x v="4"/>
    <m/>
    <n v="29"/>
    <s v="San Jose"/>
    <x v="2"/>
    <s v="Female"/>
  </r>
  <r>
    <s v="ORD-20747"/>
    <s v="CUST-5091"/>
    <d v="2024-10-05T00:00:00"/>
    <x v="0"/>
    <s v="Fiction Novel"/>
    <n v="14.99"/>
    <n v="1"/>
    <n v="0"/>
    <n v="14.99"/>
    <n v="14.99"/>
    <s v="Debit Card"/>
    <x v="0"/>
    <n v="4"/>
    <n v="29"/>
    <s v="San Jose"/>
    <x v="2"/>
    <s v="Female"/>
  </r>
  <r>
    <s v="ORD-20748"/>
    <s v="CUST-5091"/>
    <d v="2023-07-02T00:00:00"/>
    <x v="3"/>
    <s v="Denim Jacket"/>
    <n v="69.989999999999995"/>
    <n v="2"/>
    <n v="0"/>
    <n v="69.989999999999995"/>
    <n v="139.97999999999999"/>
    <s v="UPI"/>
    <x v="0"/>
    <n v="4"/>
    <n v="29"/>
    <s v="San Jose"/>
    <x v="2"/>
    <s v="Female"/>
  </r>
  <r>
    <s v="ORD-20749"/>
    <s v="CUST-5091"/>
    <d v="2022-05-06T00:00:00"/>
    <x v="5"/>
    <s v="Bluetooth Speaker"/>
    <n v="49.99"/>
    <n v="2"/>
    <n v="5"/>
    <n v="47.49"/>
    <n v="94.98"/>
    <s v="Credit Card"/>
    <x v="0"/>
    <n v="3"/>
    <n v="29"/>
    <s v="San Jose"/>
    <x v="2"/>
    <s v="Female"/>
  </r>
  <r>
    <s v="ORD-20750"/>
    <s v="CUST-5091"/>
    <d v="2022-05-27T00:00:00"/>
    <x v="0"/>
    <s v="Data Science Handbook"/>
    <n v="49.99"/>
    <n v="3"/>
    <n v="0"/>
    <n v="49.99"/>
    <n v="149.97"/>
    <s v="Credit Card"/>
    <x v="0"/>
    <m/>
    <n v="29"/>
    <s v="San Jose"/>
    <x v="2"/>
    <s v="Female"/>
  </r>
  <r>
    <s v="ORD-20751"/>
    <s v="CUST-5091"/>
    <d v="2022-07-16T00:00:00"/>
    <x v="3"/>
    <s v="Cotton T-Shirt"/>
    <n v="24.99"/>
    <n v="1"/>
    <n v="0"/>
    <n v="24.99"/>
    <n v="24.99"/>
    <s v="UPI"/>
    <x v="0"/>
    <n v="5"/>
    <n v="29"/>
    <s v="San Jose"/>
    <x v="2"/>
    <s v="Female"/>
  </r>
  <r>
    <s v="ORD-20752"/>
    <s v="CUST-5092"/>
    <d v="2023-01-04T00:00:00"/>
    <x v="1"/>
    <s v="Remote Control Car"/>
    <n v="39.99"/>
    <n v="4"/>
    <n v="5"/>
    <n v="37.99"/>
    <n v="151.96"/>
    <s v="PayPal"/>
    <x v="0"/>
    <n v="4"/>
    <n v="29"/>
    <s v="San Antonio"/>
    <x v="0"/>
    <s v="Male"/>
  </r>
  <r>
    <s v="ORD-20753"/>
    <s v="CUST-5092"/>
    <d v="2023-09-02T00:00:00"/>
    <x v="6"/>
    <s v="Hair Mask"/>
    <n v="24.99"/>
    <n v="2"/>
    <n v="20"/>
    <n v="19.989999999999998"/>
    <n v="39.979999999999997"/>
    <s v="Wallet"/>
    <x v="0"/>
    <n v="5"/>
    <n v="29"/>
    <s v="San Antonio"/>
    <x v="0"/>
    <s v="Male"/>
  </r>
  <r>
    <s v="ORD-20754"/>
    <s v="CUST-5092"/>
    <d v="2023-12-11T00:00:00"/>
    <x v="3"/>
    <s v="Running Shoes"/>
    <n v="89.99"/>
    <n v="3"/>
    <n v="0"/>
    <n v="89.99"/>
    <n v="269.97000000000003"/>
    <s v="Wallet"/>
    <x v="0"/>
    <n v="5"/>
    <n v="29"/>
    <s v="San Antonio"/>
    <x v="0"/>
    <s v="Male"/>
  </r>
  <r>
    <s v="ORD-20755"/>
    <s v="CUST-5092"/>
    <d v="2022-02-07T00:00:00"/>
    <x v="2"/>
    <s v="Blender"/>
    <n v="64.989999999999995"/>
    <n v="4"/>
    <n v="0"/>
    <n v="64.989999999999995"/>
    <n v="259.95999999999998"/>
    <s v="UPI"/>
    <x v="2"/>
    <m/>
    <n v="29"/>
    <s v="San Antonio"/>
    <x v="0"/>
    <s v="Male"/>
  </r>
  <r>
    <s v="ORD-20756"/>
    <s v="CUST-5092"/>
    <d v="2023-04-14T00:00:00"/>
    <x v="1"/>
    <s v="Remote Control Car"/>
    <n v="39.99"/>
    <n v="3"/>
    <n v="15"/>
    <n v="33.99"/>
    <n v="101.97"/>
    <s v="UPI"/>
    <x v="0"/>
    <m/>
    <n v="29"/>
    <s v="San Antonio"/>
    <x v="0"/>
    <s v="Male"/>
  </r>
  <r>
    <s v="ORD-20757"/>
    <s v="CUST-5093"/>
    <d v="2023-06-09T00:00:00"/>
    <x v="3"/>
    <s v="Running Shoes"/>
    <n v="89.99"/>
    <n v="2"/>
    <n v="0"/>
    <n v="89.99"/>
    <n v="179.98"/>
    <s v="Debit Card"/>
    <x v="0"/>
    <n v="5"/>
    <n v="45"/>
    <s v="San Jose"/>
    <x v="0"/>
    <s v="Male"/>
  </r>
  <r>
    <s v="ORD-20758"/>
    <s v="CUST-5093"/>
    <d v="2024-08-14T00:00:00"/>
    <x v="6"/>
    <s v="Face Serum"/>
    <n v="39.99"/>
    <n v="4"/>
    <n v="0"/>
    <n v="39.99"/>
    <n v="159.96"/>
    <s v="Debit Card"/>
    <x v="0"/>
    <m/>
    <n v="45"/>
    <s v="San Jose"/>
    <x v="0"/>
    <s v="Male"/>
  </r>
  <r>
    <s v="ORD-20759"/>
    <s v="CUST-5093"/>
    <d v="2023-12-11T00:00:00"/>
    <x v="4"/>
    <s v="Yoga Mat"/>
    <n v="29.99"/>
    <n v="1"/>
    <n v="0"/>
    <n v="29.99"/>
    <n v="29.99"/>
    <s v="Debit Card"/>
    <x v="0"/>
    <n v="4"/>
    <n v="45"/>
    <s v="San Jose"/>
    <x v="0"/>
    <s v="Male"/>
  </r>
  <r>
    <s v="ORD-20760"/>
    <s v="CUST-5093"/>
    <d v="2023-04-28T00:00:00"/>
    <x v="2"/>
    <s v="Coffee Maker"/>
    <n v="59.99"/>
    <n v="3"/>
    <n v="0"/>
    <n v="59.99"/>
    <n v="179.97"/>
    <s v="Debit Card"/>
    <x v="0"/>
    <n v="4"/>
    <n v="45"/>
    <s v="San Jose"/>
    <x v="0"/>
    <s v="Male"/>
  </r>
  <r>
    <s v="ORD-20761"/>
    <s v="CUST-5093"/>
    <d v="2024-11-02T00:00:00"/>
    <x v="5"/>
    <s v="Bluetooth Speaker"/>
    <n v="49.99"/>
    <n v="3"/>
    <n v="0"/>
    <n v="49.99"/>
    <n v="149.97"/>
    <s v="UPI"/>
    <x v="0"/>
    <m/>
    <n v="45"/>
    <s v="San Jose"/>
    <x v="0"/>
    <s v="Male"/>
  </r>
  <r>
    <s v="ORD-20762"/>
    <s v="CUST-5093"/>
    <d v="2023-04-22T00:00:00"/>
    <x v="2"/>
    <s v="Air Fryer"/>
    <n v="89.99"/>
    <n v="3"/>
    <n v="0"/>
    <n v="89.99"/>
    <n v="269.97000000000003"/>
    <s v="Debit Card"/>
    <x v="0"/>
    <n v="5"/>
    <n v="45"/>
    <s v="San Jose"/>
    <x v="0"/>
    <s v="Male"/>
  </r>
  <r>
    <s v="ORD-20763"/>
    <s v="CUST-5093"/>
    <d v="2022-06-17T00:00:00"/>
    <x v="2"/>
    <s v="Non-stick Pan Set"/>
    <n v="44.99"/>
    <n v="3"/>
    <n v="0"/>
    <n v="44.99"/>
    <n v="134.97"/>
    <s v="PayPal"/>
    <x v="0"/>
    <n v="4"/>
    <n v="45"/>
    <s v="San Jose"/>
    <x v="0"/>
    <s v="Male"/>
  </r>
  <r>
    <s v="ORD-20764"/>
    <s v="CUST-5093"/>
    <d v="2024-08-09T00:00:00"/>
    <x v="4"/>
    <s v="Yoga Mat"/>
    <n v="29.99"/>
    <n v="3"/>
    <n v="15"/>
    <n v="25.49"/>
    <n v="76.47"/>
    <s v="UPI"/>
    <x v="0"/>
    <n v="5"/>
    <n v="45"/>
    <s v="San Jose"/>
    <x v="0"/>
    <s v="Male"/>
  </r>
  <r>
    <s v="ORD-20765"/>
    <s v="CUST-5094"/>
    <d v="2024-04-12T00:00:00"/>
    <x v="0"/>
    <s v="Fiction Novel"/>
    <n v="14.99"/>
    <n v="3"/>
    <n v="10"/>
    <n v="13.49"/>
    <n v="40.47"/>
    <s v="PayPal"/>
    <x v="0"/>
    <n v="4"/>
    <n v="57"/>
    <s v="Los Angeles"/>
    <x v="2"/>
    <s v="Male"/>
  </r>
  <r>
    <s v="ORD-20766"/>
    <s v="CUST-5095"/>
    <d v="2024-10-18T00:00:00"/>
    <x v="1"/>
    <s v="Puzzle 1000pcs"/>
    <n v="24.99"/>
    <n v="1"/>
    <n v="15"/>
    <n v="21.24"/>
    <n v="21.24"/>
    <s v="PayPal"/>
    <x v="0"/>
    <m/>
    <n v="42"/>
    <s v="Philadelphia"/>
    <x v="0"/>
    <s v="Female"/>
  </r>
  <r>
    <s v="ORD-20767"/>
    <s v="CUST-5095"/>
    <d v="2022-05-02T00:00:00"/>
    <x v="5"/>
    <s v="USB-C Hub"/>
    <n v="34.99"/>
    <n v="2"/>
    <n v="20"/>
    <n v="27.99"/>
    <n v="55.98"/>
    <s v="Wallet"/>
    <x v="0"/>
    <m/>
    <n v="42"/>
    <s v="Philadelphia"/>
    <x v="0"/>
    <s v="Female"/>
  </r>
  <r>
    <s v="ORD-20768"/>
    <s v="CUST-5095"/>
    <d v="2023-02-20T00:00:00"/>
    <x v="3"/>
    <s v="Cotton T-Shirt"/>
    <n v="24.99"/>
    <n v="1"/>
    <n v="10"/>
    <n v="22.49"/>
    <n v="22.49"/>
    <s v="Wallet"/>
    <x v="0"/>
    <n v="3"/>
    <n v="42"/>
    <s v="Philadelphia"/>
    <x v="0"/>
    <s v="Female"/>
  </r>
  <r>
    <s v="ORD-20769"/>
    <s v="CUST-5095"/>
    <d v="2023-07-08T00:00:00"/>
    <x v="4"/>
    <s v="Yoga Mat"/>
    <n v="29.99"/>
    <n v="2"/>
    <n v="20"/>
    <n v="23.99"/>
    <n v="47.98"/>
    <s v="Debit Card"/>
    <x v="0"/>
    <m/>
    <n v="42"/>
    <s v="Philadelphia"/>
    <x v="0"/>
    <s v="Female"/>
  </r>
  <r>
    <s v="ORD-20770"/>
    <s v="CUST-5095"/>
    <d v="2024-07-01T00:00:00"/>
    <x v="1"/>
    <s v="Remote Control Car"/>
    <n v="39.99"/>
    <n v="2"/>
    <n v="15"/>
    <n v="33.99"/>
    <n v="67.98"/>
    <s v="Wallet"/>
    <x v="0"/>
    <m/>
    <n v="42"/>
    <s v="Philadelphia"/>
    <x v="0"/>
    <s v="Female"/>
  </r>
  <r>
    <s v="ORD-20771"/>
    <s v="CUST-5095"/>
    <d v="2023-08-05T00:00:00"/>
    <x v="2"/>
    <s v="Coffee Maker"/>
    <n v="59.99"/>
    <n v="1"/>
    <n v="5"/>
    <n v="56.99"/>
    <n v="56.99"/>
    <s v="Wallet"/>
    <x v="0"/>
    <n v="4"/>
    <n v="42"/>
    <s v="Philadelphia"/>
    <x v="0"/>
    <s v="Female"/>
  </r>
  <r>
    <s v="ORD-20772"/>
    <s v="CUST-5095"/>
    <d v="2022-04-09T00:00:00"/>
    <x v="1"/>
    <s v="Puzzle 1000pcs"/>
    <n v="24.99"/>
    <n v="3"/>
    <n v="15"/>
    <n v="21.24"/>
    <n v="63.72"/>
    <s v="Wallet"/>
    <x v="0"/>
    <n v="4"/>
    <n v="42"/>
    <s v="Philadelphia"/>
    <x v="0"/>
    <s v="Female"/>
  </r>
  <r>
    <s v="ORD-20773"/>
    <s v="CUST-5096"/>
    <d v="2022-06-24T00:00:00"/>
    <x v="5"/>
    <s v="Smart Watch"/>
    <n v="199.99"/>
    <n v="2"/>
    <n v="15"/>
    <n v="169.99"/>
    <n v="339.98"/>
    <s v="Credit Card"/>
    <x v="0"/>
    <n v="5"/>
    <n v="34"/>
    <s v="Chicago"/>
    <x v="3"/>
    <s v="Female"/>
  </r>
  <r>
    <s v="ORD-20774"/>
    <s v="CUST-5096"/>
    <d v="2022-01-18T00:00:00"/>
    <x v="1"/>
    <s v="Remote Control Car"/>
    <n v="39.99"/>
    <n v="3"/>
    <n v="0"/>
    <n v="39.99"/>
    <n v="119.97"/>
    <s v="Wallet"/>
    <x v="4"/>
    <n v="5"/>
    <n v="34"/>
    <s v="Chicago"/>
    <x v="3"/>
    <s v="Female"/>
  </r>
  <r>
    <s v="ORD-20775"/>
    <s v="CUST-5096"/>
    <d v="2022-01-07T00:00:00"/>
    <x v="1"/>
    <s v="LEGO Classic Set"/>
    <n v="49.99"/>
    <n v="4"/>
    <n v="0"/>
    <n v="49.99"/>
    <n v="199.96"/>
    <s v="Wallet"/>
    <x v="0"/>
    <n v="5"/>
    <n v="34"/>
    <s v="Chicago"/>
    <x v="3"/>
    <s v="Female"/>
  </r>
  <r>
    <s v="ORD-20776"/>
    <s v="CUST-5096"/>
    <d v="2022-02-09T00:00:00"/>
    <x v="3"/>
    <s v="Running Shoes"/>
    <n v="89.99"/>
    <n v="2"/>
    <n v="5"/>
    <n v="85.49"/>
    <n v="170.98"/>
    <s v="Wallet"/>
    <x v="0"/>
    <m/>
    <n v="34"/>
    <s v="Chicago"/>
    <x v="3"/>
    <s v="Female"/>
  </r>
  <r>
    <s v="ORD-20777"/>
    <s v="CUST-5096"/>
    <d v="2022-04-15T00:00:00"/>
    <x v="4"/>
    <s v="Yoga Mat"/>
    <n v="29.99"/>
    <n v="1"/>
    <n v="0"/>
    <n v="29.99"/>
    <n v="29.99"/>
    <s v="UPI"/>
    <x v="0"/>
    <m/>
    <n v="34"/>
    <s v="Chicago"/>
    <x v="3"/>
    <s v="Female"/>
  </r>
  <r>
    <s v="ORD-20778"/>
    <s v="CUST-5096"/>
    <d v="2022-06-16T00:00:00"/>
    <x v="2"/>
    <s v="Non-stick Pan Set"/>
    <n v="44.99"/>
    <n v="2"/>
    <n v="20"/>
    <n v="35.99"/>
    <n v="71.98"/>
    <s v="Wallet"/>
    <x v="0"/>
    <m/>
    <n v="34"/>
    <s v="Chicago"/>
    <x v="3"/>
    <s v="Female"/>
  </r>
  <r>
    <s v="ORD-20779"/>
    <s v="CUST-5096"/>
    <d v="2022-02-24T00:00:00"/>
    <x v="6"/>
    <s v="Lip Balm Set"/>
    <n v="14.99"/>
    <n v="4"/>
    <n v="0"/>
    <n v="14.99"/>
    <n v="59.96"/>
    <s v="Debit Card"/>
    <x v="3"/>
    <n v="4"/>
    <n v="34"/>
    <s v="Chicago"/>
    <x v="3"/>
    <s v="Female"/>
  </r>
  <r>
    <s v="ORD-20780"/>
    <s v="CUST-5096"/>
    <d v="2022-01-24T00:00:00"/>
    <x v="2"/>
    <s v="Blender"/>
    <n v="64.989999999999995"/>
    <n v="3"/>
    <n v="5"/>
    <n v="61.74"/>
    <n v="185.22"/>
    <s v="UPI"/>
    <x v="0"/>
    <n v="4"/>
    <n v="34"/>
    <s v="Chicago"/>
    <x v="3"/>
    <s v="Female"/>
  </r>
  <r>
    <s v="ORD-20781"/>
    <s v="CUST-5096"/>
    <d v="2024-06-26T00:00:00"/>
    <x v="3"/>
    <s v="Yoga Pants"/>
    <n v="44.99"/>
    <n v="3"/>
    <n v="10"/>
    <n v="40.49"/>
    <n v="121.47"/>
    <s v="UPI"/>
    <x v="0"/>
    <n v="4"/>
    <n v="34"/>
    <s v="Chicago"/>
    <x v="3"/>
    <s v="Female"/>
  </r>
  <r>
    <s v="ORD-20782"/>
    <s v="CUST-5096"/>
    <d v="2022-03-20T00:00:00"/>
    <x v="2"/>
    <s v="Coffee Maker"/>
    <n v="59.99"/>
    <n v="1"/>
    <n v="10"/>
    <n v="53.99"/>
    <n v="53.99"/>
    <s v="Debit Card"/>
    <x v="0"/>
    <n v="4"/>
    <n v="34"/>
    <s v="Chicago"/>
    <x v="3"/>
    <s v="Female"/>
  </r>
  <r>
    <s v="ORD-20783"/>
    <s v="CUST-5096"/>
    <d v="2023-02-04T00:00:00"/>
    <x v="4"/>
    <s v="Resistance Bands"/>
    <n v="19.989999999999998"/>
    <n v="1"/>
    <n v="0"/>
    <n v="19.989999999999998"/>
    <n v="19.989999999999998"/>
    <s v="Credit Card"/>
    <x v="2"/>
    <n v="4"/>
    <n v="34"/>
    <s v="Chicago"/>
    <x v="3"/>
    <s v="Female"/>
  </r>
  <r>
    <s v="ORD-20784"/>
    <s v="CUST-5096"/>
    <d v="2024-12-18T00:00:00"/>
    <x v="2"/>
    <s v="Coffee Maker"/>
    <n v="59.99"/>
    <n v="3"/>
    <n v="0"/>
    <n v="59.99"/>
    <n v="179.97"/>
    <s v="Credit Card"/>
    <x v="0"/>
    <m/>
    <n v="34"/>
    <s v="Chicago"/>
    <x v="3"/>
    <s v="Female"/>
  </r>
  <r>
    <s v="ORD-20785"/>
    <s v="CUST-5096"/>
    <d v="2024-10-24T00:00:00"/>
    <x v="3"/>
    <s v="Cotton T-Shirt"/>
    <n v="24.99"/>
    <n v="2"/>
    <n v="5"/>
    <n v="23.74"/>
    <n v="47.48"/>
    <s v="Debit Card"/>
    <x v="0"/>
    <n v="4"/>
    <n v="34"/>
    <s v="Chicago"/>
    <x v="3"/>
    <s v="Female"/>
  </r>
  <r>
    <s v="ORD-20786"/>
    <s v="CUST-5097"/>
    <d v="2024-05-18T00:00:00"/>
    <x v="2"/>
    <s v="Blender"/>
    <n v="64.989999999999995"/>
    <n v="2"/>
    <n v="15"/>
    <n v="55.24"/>
    <n v="110.48"/>
    <s v="Wallet"/>
    <x v="0"/>
    <m/>
    <n v="64"/>
    <s v="Chicago"/>
    <x v="2"/>
    <s v="Male"/>
  </r>
  <r>
    <s v="ORD-20787"/>
    <s v="CUST-5097"/>
    <d v="2023-12-03T00:00:00"/>
    <x v="5"/>
    <s v="Bluetooth Speaker"/>
    <n v="49.99"/>
    <n v="1"/>
    <n v="0"/>
    <n v="49.99"/>
    <n v="49.99"/>
    <s v="Wallet"/>
    <x v="0"/>
    <m/>
    <n v="64"/>
    <s v="Chicago"/>
    <x v="2"/>
    <s v="Male"/>
  </r>
  <r>
    <s v="ORD-20788"/>
    <s v="CUST-5097"/>
    <d v="2023-10-13T00:00:00"/>
    <x v="3"/>
    <s v="Running Shoes"/>
    <n v="89.99"/>
    <n v="2"/>
    <n v="0"/>
    <n v="89.99"/>
    <n v="179.98"/>
    <s v="Debit Card"/>
    <x v="0"/>
    <n v="4"/>
    <n v="64"/>
    <s v="Chicago"/>
    <x v="2"/>
    <s v="Male"/>
  </r>
  <r>
    <s v="ORD-20789"/>
    <s v="CUST-5097"/>
    <d v="2023-08-26T00:00:00"/>
    <x v="1"/>
    <s v="LEGO Classic Set"/>
    <n v="49.99"/>
    <n v="2"/>
    <n v="0"/>
    <n v="49.99"/>
    <n v="99.98"/>
    <s v="Debit Card"/>
    <x v="4"/>
    <n v="3"/>
    <n v="64"/>
    <s v="Chicago"/>
    <x v="2"/>
    <s v="Male"/>
  </r>
  <r>
    <s v="ORD-20790"/>
    <s v="CUST-5097"/>
    <d v="2024-01-26T00:00:00"/>
    <x v="0"/>
    <s v="Business Analytics"/>
    <n v="39.99"/>
    <n v="1"/>
    <n v="10"/>
    <n v="35.99"/>
    <n v="35.99"/>
    <s v="PayPal"/>
    <x v="3"/>
    <m/>
    <n v="64"/>
    <s v="Chicago"/>
    <x v="2"/>
    <s v="Male"/>
  </r>
  <r>
    <s v="ORD-20791"/>
    <s v="CUST-5097"/>
    <d v="2024-12-18T00:00:00"/>
    <x v="2"/>
    <s v="Blender"/>
    <n v="64.989999999999995"/>
    <n v="4"/>
    <n v="10"/>
    <n v="58.49"/>
    <n v="233.96"/>
    <s v="PayPal"/>
    <x v="0"/>
    <m/>
    <n v="64"/>
    <s v="Chicago"/>
    <x v="2"/>
    <s v="Male"/>
  </r>
  <r>
    <s v="ORD-20792"/>
    <s v="CUST-5097"/>
    <d v="2022-11-01T00:00:00"/>
    <x v="4"/>
    <s v="Yoga Mat"/>
    <n v="29.99"/>
    <n v="4"/>
    <n v="20"/>
    <n v="23.99"/>
    <n v="95.96"/>
    <s v="PayPal"/>
    <x v="0"/>
    <n v="4"/>
    <n v="64"/>
    <s v="Chicago"/>
    <x v="2"/>
    <s v="Male"/>
  </r>
  <r>
    <s v="ORD-20793"/>
    <s v="CUST-5097"/>
    <d v="2022-07-28T00:00:00"/>
    <x v="4"/>
    <s v="Resistance Bands"/>
    <n v="19.989999999999998"/>
    <n v="3"/>
    <n v="0"/>
    <n v="19.989999999999998"/>
    <n v="59.97"/>
    <s v="PayPal"/>
    <x v="0"/>
    <n v="4"/>
    <n v="64"/>
    <s v="Chicago"/>
    <x v="2"/>
    <s v="Male"/>
  </r>
  <r>
    <s v="ORD-20794"/>
    <s v="CUST-5097"/>
    <d v="2022-05-16T00:00:00"/>
    <x v="1"/>
    <s v="LEGO Classic Set"/>
    <n v="49.99"/>
    <n v="1"/>
    <n v="5"/>
    <n v="47.49"/>
    <n v="47.49"/>
    <s v="UPI"/>
    <x v="0"/>
    <m/>
    <n v="64"/>
    <s v="Chicago"/>
    <x v="2"/>
    <s v="Male"/>
  </r>
  <r>
    <s v="ORD-20795"/>
    <s v="CUST-5098"/>
    <d v="2024-01-10T00:00:00"/>
    <x v="1"/>
    <s v="Action Figure"/>
    <n v="19.989999999999998"/>
    <n v="3"/>
    <n v="0"/>
    <n v="19.989999999999998"/>
    <n v="59.97"/>
    <s v="UPI"/>
    <x v="0"/>
    <n v="4"/>
    <n v="35"/>
    <s v="San Diego"/>
    <x v="3"/>
    <s v="Female"/>
  </r>
  <r>
    <s v="ORD-20796"/>
    <s v="CUST-5098"/>
    <d v="2024-02-06T00:00:00"/>
    <x v="3"/>
    <s v="Cotton T-Shirt"/>
    <n v="24.99"/>
    <n v="4"/>
    <n v="0"/>
    <n v="24.99"/>
    <n v="99.96"/>
    <s v="Debit Card"/>
    <x v="0"/>
    <m/>
    <n v="35"/>
    <s v="San Diego"/>
    <x v="3"/>
    <s v="Female"/>
  </r>
  <r>
    <s v="ORD-20797"/>
    <s v="CUST-5098"/>
    <d v="2022-09-09T00:00:00"/>
    <x v="3"/>
    <s v="Cotton T-Shirt"/>
    <n v="24.99"/>
    <n v="4"/>
    <n v="0"/>
    <n v="24.99"/>
    <n v="99.96"/>
    <s v="Wallet"/>
    <x v="0"/>
    <m/>
    <n v="35"/>
    <s v="San Diego"/>
    <x v="3"/>
    <s v="Female"/>
  </r>
  <r>
    <s v="ORD-20798"/>
    <s v="CUST-5098"/>
    <d v="2024-06-15T00:00:00"/>
    <x v="4"/>
    <s v="Yoga Mat"/>
    <n v="29.99"/>
    <n v="2"/>
    <n v="10"/>
    <n v="26.99"/>
    <n v="53.98"/>
    <s v="Wallet"/>
    <x v="0"/>
    <n v="5"/>
    <n v="35"/>
    <s v="San Diego"/>
    <x v="3"/>
    <s v="Female"/>
  </r>
  <r>
    <s v="ORD-20799"/>
    <s v="CUST-5098"/>
    <d v="2024-01-19T00:00:00"/>
    <x v="5"/>
    <s v="Bluetooth Speaker"/>
    <n v="49.99"/>
    <n v="1"/>
    <n v="15"/>
    <n v="42.49"/>
    <n v="42.49"/>
    <s v="UPI"/>
    <x v="0"/>
    <n v="4"/>
    <n v="35"/>
    <s v="San Diego"/>
    <x v="3"/>
    <s v="Female"/>
  </r>
  <r>
    <s v="ORD-20800"/>
    <s v="CUST-5098"/>
    <d v="2023-03-26T00:00:00"/>
    <x v="3"/>
    <s v="Running Shoes"/>
    <n v="89.99"/>
    <n v="4"/>
    <n v="20"/>
    <n v="71.989999999999995"/>
    <n v="287.95999999999998"/>
    <s v="Wallet"/>
    <x v="0"/>
    <m/>
    <n v="35"/>
    <s v="San Diego"/>
    <x v="3"/>
    <s v="Female"/>
  </r>
  <r>
    <s v="ORD-20801"/>
    <s v="CUST-5098"/>
    <d v="2022-12-23T00:00:00"/>
    <x v="3"/>
    <s v="Running Shoes"/>
    <n v="89.99"/>
    <n v="1"/>
    <n v="5"/>
    <n v="85.49"/>
    <n v="85.49"/>
    <s v="UPI"/>
    <x v="0"/>
    <m/>
    <n v="35"/>
    <s v="San Diego"/>
    <x v="3"/>
    <s v="Female"/>
  </r>
  <r>
    <s v="ORD-20802"/>
    <s v="CUST-5098"/>
    <d v="2023-09-16T00:00:00"/>
    <x v="1"/>
    <s v="LEGO Classic Set"/>
    <n v="49.99"/>
    <n v="1"/>
    <n v="0"/>
    <n v="49.99"/>
    <n v="49.99"/>
    <s v="PayPal"/>
    <x v="4"/>
    <n v="4"/>
    <n v="35"/>
    <s v="San Diego"/>
    <x v="3"/>
    <s v="Female"/>
  </r>
  <r>
    <s v="ORD-20803"/>
    <s v="CUST-5098"/>
    <d v="2022-06-25T00:00:00"/>
    <x v="5"/>
    <s v="Bluetooth Speaker"/>
    <n v="49.99"/>
    <n v="1"/>
    <n v="5"/>
    <n v="47.49"/>
    <n v="47.49"/>
    <s v="Debit Card"/>
    <x v="0"/>
    <m/>
    <n v="35"/>
    <s v="San Diego"/>
    <x v="3"/>
    <s v="Female"/>
  </r>
  <r>
    <s v="ORD-20804"/>
    <s v="CUST-5098"/>
    <d v="2023-09-11T00:00:00"/>
    <x v="3"/>
    <s v="Denim Jacket"/>
    <n v="69.989999999999995"/>
    <n v="1"/>
    <n v="15"/>
    <n v="59.49"/>
    <n v="59.49"/>
    <s v="UPI"/>
    <x v="4"/>
    <n v="4"/>
    <n v="35"/>
    <s v="San Diego"/>
    <x v="3"/>
    <s v="Female"/>
  </r>
  <r>
    <s v="ORD-20805"/>
    <s v="CUST-5098"/>
    <d v="2023-04-02T00:00:00"/>
    <x v="1"/>
    <s v="Remote Control Car"/>
    <n v="39.99"/>
    <n v="4"/>
    <n v="20"/>
    <n v="31.99"/>
    <n v="127.96"/>
    <s v="PayPal"/>
    <x v="0"/>
    <m/>
    <n v="35"/>
    <s v="San Diego"/>
    <x v="3"/>
    <s v="Female"/>
  </r>
  <r>
    <s v="ORD-20806"/>
    <s v="CUST-5099"/>
    <d v="2022-02-21T00:00:00"/>
    <x v="1"/>
    <s v="Action Figure"/>
    <n v="19.989999999999998"/>
    <n v="1"/>
    <n v="10"/>
    <n v="17.989999999999998"/>
    <n v="17.989999999999998"/>
    <s v="PayPal"/>
    <x v="0"/>
    <n v="4"/>
    <n v="51"/>
    <s v="San Antonio"/>
    <x v="2"/>
    <s v="Male"/>
  </r>
  <r>
    <s v="ORD-20807"/>
    <s v="CUST-5099"/>
    <d v="2024-04-15T00:00:00"/>
    <x v="1"/>
    <s v="LEGO Classic Set"/>
    <n v="49.99"/>
    <n v="3"/>
    <n v="10"/>
    <n v="44.99"/>
    <n v="134.97"/>
    <s v="PayPal"/>
    <x v="0"/>
    <n v="3"/>
    <n v="51"/>
    <s v="San Antonio"/>
    <x v="2"/>
    <s v="Male"/>
  </r>
  <r>
    <s v="ORD-20808"/>
    <s v="CUST-5099"/>
    <d v="2022-04-06T00:00:00"/>
    <x v="0"/>
    <s v="Python for Beginners"/>
    <n v="29.99"/>
    <n v="1"/>
    <n v="10"/>
    <n v="26.99"/>
    <n v="26.99"/>
    <s v="UPI"/>
    <x v="0"/>
    <m/>
    <n v="51"/>
    <s v="San Antonio"/>
    <x v="2"/>
    <s v="Male"/>
  </r>
  <r>
    <s v="ORD-20809"/>
    <s v="CUST-5099"/>
    <d v="2023-09-08T00:00:00"/>
    <x v="1"/>
    <s v="Puzzle 1000pcs"/>
    <n v="24.99"/>
    <n v="3"/>
    <n v="15"/>
    <n v="21.24"/>
    <n v="63.72"/>
    <s v="UPI"/>
    <x v="1"/>
    <n v="5"/>
    <n v="51"/>
    <s v="San Antonio"/>
    <x v="2"/>
    <s v="Male"/>
  </r>
  <r>
    <s v="ORD-20810"/>
    <s v="CUST-5099"/>
    <d v="2024-02-24T00:00:00"/>
    <x v="2"/>
    <s v="Blender"/>
    <n v="64.989999999999995"/>
    <n v="1"/>
    <n v="0"/>
    <n v="64.989999999999995"/>
    <n v="64.989999999999995"/>
    <s v="PayPal"/>
    <x v="0"/>
    <n v="4"/>
    <n v="51"/>
    <s v="San Antonio"/>
    <x v="2"/>
    <s v="Male"/>
  </r>
  <r>
    <s v="ORD-20811"/>
    <s v="CUST-5099"/>
    <d v="2022-04-03T00:00:00"/>
    <x v="3"/>
    <s v="Yoga Pants"/>
    <n v="44.99"/>
    <n v="1"/>
    <n v="0"/>
    <n v="44.99"/>
    <n v="44.99"/>
    <s v="Debit Card"/>
    <x v="0"/>
    <n v="1"/>
    <n v="51"/>
    <s v="San Antonio"/>
    <x v="2"/>
    <s v="Male"/>
  </r>
  <r>
    <s v="ORD-20812"/>
    <s v="CUST-5099"/>
    <d v="2022-11-17T00:00:00"/>
    <x v="1"/>
    <s v="Action Figure"/>
    <n v="19.989999999999998"/>
    <n v="1"/>
    <n v="15"/>
    <n v="16.989999999999998"/>
    <n v="16.989999999999998"/>
    <s v="UPI"/>
    <x v="0"/>
    <n v="5"/>
    <n v="51"/>
    <s v="San Antonio"/>
    <x v="2"/>
    <s v="Male"/>
  </r>
  <r>
    <s v="ORD-20813"/>
    <s v="CUST-5099"/>
    <d v="2024-09-13T00:00:00"/>
    <x v="2"/>
    <s v="Non-stick Pan Set"/>
    <n v="44.99"/>
    <n v="3"/>
    <n v="0"/>
    <n v="44.99"/>
    <n v="134.97"/>
    <s v="Wallet"/>
    <x v="0"/>
    <n v="3"/>
    <n v="51"/>
    <s v="San Antonio"/>
    <x v="2"/>
    <s v="Male"/>
  </r>
  <r>
    <s v="ORD-20814"/>
    <s v="CUST-5099"/>
    <d v="2024-10-07T00:00:00"/>
    <x v="2"/>
    <s v="Non-stick Pan Set"/>
    <n v="44.99"/>
    <n v="2"/>
    <n v="10"/>
    <n v="40.49"/>
    <n v="80.98"/>
    <s v="PayPal"/>
    <x v="0"/>
    <n v="5"/>
    <n v="51"/>
    <s v="San Antonio"/>
    <x v="2"/>
    <s v="Male"/>
  </r>
  <r>
    <s v="ORD-20815"/>
    <s v="CUST-5100"/>
    <d v="2023-02-11T00:00:00"/>
    <x v="3"/>
    <s v="Cotton T-Shirt"/>
    <n v="24.99"/>
    <n v="3"/>
    <n v="5"/>
    <n v="23.74"/>
    <n v="71.22"/>
    <s v="Credit Card"/>
    <x v="0"/>
    <n v="4"/>
    <n v="32"/>
    <s v="Phoenix"/>
    <x v="2"/>
    <s v="Female"/>
  </r>
  <r>
    <s v="ORD-20816"/>
    <s v="CUST-5100"/>
    <d v="2024-04-25T00:00:00"/>
    <x v="4"/>
    <s v="Yoga Mat"/>
    <n v="29.99"/>
    <n v="3"/>
    <n v="0"/>
    <n v="29.99"/>
    <n v="89.97"/>
    <s v="Wallet"/>
    <x v="0"/>
    <n v="4"/>
    <n v="32"/>
    <s v="Phoenix"/>
    <x v="2"/>
    <s v="Female"/>
  </r>
  <r>
    <s v="ORD-20817"/>
    <s v="CUST-5100"/>
    <d v="2022-04-01T00:00:00"/>
    <x v="1"/>
    <s v="Remote Control Car"/>
    <n v="39.99"/>
    <n v="4"/>
    <n v="20"/>
    <n v="31.99"/>
    <n v="127.96"/>
    <s v="PayPal"/>
    <x v="0"/>
    <n v="4"/>
    <n v="32"/>
    <s v="Phoenix"/>
    <x v="2"/>
    <s v="Female"/>
  </r>
  <r>
    <s v="ORD-20818"/>
    <s v="CUST-5100"/>
    <d v="2024-01-24T00:00:00"/>
    <x v="4"/>
    <s v="Jump Rope"/>
    <n v="14.99"/>
    <n v="1"/>
    <n v="10"/>
    <n v="13.49"/>
    <n v="13.49"/>
    <s v="Debit Card"/>
    <x v="0"/>
    <n v="4"/>
    <n v="32"/>
    <s v="Phoenix"/>
    <x v="2"/>
    <s v="Female"/>
  </r>
  <r>
    <s v="ORD-20819"/>
    <s v="CUST-5100"/>
    <d v="2024-04-16T00:00:00"/>
    <x v="3"/>
    <s v="Running Shoes"/>
    <n v="89.99"/>
    <n v="1"/>
    <n v="0"/>
    <n v="89.99"/>
    <n v="89.99"/>
    <s v="PayPal"/>
    <x v="0"/>
    <n v="3"/>
    <n v="32"/>
    <s v="Phoenix"/>
    <x v="2"/>
    <s v="Female"/>
  </r>
  <r>
    <s v="ORD-20820"/>
    <s v="CUST-5100"/>
    <d v="2023-04-12T00:00:00"/>
    <x v="3"/>
    <s v="Running Shoes"/>
    <n v="89.99"/>
    <n v="1"/>
    <n v="5"/>
    <n v="85.49"/>
    <n v="85.49"/>
    <s v="Credit Card"/>
    <x v="0"/>
    <n v="5"/>
    <n v="32"/>
    <s v="Phoenix"/>
    <x v="2"/>
    <s v="Female"/>
  </r>
  <r>
    <s v="ORD-20821"/>
    <s v="CUST-5100"/>
    <d v="2022-10-24T00:00:00"/>
    <x v="4"/>
    <s v="Resistance Bands"/>
    <n v="19.989999999999998"/>
    <n v="3"/>
    <n v="0"/>
    <n v="19.989999999999998"/>
    <n v="59.97"/>
    <s v="Debit Card"/>
    <x v="0"/>
    <n v="5"/>
    <n v="32"/>
    <s v="Phoenix"/>
    <x v="2"/>
    <s v="Female"/>
  </r>
  <r>
    <s v="ORD-20822"/>
    <s v="CUST-5100"/>
    <d v="2024-01-12T00:00:00"/>
    <x v="3"/>
    <s v="Yoga Pants"/>
    <n v="44.99"/>
    <n v="1"/>
    <n v="10"/>
    <n v="40.49"/>
    <n v="40.49"/>
    <s v="Credit Card"/>
    <x v="0"/>
    <n v="4"/>
    <n v="32"/>
    <s v="Phoenix"/>
    <x v="2"/>
    <s v="Female"/>
  </r>
  <r>
    <s v="ORD-20823"/>
    <s v="CUST-5100"/>
    <d v="2022-03-28T00:00:00"/>
    <x v="2"/>
    <s v="Non-stick Pan Set"/>
    <n v="44.99"/>
    <n v="3"/>
    <n v="5"/>
    <n v="42.74"/>
    <n v="128.22"/>
    <s v="PayPal"/>
    <x v="0"/>
    <n v="4"/>
    <n v="32"/>
    <s v="Phoenix"/>
    <x v="2"/>
    <s v="Female"/>
  </r>
  <r>
    <s v="ORD-20824"/>
    <s v="CUST-5100"/>
    <d v="2023-01-19T00:00:00"/>
    <x v="6"/>
    <s v="Moisturizer SPF 50"/>
    <n v="29.99"/>
    <n v="1"/>
    <n v="15"/>
    <n v="25.49"/>
    <n v="25.49"/>
    <s v="PayPal"/>
    <x v="0"/>
    <m/>
    <n v="32"/>
    <s v="Phoenix"/>
    <x v="2"/>
    <s v="Female"/>
  </r>
  <r>
    <s v="ORD-20825"/>
    <s v="CUST-5100"/>
    <d v="2023-10-25T00:00:00"/>
    <x v="4"/>
    <s v="Jump Rope"/>
    <n v="14.99"/>
    <n v="4"/>
    <n v="0"/>
    <n v="14.99"/>
    <n v="59.96"/>
    <s v="Credit Card"/>
    <x v="0"/>
    <n v="5"/>
    <n v="32"/>
    <s v="Phoenix"/>
    <x v="2"/>
    <s v="Female"/>
  </r>
  <r>
    <s v="ORD-20826"/>
    <s v="CUST-5101"/>
    <d v="2022-07-08T00:00:00"/>
    <x v="4"/>
    <s v="Water Bottle"/>
    <n v="24.99"/>
    <n v="2"/>
    <n v="0"/>
    <n v="24.99"/>
    <n v="49.98"/>
    <s v="Credit Card"/>
    <x v="0"/>
    <n v="5"/>
    <n v="58"/>
    <s v="San Jose"/>
    <x v="2"/>
    <s v="Female"/>
  </r>
  <r>
    <s v="ORD-20827"/>
    <s v="CUST-5101"/>
    <d v="2022-09-15T00:00:00"/>
    <x v="2"/>
    <s v="Air Fryer"/>
    <n v="89.99"/>
    <n v="1"/>
    <n v="10"/>
    <n v="80.989999999999995"/>
    <n v="80.989999999999995"/>
    <s v="PayPal"/>
    <x v="0"/>
    <n v="3"/>
    <n v="58"/>
    <s v="San Jose"/>
    <x v="2"/>
    <s v="Female"/>
  </r>
  <r>
    <s v="ORD-20828"/>
    <s v="CUST-5101"/>
    <d v="2022-10-08T00:00:00"/>
    <x v="1"/>
    <s v="Action Figure"/>
    <n v="19.989999999999998"/>
    <n v="1"/>
    <n v="20"/>
    <n v="15.99"/>
    <n v="15.99"/>
    <s v="Wallet"/>
    <x v="0"/>
    <n v="5"/>
    <n v="58"/>
    <s v="San Jose"/>
    <x v="2"/>
    <s v="Female"/>
  </r>
  <r>
    <s v="ORD-20829"/>
    <s v="CUST-5101"/>
    <d v="2023-11-24T00:00:00"/>
    <x v="2"/>
    <s v="Non-stick Pan Set"/>
    <n v="44.99"/>
    <n v="1"/>
    <n v="10"/>
    <n v="40.49"/>
    <n v="40.49"/>
    <s v="Wallet"/>
    <x v="0"/>
    <n v="2"/>
    <n v="58"/>
    <s v="San Jose"/>
    <x v="2"/>
    <s v="Female"/>
  </r>
  <r>
    <s v="ORD-20830"/>
    <s v="CUST-5101"/>
    <d v="2022-02-24T00:00:00"/>
    <x v="2"/>
    <s v="Coffee Maker"/>
    <n v="59.99"/>
    <n v="1"/>
    <n v="5"/>
    <n v="56.99"/>
    <n v="56.99"/>
    <s v="PayPal"/>
    <x v="0"/>
    <n v="3"/>
    <n v="58"/>
    <s v="San Jose"/>
    <x v="2"/>
    <s v="Female"/>
  </r>
  <r>
    <s v="ORD-20831"/>
    <s v="CUST-5101"/>
    <d v="2022-04-25T00:00:00"/>
    <x v="4"/>
    <s v="Jump Rope"/>
    <n v="14.99"/>
    <n v="1"/>
    <n v="5"/>
    <n v="14.24"/>
    <n v="14.24"/>
    <s v="Wallet"/>
    <x v="0"/>
    <n v="4"/>
    <n v="58"/>
    <s v="San Jose"/>
    <x v="2"/>
    <s v="Female"/>
  </r>
  <r>
    <s v="ORD-20832"/>
    <s v="CUST-5101"/>
    <d v="2024-01-14T00:00:00"/>
    <x v="2"/>
    <s v="Blender"/>
    <n v="64.989999999999995"/>
    <n v="2"/>
    <n v="10"/>
    <n v="58.49"/>
    <n v="116.98"/>
    <s v="Credit Card"/>
    <x v="0"/>
    <n v="4"/>
    <n v="58"/>
    <s v="San Jose"/>
    <x v="2"/>
    <s v="Female"/>
  </r>
  <r>
    <s v="ORD-20833"/>
    <s v="CUST-5102"/>
    <d v="2023-07-11T00:00:00"/>
    <x v="5"/>
    <s v="USB-C Hub"/>
    <n v="34.99"/>
    <n v="4"/>
    <n v="0"/>
    <n v="34.99"/>
    <n v="139.96"/>
    <s v="Credit Card"/>
    <x v="0"/>
    <m/>
    <n v="57"/>
    <s v="San Jose"/>
    <x v="2"/>
    <s v="Male"/>
  </r>
  <r>
    <s v="ORD-20834"/>
    <s v="CUST-5102"/>
    <d v="2023-03-23T00:00:00"/>
    <x v="5"/>
    <s v="Bluetooth Speaker"/>
    <n v="49.99"/>
    <n v="2"/>
    <n v="10"/>
    <n v="44.99"/>
    <n v="89.98"/>
    <s v="Credit Card"/>
    <x v="0"/>
    <n v="2"/>
    <n v="57"/>
    <s v="San Jose"/>
    <x v="2"/>
    <s v="Male"/>
  </r>
  <r>
    <s v="ORD-20835"/>
    <s v="CUST-5102"/>
    <d v="2023-12-10T00:00:00"/>
    <x v="0"/>
    <s v="Business Analytics"/>
    <n v="39.99"/>
    <n v="4"/>
    <n v="5"/>
    <n v="37.99"/>
    <n v="151.96"/>
    <s v="Wallet"/>
    <x v="0"/>
    <m/>
    <n v="57"/>
    <s v="San Jose"/>
    <x v="2"/>
    <s v="Male"/>
  </r>
  <r>
    <s v="ORD-20836"/>
    <s v="CUST-5102"/>
    <d v="2022-09-18T00:00:00"/>
    <x v="5"/>
    <s v="Smart Watch"/>
    <n v="199.99"/>
    <n v="4"/>
    <n v="0"/>
    <n v="199.99"/>
    <n v="799.96"/>
    <s v="Wallet"/>
    <x v="0"/>
    <n v="4"/>
    <n v="57"/>
    <s v="San Jose"/>
    <x v="2"/>
    <s v="Male"/>
  </r>
  <r>
    <s v="ORD-20837"/>
    <s v="CUST-5102"/>
    <d v="2024-03-24T00:00:00"/>
    <x v="4"/>
    <s v="Yoga Mat"/>
    <n v="29.99"/>
    <n v="1"/>
    <n v="15"/>
    <n v="25.49"/>
    <n v="25.49"/>
    <s v="Debit Card"/>
    <x v="2"/>
    <n v="2"/>
    <n v="57"/>
    <s v="San Jose"/>
    <x v="2"/>
    <s v="Male"/>
  </r>
  <r>
    <s v="ORD-20838"/>
    <s v="CUST-5102"/>
    <d v="2022-05-19T00:00:00"/>
    <x v="6"/>
    <s v="Lip Balm Set"/>
    <n v="14.99"/>
    <n v="1"/>
    <n v="10"/>
    <n v="13.49"/>
    <n v="13.49"/>
    <s v="PayPal"/>
    <x v="4"/>
    <n v="4"/>
    <n v="57"/>
    <s v="San Jose"/>
    <x v="2"/>
    <s v="Male"/>
  </r>
  <r>
    <s v="ORD-20839"/>
    <s v="CUST-5102"/>
    <d v="2024-12-26T00:00:00"/>
    <x v="4"/>
    <s v="Jump Rope"/>
    <n v="14.99"/>
    <n v="4"/>
    <n v="20"/>
    <n v="11.99"/>
    <n v="47.96"/>
    <s v="Credit Card"/>
    <x v="0"/>
    <n v="3"/>
    <n v="57"/>
    <s v="San Jose"/>
    <x v="2"/>
    <s v="Male"/>
  </r>
  <r>
    <s v="ORD-20840"/>
    <s v="CUST-5102"/>
    <d v="2023-03-13T00:00:00"/>
    <x v="6"/>
    <s v="Hair Mask"/>
    <n v="24.99"/>
    <n v="4"/>
    <n v="0"/>
    <n v="24.99"/>
    <n v="99.96"/>
    <s v="Credit Card"/>
    <x v="0"/>
    <n v="5"/>
    <n v="57"/>
    <s v="San Jose"/>
    <x v="2"/>
    <s v="Male"/>
  </r>
  <r>
    <s v="ORD-20841"/>
    <s v="CUST-5102"/>
    <d v="2023-08-17T00:00:00"/>
    <x v="6"/>
    <s v="Moisturizer SPF 50"/>
    <n v="29.99"/>
    <n v="3"/>
    <n v="0"/>
    <n v="29.99"/>
    <n v="89.97"/>
    <s v="PayPal"/>
    <x v="0"/>
    <n v="5"/>
    <n v="57"/>
    <s v="San Jose"/>
    <x v="2"/>
    <s v="Male"/>
  </r>
  <r>
    <s v="ORD-20842"/>
    <s v="CUST-5102"/>
    <d v="2023-04-15T00:00:00"/>
    <x v="5"/>
    <s v="USB-C Hub"/>
    <n v="34.99"/>
    <n v="3"/>
    <n v="0"/>
    <n v="34.99"/>
    <n v="104.97"/>
    <s v="Debit Card"/>
    <x v="0"/>
    <m/>
    <n v="57"/>
    <s v="San Jose"/>
    <x v="2"/>
    <s v="Male"/>
  </r>
  <r>
    <s v="ORD-20843"/>
    <s v="CUST-5102"/>
    <d v="2022-02-15T00:00:00"/>
    <x v="0"/>
    <s v="Business Analytics"/>
    <n v="39.99"/>
    <n v="3"/>
    <n v="20"/>
    <n v="31.99"/>
    <n v="95.97"/>
    <s v="Wallet"/>
    <x v="0"/>
    <n v="4"/>
    <n v="57"/>
    <s v="San Jose"/>
    <x v="2"/>
    <s v="Male"/>
  </r>
  <r>
    <s v="ORD-20844"/>
    <s v="CUST-5102"/>
    <d v="2022-07-20T00:00:00"/>
    <x v="6"/>
    <s v="Hair Mask"/>
    <n v="24.99"/>
    <n v="2"/>
    <n v="0"/>
    <n v="24.99"/>
    <n v="49.98"/>
    <s v="Wallet"/>
    <x v="0"/>
    <n v="3"/>
    <n v="57"/>
    <s v="San Jose"/>
    <x v="2"/>
    <s v="Male"/>
  </r>
  <r>
    <s v="ORD-20845"/>
    <s v="CUST-5102"/>
    <d v="2023-10-10T00:00:00"/>
    <x v="3"/>
    <s v="Cotton T-Shirt"/>
    <n v="24.99"/>
    <n v="2"/>
    <n v="5"/>
    <n v="23.74"/>
    <n v="47.48"/>
    <s v="UPI"/>
    <x v="0"/>
    <m/>
    <n v="57"/>
    <s v="San Jose"/>
    <x v="2"/>
    <s v="Male"/>
  </r>
  <r>
    <s v="ORD-20846"/>
    <s v="CUST-5102"/>
    <d v="2023-03-21T00:00:00"/>
    <x v="6"/>
    <s v="Face Serum"/>
    <n v="39.99"/>
    <n v="1"/>
    <n v="20"/>
    <n v="31.99"/>
    <n v="31.99"/>
    <s v="Credit Card"/>
    <x v="0"/>
    <n v="5"/>
    <n v="57"/>
    <s v="San Jose"/>
    <x v="2"/>
    <s v="Male"/>
  </r>
  <r>
    <s v="ORD-20847"/>
    <s v="CUST-5102"/>
    <d v="2024-04-20T00:00:00"/>
    <x v="4"/>
    <s v="Yoga Mat"/>
    <n v="29.99"/>
    <n v="3"/>
    <n v="0"/>
    <n v="29.99"/>
    <n v="89.97"/>
    <s v="Credit Card"/>
    <x v="0"/>
    <n v="2"/>
    <n v="57"/>
    <s v="San Jose"/>
    <x v="2"/>
    <s v="Male"/>
  </r>
  <r>
    <s v="ORD-20848"/>
    <s v="CUST-5103"/>
    <d v="2022-04-25T00:00:00"/>
    <x v="2"/>
    <s v="Air Fryer"/>
    <n v="89.99"/>
    <n v="3"/>
    <n v="5"/>
    <n v="85.49"/>
    <n v="256.47000000000003"/>
    <s v="Debit Card"/>
    <x v="0"/>
    <n v="1"/>
    <n v="47"/>
    <s v="Chicago"/>
    <x v="2"/>
    <s v="Female"/>
  </r>
  <r>
    <s v="ORD-20849"/>
    <s v="CUST-5104"/>
    <d v="2022-09-10T00:00:00"/>
    <x v="0"/>
    <s v="Business Analytics"/>
    <n v="39.99"/>
    <n v="4"/>
    <n v="10"/>
    <n v="35.99"/>
    <n v="143.96"/>
    <s v="Credit Card"/>
    <x v="0"/>
    <n v="4"/>
    <n v="59"/>
    <s v="San Jose"/>
    <x v="2"/>
    <s v="Female"/>
  </r>
  <r>
    <s v="ORD-20850"/>
    <s v="CUST-5104"/>
    <d v="2022-07-05T00:00:00"/>
    <x v="4"/>
    <s v="Resistance Bands"/>
    <n v="19.989999999999998"/>
    <n v="1"/>
    <n v="0"/>
    <n v="19.989999999999998"/>
    <n v="19.989999999999998"/>
    <s v="UPI"/>
    <x v="0"/>
    <n v="2"/>
    <n v="59"/>
    <s v="San Jose"/>
    <x v="2"/>
    <s v="Female"/>
  </r>
  <r>
    <s v="ORD-20851"/>
    <s v="CUST-5104"/>
    <d v="2023-10-21T00:00:00"/>
    <x v="6"/>
    <s v="Hair Mask"/>
    <n v="24.99"/>
    <n v="1"/>
    <n v="20"/>
    <n v="19.989999999999998"/>
    <n v="19.989999999999998"/>
    <s v="Debit Card"/>
    <x v="4"/>
    <m/>
    <n v="59"/>
    <s v="San Jose"/>
    <x v="2"/>
    <s v="Female"/>
  </r>
  <r>
    <s v="ORD-20852"/>
    <s v="CUST-5104"/>
    <d v="2022-01-19T00:00:00"/>
    <x v="1"/>
    <s v="LEGO Classic Set"/>
    <n v="49.99"/>
    <n v="4"/>
    <n v="15"/>
    <n v="42.49"/>
    <n v="169.96"/>
    <s v="Wallet"/>
    <x v="0"/>
    <n v="5"/>
    <n v="59"/>
    <s v="San Jose"/>
    <x v="2"/>
    <s v="Female"/>
  </r>
  <r>
    <s v="ORD-20853"/>
    <s v="CUST-5104"/>
    <d v="2022-12-08T00:00:00"/>
    <x v="0"/>
    <s v="Data Science Handbook"/>
    <n v="49.99"/>
    <n v="4"/>
    <n v="0"/>
    <n v="49.99"/>
    <n v="199.96"/>
    <s v="Credit Card"/>
    <x v="0"/>
    <n v="3"/>
    <n v="59"/>
    <s v="San Jose"/>
    <x v="2"/>
    <s v="Female"/>
  </r>
  <r>
    <s v="ORD-20854"/>
    <s v="CUST-5104"/>
    <d v="2024-01-17T00:00:00"/>
    <x v="0"/>
    <s v="Python for Beginners"/>
    <n v="29.99"/>
    <n v="2"/>
    <n v="0"/>
    <n v="29.99"/>
    <n v="59.98"/>
    <s v="UPI"/>
    <x v="0"/>
    <m/>
    <n v="59"/>
    <s v="San Jose"/>
    <x v="2"/>
    <s v="Female"/>
  </r>
  <r>
    <s v="ORD-20855"/>
    <s v="CUST-5105"/>
    <d v="2024-11-28T00:00:00"/>
    <x v="1"/>
    <s v="LEGO Classic Set"/>
    <n v="49.99"/>
    <n v="1"/>
    <n v="20"/>
    <n v="39.99"/>
    <n v="39.99"/>
    <s v="Credit Card"/>
    <x v="0"/>
    <m/>
    <n v="53"/>
    <s v="Austin"/>
    <x v="2"/>
    <s v="Female"/>
  </r>
  <r>
    <s v="ORD-20856"/>
    <s v="CUST-5105"/>
    <d v="2022-09-26T00:00:00"/>
    <x v="1"/>
    <s v="Action Figure"/>
    <n v="19.989999999999998"/>
    <n v="4"/>
    <n v="0"/>
    <n v="19.989999999999998"/>
    <n v="79.959999999999994"/>
    <s v="Credit Card"/>
    <x v="0"/>
    <n v="5"/>
    <n v="53"/>
    <s v="Austin"/>
    <x v="2"/>
    <s v="Female"/>
  </r>
  <r>
    <s v="ORD-20857"/>
    <s v="CUST-5105"/>
    <d v="2024-08-22T00:00:00"/>
    <x v="0"/>
    <s v="Business Analytics"/>
    <n v="39.99"/>
    <n v="4"/>
    <n v="15"/>
    <n v="33.99"/>
    <n v="135.96"/>
    <s v="PayPal"/>
    <x v="0"/>
    <n v="5"/>
    <n v="53"/>
    <s v="Austin"/>
    <x v="2"/>
    <s v="Female"/>
  </r>
  <r>
    <s v="ORD-20858"/>
    <s v="CUST-5105"/>
    <d v="2024-02-19T00:00:00"/>
    <x v="6"/>
    <s v="Moisturizer SPF 50"/>
    <n v="29.99"/>
    <n v="3"/>
    <n v="20"/>
    <n v="23.99"/>
    <n v="71.97"/>
    <s v="Debit Card"/>
    <x v="0"/>
    <m/>
    <n v="53"/>
    <s v="Austin"/>
    <x v="2"/>
    <s v="Female"/>
  </r>
  <r>
    <s v="ORD-20859"/>
    <s v="CUST-5105"/>
    <d v="2023-09-07T00:00:00"/>
    <x v="0"/>
    <s v="Fiction Novel"/>
    <n v="14.99"/>
    <n v="4"/>
    <n v="15"/>
    <n v="12.74"/>
    <n v="50.96"/>
    <s v="UPI"/>
    <x v="0"/>
    <m/>
    <n v="53"/>
    <s v="Austin"/>
    <x v="2"/>
    <s v="Female"/>
  </r>
  <r>
    <s v="ORD-20860"/>
    <s v="CUST-5105"/>
    <d v="2023-02-27T00:00:00"/>
    <x v="4"/>
    <s v="Yoga Mat"/>
    <n v="29.99"/>
    <n v="4"/>
    <n v="0"/>
    <n v="29.99"/>
    <n v="119.96"/>
    <s v="Credit Card"/>
    <x v="0"/>
    <n v="5"/>
    <n v="53"/>
    <s v="Austin"/>
    <x v="2"/>
    <s v="Female"/>
  </r>
  <r>
    <s v="ORD-20861"/>
    <s v="CUST-5105"/>
    <d v="2022-08-16T00:00:00"/>
    <x v="4"/>
    <s v="Jump Rope"/>
    <n v="14.99"/>
    <n v="1"/>
    <n v="5"/>
    <n v="14.24"/>
    <n v="14.24"/>
    <s v="Wallet"/>
    <x v="0"/>
    <n v="4"/>
    <n v="53"/>
    <s v="Austin"/>
    <x v="2"/>
    <s v="Female"/>
  </r>
  <r>
    <s v="ORD-20862"/>
    <s v="CUST-5106"/>
    <d v="2024-04-20T00:00:00"/>
    <x v="2"/>
    <s v="Non-stick Pan Set"/>
    <n v="44.99"/>
    <n v="2"/>
    <n v="15"/>
    <n v="38.24"/>
    <n v="76.48"/>
    <s v="Wallet"/>
    <x v="0"/>
    <n v="5"/>
    <n v="21"/>
    <s v="Philadelphia"/>
    <x v="0"/>
    <s v="Male"/>
  </r>
  <r>
    <s v="ORD-20863"/>
    <s v="CUST-5106"/>
    <d v="2022-10-25T00:00:00"/>
    <x v="2"/>
    <s v="Air Fryer"/>
    <n v="89.99"/>
    <n v="2"/>
    <n v="0"/>
    <n v="89.99"/>
    <n v="179.98"/>
    <s v="Debit Card"/>
    <x v="0"/>
    <n v="5"/>
    <n v="21"/>
    <s v="Philadelphia"/>
    <x v="0"/>
    <s v="Male"/>
  </r>
  <r>
    <s v="ORD-20864"/>
    <s v="CUST-5106"/>
    <d v="2024-03-03T00:00:00"/>
    <x v="2"/>
    <s v="Non-stick Pan Set"/>
    <n v="44.99"/>
    <n v="4"/>
    <n v="0"/>
    <n v="44.99"/>
    <n v="179.96"/>
    <s v="Debit Card"/>
    <x v="0"/>
    <m/>
    <n v="21"/>
    <s v="Philadelphia"/>
    <x v="0"/>
    <s v="Male"/>
  </r>
  <r>
    <s v="ORD-20865"/>
    <s v="CUST-5106"/>
    <d v="2024-09-12T00:00:00"/>
    <x v="3"/>
    <s v="Yoga Pants"/>
    <n v="44.99"/>
    <n v="2"/>
    <n v="0"/>
    <n v="44.99"/>
    <n v="89.98"/>
    <s v="Wallet"/>
    <x v="0"/>
    <m/>
    <n v="21"/>
    <s v="Philadelphia"/>
    <x v="0"/>
    <s v="Male"/>
  </r>
  <r>
    <s v="ORD-20866"/>
    <s v="CUST-5106"/>
    <d v="2024-12-09T00:00:00"/>
    <x v="0"/>
    <s v="Python for Beginners"/>
    <n v="29.99"/>
    <n v="2"/>
    <n v="15"/>
    <n v="25.49"/>
    <n v="50.98"/>
    <s v="UPI"/>
    <x v="0"/>
    <n v="4"/>
    <n v="21"/>
    <s v="Philadelphia"/>
    <x v="0"/>
    <s v="Male"/>
  </r>
  <r>
    <s v="ORD-20867"/>
    <s v="CUST-5106"/>
    <d v="2023-12-04T00:00:00"/>
    <x v="6"/>
    <s v="Moisturizer SPF 50"/>
    <n v="29.99"/>
    <n v="2"/>
    <n v="0"/>
    <n v="29.99"/>
    <n v="59.98"/>
    <s v="Credit Card"/>
    <x v="0"/>
    <n v="3"/>
    <n v="21"/>
    <s v="Philadelphia"/>
    <x v="0"/>
    <s v="Male"/>
  </r>
  <r>
    <s v="ORD-20868"/>
    <s v="CUST-5106"/>
    <d v="2023-04-04T00:00:00"/>
    <x v="6"/>
    <s v="Hair Mask"/>
    <n v="24.99"/>
    <n v="1"/>
    <n v="0"/>
    <n v="24.99"/>
    <n v="24.99"/>
    <s v="UPI"/>
    <x v="0"/>
    <n v="2"/>
    <n v="21"/>
    <s v="Philadelphia"/>
    <x v="0"/>
    <s v="Male"/>
  </r>
  <r>
    <s v="ORD-20869"/>
    <s v="CUST-5106"/>
    <d v="2022-01-13T00:00:00"/>
    <x v="1"/>
    <s v="Remote Control Car"/>
    <n v="39.99"/>
    <n v="2"/>
    <n v="10"/>
    <n v="35.99"/>
    <n v="71.98"/>
    <s v="Wallet"/>
    <x v="0"/>
    <n v="3"/>
    <n v="21"/>
    <s v="Philadelphia"/>
    <x v="0"/>
    <s v="Male"/>
  </r>
  <r>
    <s v="ORD-20870"/>
    <s v="CUST-5106"/>
    <d v="2024-12-13T00:00:00"/>
    <x v="3"/>
    <s v="Denim Jacket"/>
    <n v="69.989999999999995"/>
    <n v="3"/>
    <n v="5"/>
    <n v="66.489999999999995"/>
    <n v="199.47"/>
    <s v="Credit Card"/>
    <x v="0"/>
    <n v="3"/>
    <n v="21"/>
    <s v="Philadelphia"/>
    <x v="0"/>
    <s v="Male"/>
  </r>
  <r>
    <s v="ORD-20871"/>
    <s v="CUST-5106"/>
    <d v="2022-04-17T00:00:00"/>
    <x v="5"/>
    <s v="Wireless Earbuds"/>
    <n v="79.989999999999995"/>
    <n v="3"/>
    <n v="5"/>
    <n v="75.989999999999995"/>
    <n v="227.97"/>
    <s v="Wallet"/>
    <x v="0"/>
    <n v="1"/>
    <n v="21"/>
    <s v="Philadelphia"/>
    <x v="0"/>
    <s v="Male"/>
  </r>
  <r>
    <s v="ORD-20872"/>
    <s v="CUST-5106"/>
    <d v="2022-04-14T00:00:00"/>
    <x v="5"/>
    <s v="USB-C Hub"/>
    <n v="34.99"/>
    <n v="4"/>
    <n v="5"/>
    <n v="33.24"/>
    <n v="132.96"/>
    <s v="Credit Card"/>
    <x v="0"/>
    <m/>
    <n v="21"/>
    <s v="Philadelphia"/>
    <x v="0"/>
    <s v="Male"/>
  </r>
  <r>
    <s v="ORD-20873"/>
    <s v="CUST-5107"/>
    <d v="2023-03-07T00:00:00"/>
    <x v="4"/>
    <s v="Water Bottle"/>
    <n v="24.99"/>
    <n v="4"/>
    <n v="0"/>
    <n v="24.99"/>
    <n v="99.96"/>
    <s v="UPI"/>
    <x v="0"/>
    <n v="3"/>
    <n v="33"/>
    <s v="Houston"/>
    <x v="0"/>
    <s v="Male"/>
  </r>
  <r>
    <s v="ORD-20874"/>
    <s v="CUST-5107"/>
    <d v="2024-10-04T00:00:00"/>
    <x v="3"/>
    <s v="Cotton T-Shirt"/>
    <n v="24.99"/>
    <n v="3"/>
    <n v="0"/>
    <n v="24.99"/>
    <n v="74.97"/>
    <s v="Credit Card"/>
    <x v="3"/>
    <n v="4"/>
    <n v="33"/>
    <s v="Houston"/>
    <x v="0"/>
    <s v="Male"/>
  </r>
  <r>
    <s v="ORD-20875"/>
    <s v="CUST-5107"/>
    <d v="2022-01-01T00:00:00"/>
    <x v="3"/>
    <s v="Running Shoes"/>
    <n v="89.99"/>
    <n v="3"/>
    <n v="5"/>
    <n v="85.49"/>
    <n v="256.47000000000003"/>
    <s v="UPI"/>
    <x v="0"/>
    <m/>
    <n v="33"/>
    <s v="Houston"/>
    <x v="0"/>
    <s v="Male"/>
  </r>
  <r>
    <s v="ORD-20876"/>
    <s v="CUST-5108"/>
    <d v="2024-06-22T00:00:00"/>
    <x v="0"/>
    <s v="Fiction Novel"/>
    <n v="14.99"/>
    <n v="3"/>
    <n v="0"/>
    <n v="14.99"/>
    <n v="44.97"/>
    <s v="Credit Card"/>
    <x v="0"/>
    <n v="5"/>
    <n v="23"/>
    <s v="San Diego"/>
    <x v="2"/>
    <s v="Female"/>
  </r>
  <r>
    <s v="ORD-20877"/>
    <s v="CUST-5108"/>
    <d v="2023-12-23T00:00:00"/>
    <x v="0"/>
    <s v="Business Analytics"/>
    <n v="39.99"/>
    <n v="1"/>
    <n v="0"/>
    <n v="39.99"/>
    <n v="39.99"/>
    <s v="PayPal"/>
    <x v="2"/>
    <n v="4"/>
    <n v="23"/>
    <s v="San Diego"/>
    <x v="2"/>
    <s v="Female"/>
  </r>
  <r>
    <s v="ORD-20878"/>
    <s v="CUST-5108"/>
    <d v="2023-12-17T00:00:00"/>
    <x v="3"/>
    <s v="Denim Jacket"/>
    <n v="69.989999999999995"/>
    <n v="1"/>
    <n v="15"/>
    <n v="59.49"/>
    <n v="59.49"/>
    <s v="PayPal"/>
    <x v="0"/>
    <m/>
    <n v="23"/>
    <s v="San Diego"/>
    <x v="2"/>
    <s v="Female"/>
  </r>
  <r>
    <s v="ORD-20879"/>
    <s v="CUST-5108"/>
    <d v="2024-08-15T00:00:00"/>
    <x v="3"/>
    <s v="Cotton T-Shirt"/>
    <n v="24.99"/>
    <n v="1"/>
    <n v="0"/>
    <n v="24.99"/>
    <n v="24.99"/>
    <s v="Credit Card"/>
    <x v="0"/>
    <n v="3"/>
    <n v="23"/>
    <s v="San Diego"/>
    <x v="2"/>
    <s v="Female"/>
  </r>
  <r>
    <s v="ORD-20880"/>
    <s v="CUST-5108"/>
    <d v="2023-05-19T00:00:00"/>
    <x v="3"/>
    <s v="Denim Jacket"/>
    <n v="69.989999999999995"/>
    <n v="4"/>
    <n v="15"/>
    <n v="59.49"/>
    <n v="237.96"/>
    <s v="Debit Card"/>
    <x v="0"/>
    <n v="5"/>
    <n v="23"/>
    <s v="San Diego"/>
    <x v="2"/>
    <s v="Female"/>
  </r>
  <r>
    <s v="ORD-20881"/>
    <s v="CUST-5108"/>
    <d v="2024-02-28T00:00:00"/>
    <x v="1"/>
    <s v="LEGO Classic Set"/>
    <n v="49.99"/>
    <n v="2"/>
    <n v="20"/>
    <n v="39.99"/>
    <n v="79.98"/>
    <s v="Credit Card"/>
    <x v="0"/>
    <n v="3"/>
    <n v="23"/>
    <s v="San Diego"/>
    <x v="2"/>
    <s v="Female"/>
  </r>
  <r>
    <s v="ORD-20882"/>
    <s v="CUST-5108"/>
    <d v="2022-01-26T00:00:00"/>
    <x v="6"/>
    <s v="Lip Balm Set"/>
    <n v="14.99"/>
    <n v="2"/>
    <n v="10"/>
    <n v="13.49"/>
    <n v="26.98"/>
    <s v="Credit Card"/>
    <x v="1"/>
    <m/>
    <n v="23"/>
    <s v="San Diego"/>
    <x v="2"/>
    <s v="Female"/>
  </r>
  <r>
    <s v="ORD-20883"/>
    <s v="CUST-5108"/>
    <d v="2024-10-21T00:00:00"/>
    <x v="3"/>
    <s v="Running Shoes"/>
    <n v="89.99"/>
    <n v="3"/>
    <n v="15"/>
    <n v="76.489999999999995"/>
    <n v="229.47"/>
    <s v="Debit Card"/>
    <x v="1"/>
    <m/>
    <n v="23"/>
    <s v="San Diego"/>
    <x v="2"/>
    <s v="Female"/>
  </r>
  <r>
    <s v="ORD-20884"/>
    <s v="CUST-5108"/>
    <d v="2024-05-14T00:00:00"/>
    <x v="2"/>
    <s v="Non-stick Pan Set"/>
    <n v="44.99"/>
    <n v="1"/>
    <n v="0"/>
    <n v="44.99"/>
    <n v="44.99"/>
    <s v="PayPal"/>
    <x v="0"/>
    <m/>
    <n v="23"/>
    <s v="San Diego"/>
    <x v="2"/>
    <s v="Female"/>
  </r>
  <r>
    <s v="ORD-20885"/>
    <s v="CUST-5108"/>
    <d v="2024-08-28T00:00:00"/>
    <x v="4"/>
    <s v="Jump Rope"/>
    <n v="14.99"/>
    <n v="3"/>
    <n v="10"/>
    <n v="13.49"/>
    <n v="40.47"/>
    <s v="Credit Card"/>
    <x v="0"/>
    <n v="4"/>
    <n v="23"/>
    <s v="San Diego"/>
    <x v="2"/>
    <s v="Female"/>
  </r>
  <r>
    <s v="ORD-20886"/>
    <s v="CUST-5108"/>
    <d v="2022-04-15T00:00:00"/>
    <x v="3"/>
    <s v="Running Shoes"/>
    <n v="89.99"/>
    <n v="4"/>
    <n v="10"/>
    <n v="80.989999999999995"/>
    <n v="323.95999999999998"/>
    <s v="PayPal"/>
    <x v="0"/>
    <n v="4"/>
    <n v="23"/>
    <s v="San Diego"/>
    <x v="2"/>
    <s v="Female"/>
  </r>
  <r>
    <s v="ORD-20887"/>
    <s v="CUST-5108"/>
    <d v="2023-03-20T00:00:00"/>
    <x v="0"/>
    <s v="Fiction Novel"/>
    <n v="14.99"/>
    <n v="3"/>
    <n v="15"/>
    <n v="12.74"/>
    <n v="38.22"/>
    <s v="Wallet"/>
    <x v="0"/>
    <n v="5"/>
    <n v="23"/>
    <s v="San Diego"/>
    <x v="2"/>
    <s v="Female"/>
  </r>
  <r>
    <s v="ORD-20888"/>
    <s v="CUST-5108"/>
    <d v="2023-09-02T00:00:00"/>
    <x v="3"/>
    <s v="Cotton T-Shirt"/>
    <n v="24.99"/>
    <n v="4"/>
    <n v="15"/>
    <n v="21.24"/>
    <n v="84.96"/>
    <s v="UPI"/>
    <x v="0"/>
    <m/>
    <n v="23"/>
    <s v="San Diego"/>
    <x v="2"/>
    <s v="Female"/>
  </r>
  <r>
    <s v="ORD-20889"/>
    <s v="CUST-5109"/>
    <d v="2024-03-21T00:00:00"/>
    <x v="3"/>
    <s v="Running Shoes"/>
    <n v="89.99"/>
    <n v="1"/>
    <n v="0"/>
    <n v="89.99"/>
    <n v="89.99"/>
    <s v="PayPal"/>
    <x v="0"/>
    <n v="5"/>
    <n v="38"/>
    <s v="San Jose"/>
    <x v="1"/>
    <s v="Female"/>
  </r>
  <r>
    <s v="ORD-20890"/>
    <s v="CUST-5109"/>
    <d v="2023-02-24T00:00:00"/>
    <x v="3"/>
    <s v="Cotton T-Shirt"/>
    <n v="24.99"/>
    <n v="3"/>
    <n v="0"/>
    <n v="24.99"/>
    <n v="74.97"/>
    <s v="PayPal"/>
    <x v="0"/>
    <n v="5"/>
    <n v="38"/>
    <s v="San Jose"/>
    <x v="1"/>
    <s v="Female"/>
  </r>
  <r>
    <s v="ORD-20891"/>
    <s v="CUST-5109"/>
    <d v="2024-02-02T00:00:00"/>
    <x v="3"/>
    <s v="Yoga Pants"/>
    <n v="44.99"/>
    <n v="2"/>
    <n v="10"/>
    <n v="40.49"/>
    <n v="80.98"/>
    <s v="Debit Card"/>
    <x v="0"/>
    <n v="3"/>
    <n v="38"/>
    <s v="San Jose"/>
    <x v="1"/>
    <s v="Female"/>
  </r>
  <r>
    <s v="ORD-20892"/>
    <s v="CUST-5109"/>
    <d v="2023-12-01T00:00:00"/>
    <x v="4"/>
    <s v="Yoga Mat"/>
    <n v="29.99"/>
    <n v="4"/>
    <n v="20"/>
    <n v="23.99"/>
    <n v="95.96"/>
    <s v="Credit Card"/>
    <x v="0"/>
    <n v="4"/>
    <n v="38"/>
    <s v="San Jose"/>
    <x v="1"/>
    <s v="Female"/>
  </r>
  <r>
    <s v="ORD-20893"/>
    <s v="CUST-5109"/>
    <d v="2024-08-16T00:00:00"/>
    <x v="6"/>
    <s v="Moisturizer SPF 50"/>
    <n v="29.99"/>
    <n v="4"/>
    <n v="10"/>
    <n v="26.99"/>
    <n v="107.96"/>
    <s v="UPI"/>
    <x v="0"/>
    <n v="5"/>
    <n v="38"/>
    <s v="San Jose"/>
    <x v="1"/>
    <s v="Female"/>
  </r>
  <r>
    <s v="ORD-20894"/>
    <s v="CUST-5109"/>
    <d v="2022-10-02T00:00:00"/>
    <x v="0"/>
    <s v="Data Science Handbook"/>
    <n v="49.99"/>
    <n v="4"/>
    <n v="0"/>
    <n v="49.99"/>
    <n v="199.96"/>
    <s v="Credit Card"/>
    <x v="0"/>
    <n v="4"/>
    <n v="38"/>
    <s v="San Jose"/>
    <x v="1"/>
    <s v="Female"/>
  </r>
  <r>
    <s v="ORD-20895"/>
    <s v="CUST-5110"/>
    <d v="2022-12-09T00:00:00"/>
    <x v="5"/>
    <s v="Smart Watch"/>
    <n v="199.99"/>
    <n v="3"/>
    <n v="15"/>
    <n v="169.99"/>
    <n v="509.97"/>
    <s v="UPI"/>
    <x v="0"/>
    <n v="4"/>
    <n v="19"/>
    <s v="San Antonio"/>
    <x v="3"/>
    <s v="Female"/>
  </r>
  <r>
    <s v="ORD-20896"/>
    <s v="CUST-5110"/>
    <d v="2022-08-28T00:00:00"/>
    <x v="1"/>
    <s v="Action Figure"/>
    <n v="19.989999999999998"/>
    <n v="4"/>
    <n v="0"/>
    <n v="19.989999999999998"/>
    <n v="79.959999999999994"/>
    <s v="UPI"/>
    <x v="0"/>
    <n v="4"/>
    <n v="19"/>
    <s v="San Antonio"/>
    <x v="3"/>
    <s v="Female"/>
  </r>
  <r>
    <s v="ORD-20897"/>
    <s v="CUST-5110"/>
    <d v="2024-08-02T00:00:00"/>
    <x v="3"/>
    <s v="Denim Jacket"/>
    <n v="69.989999999999995"/>
    <n v="1"/>
    <n v="15"/>
    <n v="59.49"/>
    <n v="59.49"/>
    <s v="Debit Card"/>
    <x v="2"/>
    <m/>
    <n v="19"/>
    <s v="San Antonio"/>
    <x v="3"/>
    <s v="Female"/>
  </r>
  <r>
    <s v="ORD-20898"/>
    <s v="CUST-5110"/>
    <d v="2022-09-03T00:00:00"/>
    <x v="0"/>
    <s v="Python for Beginners"/>
    <n v="29.99"/>
    <n v="3"/>
    <n v="15"/>
    <n v="25.49"/>
    <n v="76.47"/>
    <s v="UPI"/>
    <x v="0"/>
    <m/>
    <n v="19"/>
    <s v="San Antonio"/>
    <x v="3"/>
    <s v="Female"/>
  </r>
  <r>
    <s v="ORD-20899"/>
    <s v="CUST-5110"/>
    <d v="2024-12-22T00:00:00"/>
    <x v="1"/>
    <s v="LEGO Classic Set"/>
    <n v="49.99"/>
    <n v="1"/>
    <n v="0"/>
    <n v="49.99"/>
    <n v="49.99"/>
    <s v="UPI"/>
    <x v="0"/>
    <m/>
    <n v="19"/>
    <s v="San Antonio"/>
    <x v="3"/>
    <s v="Female"/>
  </r>
  <r>
    <s v="ORD-20900"/>
    <s v="CUST-5111"/>
    <d v="2023-01-01T00:00:00"/>
    <x v="6"/>
    <s v="Hair Mask"/>
    <n v="24.99"/>
    <n v="3"/>
    <n v="5"/>
    <n v="23.74"/>
    <n v="71.22"/>
    <s v="Wallet"/>
    <x v="0"/>
    <m/>
    <n v="62"/>
    <s v="San Diego"/>
    <x v="2"/>
    <s v="Female"/>
  </r>
  <r>
    <s v="ORD-20901"/>
    <s v="CUST-5111"/>
    <d v="2023-07-16T00:00:00"/>
    <x v="5"/>
    <s v="Wireless Earbuds"/>
    <n v="79.989999999999995"/>
    <n v="3"/>
    <n v="20"/>
    <n v="63.99"/>
    <n v="191.97"/>
    <s v="UPI"/>
    <x v="0"/>
    <n v="3"/>
    <n v="62"/>
    <s v="San Diego"/>
    <x v="2"/>
    <s v="Female"/>
  </r>
  <r>
    <s v="ORD-20902"/>
    <s v="CUST-5111"/>
    <d v="2023-12-05T00:00:00"/>
    <x v="3"/>
    <s v="Denim Jacket"/>
    <n v="69.989999999999995"/>
    <n v="4"/>
    <n v="5"/>
    <n v="66.489999999999995"/>
    <n v="265.95999999999998"/>
    <s v="Wallet"/>
    <x v="0"/>
    <m/>
    <n v="62"/>
    <s v="San Diego"/>
    <x v="2"/>
    <s v="Female"/>
  </r>
  <r>
    <s v="ORD-20903"/>
    <s v="CUST-5111"/>
    <d v="2024-07-24T00:00:00"/>
    <x v="0"/>
    <s v="Fiction Novel"/>
    <n v="14.99"/>
    <n v="4"/>
    <n v="0"/>
    <n v="14.99"/>
    <n v="59.96"/>
    <s v="Credit Card"/>
    <x v="0"/>
    <m/>
    <n v="62"/>
    <s v="San Diego"/>
    <x v="2"/>
    <s v="Female"/>
  </r>
  <r>
    <s v="ORD-20904"/>
    <s v="CUST-5111"/>
    <d v="2022-02-17T00:00:00"/>
    <x v="1"/>
    <s v="LEGO Classic Set"/>
    <n v="49.99"/>
    <n v="4"/>
    <n v="0"/>
    <n v="49.99"/>
    <n v="199.96"/>
    <s v="PayPal"/>
    <x v="0"/>
    <n v="4"/>
    <n v="62"/>
    <s v="San Diego"/>
    <x v="2"/>
    <s v="Female"/>
  </r>
  <r>
    <s v="ORD-20905"/>
    <s v="CUST-5111"/>
    <d v="2023-10-25T00:00:00"/>
    <x v="0"/>
    <s v="Business Analytics"/>
    <n v="39.99"/>
    <n v="4"/>
    <n v="10"/>
    <n v="35.99"/>
    <n v="143.96"/>
    <s v="UPI"/>
    <x v="0"/>
    <m/>
    <n v="62"/>
    <s v="San Diego"/>
    <x v="2"/>
    <s v="Female"/>
  </r>
  <r>
    <s v="ORD-20906"/>
    <s v="CUST-5111"/>
    <d v="2024-06-11T00:00:00"/>
    <x v="5"/>
    <s v="Bluetooth Speaker"/>
    <n v="49.99"/>
    <n v="2"/>
    <n v="0"/>
    <n v="49.99"/>
    <n v="99.98"/>
    <s v="UPI"/>
    <x v="0"/>
    <n v="4"/>
    <n v="62"/>
    <s v="San Diego"/>
    <x v="2"/>
    <s v="Female"/>
  </r>
  <r>
    <s v="ORD-20907"/>
    <s v="CUST-5111"/>
    <d v="2023-02-22T00:00:00"/>
    <x v="1"/>
    <s v="LEGO Classic Set"/>
    <n v="49.99"/>
    <n v="4"/>
    <n v="20"/>
    <n v="39.99"/>
    <n v="159.96"/>
    <s v="Wallet"/>
    <x v="1"/>
    <n v="5"/>
    <n v="62"/>
    <s v="San Diego"/>
    <x v="2"/>
    <s v="Female"/>
  </r>
  <r>
    <s v="ORD-20908"/>
    <s v="CUST-5111"/>
    <d v="2024-07-23T00:00:00"/>
    <x v="2"/>
    <s v="Non-stick Pan Set"/>
    <n v="44.99"/>
    <n v="3"/>
    <n v="20"/>
    <n v="35.99"/>
    <n v="107.97"/>
    <s v="Wallet"/>
    <x v="0"/>
    <n v="4"/>
    <n v="62"/>
    <s v="San Diego"/>
    <x v="2"/>
    <s v="Female"/>
  </r>
  <r>
    <s v="ORD-20909"/>
    <s v="CUST-5111"/>
    <d v="2022-03-16T00:00:00"/>
    <x v="1"/>
    <s v="Remote Control Car"/>
    <n v="39.99"/>
    <n v="4"/>
    <n v="0"/>
    <n v="39.99"/>
    <n v="159.96"/>
    <s v="UPI"/>
    <x v="0"/>
    <n v="4"/>
    <n v="62"/>
    <s v="San Diego"/>
    <x v="2"/>
    <s v="Female"/>
  </r>
  <r>
    <s v="ORD-20910"/>
    <s v="CUST-5111"/>
    <d v="2023-06-16T00:00:00"/>
    <x v="4"/>
    <s v="Jump Rope"/>
    <n v="14.99"/>
    <n v="2"/>
    <n v="5"/>
    <n v="14.24"/>
    <n v="28.48"/>
    <s v="Debit Card"/>
    <x v="0"/>
    <n v="2"/>
    <n v="62"/>
    <s v="San Diego"/>
    <x v="2"/>
    <s v="Female"/>
  </r>
  <r>
    <s v="ORD-20911"/>
    <s v="CUST-5111"/>
    <d v="2022-06-12T00:00:00"/>
    <x v="2"/>
    <s v="Coffee Maker"/>
    <n v="59.99"/>
    <n v="4"/>
    <n v="0"/>
    <n v="59.99"/>
    <n v="239.96"/>
    <s v="UPI"/>
    <x v="0"/>
    <n v="3"/>
    <n v="62"/>
    <s v="San Diego"/>
    <x v="2"/>
    <s v="Female"/>
  </r>
  <r>
    <s v="ORD-20912"/>
    <s v="CUST-5111"/>
    <d v="2022-07-08T00:00:00"/>
    <x v="5"/>
    <s v="USB-C Hub"/>
    <n v="34.99"/>
    <n v="1"/>
    <n v="0"/>
    <n v="34.99"/>
    <n v="34.99"/>
    <s v="UPI"/>
    <x v="0"/>
    <m/>
    <n v="62"/>
    <s v="San Diego"/>
    <x v="2"/>
    <s v="Female"/>
  </r>
  <r>
    <s v="ORD-20913"/>
    <s v="CUST-5111"/>
    <d v="2024-02-16T00:00:00"/>
    <x v="4"/>
    <s v="Water Bottle"/>
    <n v="24.99"/>
    <n v="2"/>
    <n v="0"/>
    <n v="24.99"/>
    <n v="49.98"/>
    <s v="PayPal"/>
    <x v="0"/>
    <m/>
    <n v="62"/>
    <s v="San Diego"/>
    <x v="2"/>
    <s v="Female"/>
  </r>
  <r>
    <s v="ORD-20914"/>
    <s v="CUST-5111"/>
    <d v="2022-10-14T00:00:00"/>
    <x v="5"/>
    <s v="Wireless Earbuds"/>
    <n v="79.989999999999995"/>
    <n v="1"/>
    <n v="20"/>
    <n v="63.99"/>
    <n v="63.99"/>
    <s v="Wallet"/>
    <x v="0"/>
    <n v="5"/>
    <n v="62"/>
    <s v="San Diego"/>
    <x v="2"/>
    <s v="Female"/>
  </r>
  <r>
    <s v="ORD-20915"/>
    <s v="CUST-5112"/>
    <d v="2024-02-11T00:00:00"/>
    <x v="3"/>
    <s v="Running Shoes"/>
    <n v="89.99"/>
    <n v="2"/>
    <n v="10"/>
    <n v="80.989999999999995"/>
    <n v="161.97999999999999"/>
    <s v="UPI"/>
    <x v="4"/>
    <n v="3"/>
    <n v="33"/>
    <s v="Dallas"/>
    <x v="2"/>
    <s v="Male"/>
  </r>
  <r>
    <s v="ORD-20916"/>
    <s v="CUST-5112"/>
    <d v="2022-07-16T00:00:00"/>
    <x v="5"/>
    <s v="USB-C Hub"/>
    <n v="34.99"/>
    <n v="4"/>
    <n v="0"/>
    <n v="34.99"/>
    <n v="139.96"/>
    <s v="Wallet"/>
    <x v="4"/>
    <n v="2"/>
    <n v="33"/>
    <s v="Dallas"/>
    <x v="2"/>
    <s v="Male"/>
  </r>
  <r>
    <s v="ORD-20917"/>
    <s v="CUST-5112"/>
    <d v="2024-12-06T00:00:00"/>
    <x v="3"/>
    <s v="Running Shoes"/>
    <n v="89.99"/>
    <n v="3"/>
    <n v="20"/>
    <n v="71.989999999999995"/>
    <n v="215.97"/>
    <s v="PayPal"/>
    <x v="4"/>
    <m/>
    <n v="33"/>
    <s v="Dallas"/>
    <x v="2"/>
    <s v="Male"/>
  </r>
  <r>
    <s v="ORD-20918"/>
    <s v="CUST-5112"/>
    <d v="2024-10-25T00:00:00"/>
    <x v="3"/>
    <s v="Yoga Pants"/>
    <n v="44.99"/>
    <n v="3"/>
    <n v="20"/>
    <n v="35.99"/>
    <n v="107.97"/>
    <s v="UPI"/>
    <x v="0"/>
    <m/>
    <n v="33"/>
    <s v="Dallas"/>
    <x v="2"/>
    <s v="Male"/>
  </r>
  <r>
    <s v="ORD-20919"/>
    <s v="CUST-5112"/>
    <d v="2024-09-05T00:00:00"/>
    <x v="4"/>
    <s v="Jump Rope"/>
    <n v="14.99"/>
    <n v="3"/>
    <n v="0"/>
    <n v="14.99"/>
    <n v="44.97"/>
    <s v="Debit Card"/>
    <x v="0"/>
    <n v="4"/>
    <n v="33"/>
    <s v="Dallas"/>
    <x v="2"/>
    <s v="Male"/>
  </r>
  <r>
    <s v="ORD-20920"/>
    <s v="CUST-5112"/>
    <d v="2024-04-14T00:00:00"/>
    <x v="2"/>
    <s v="Blender"/>
    <n v="64.989999999999995"/>
    <n v="2"/>
    <n v="15"/>
    <n v="55.24"/>
    <n v="110.48"/>
    <s v="UPI"/>
    <x v="0"/>
    <n v="4"/>
    <n v="33"/>
    <s v="Dallas"/>
    <x v="2"/>
    <s v="Male"/>
  </r>
  <r>
    <s v="ORD-20921"/>
    <s v="CUST-5112"/>
    <d v="2022-04-27T00:00:00"/>
    <x v="0"/>
    <s v="Fiction Novel"/>
    <n v="14.99"/>
    <n v="1"/>
    <n v="0"/>
    <n v="14.99"/>
    <n v="14.99"/>
    <s v="Credit Card"/>
    <x v="0"/>
    <n v="3"/>
    <n v="33"/>
    <s v="Dallas"/>
    <x v="2"/>
    <s v="Male"/>
  </r>
  <r>
    <s v="ORD-20922"/>
    <s v="CUST-5112"/>
    <d v="2023-03-19T00:00:00"/>
    <x v="1"/>
    <s v="Action Figure"/>
    <n v="19.989999999999998"/>
    <n v="3"/>
    <n v="5"/>
    <n v="18.989999999999998"/>
    <n v="56.97"/>
    <s v="UPI"/>
    <x v="0"/>
    <n v="4"/>
    <n v="33"/>
    <s v="Dallas"/>
    <x v="2"/>
    <s v="Male"/>
  </r>
  <r>
    <s v="ORD-20923"/>
    <s v="CUST-5112"/>
    <d v="2022-02-04T00:00:00"/>
    <x v="5"/>
    <s v="USB-C Hub"/>
    <n v="34.99"/>
    <n v="2"/>
    <n v="0"/>
    <n v="34.99"/>
    <n v="69.98"/>
    <s v="PayPal"/>
    <x v="0"/>
    <m/>
    <n v="33"/>
    <s v="Dallas"/>
    <x v="2"/>
    <s v="Male"/>
  </r>
  <r>
    <s v="ORD-20924"/>
    <s v="CUST-5112"/>
    <d v="2024-11-17T00:00:00"/>
    <x v="1"/>
    <s v="Remote Control Car"/>
    <n v="39.99"/>
    <n v="1"/>
    <n v="0"/>
    <n v="39.99"/>
    <n v="39.99"/>
    <s v="Credit Card"/>
    <x v="0"/>
    <n v="2"/>
    <n v="33"/>
    <s v="Dallas"/>
    <x v="2"/>
    <s v="Male"/>
  </r>
  <r>
    <s v="ORD-20925"/>
    <s v="CUST-5112"/>
    <d v="2022-06-10T00:00:00"/>
    <x v="0"/>
    <s v="Fiction Novel"/>
    <n v="14.99"/>
    <n v="3"/>
    <n v="0"/>
    <n v="14.99"/>
    <n v="44.97"/>
    <s v="Wallet"/>
    <x v="0"/>
    <n v="4"/>
    <n v="33"/>
    <s v="Dallas"/>
    <x v="2"/>
    <s v="Male"/>
  </r>
  <r>
    <s v="ORD-20926"/>
    <s v="CUST-5113"/>
    <d v="2022-11-10T00:00:00"/>
    <x v="6"/>
    <s v="Face Serum"/>
    <n v="39.99"/>
    <n v="1"/>
    <n v="20"/>
    <n v="31.99"/>
    <n v="31.99"/>
    <s v="PayPal"/>
    <x v="0"/>
    <n v="5"/>
    <n v="36"/>
    <s v="New York"/>
    <x v="2"/>
    <s v="Female"/>
  </r>
  <r>
    <s v="ORD-20927"/>
    <s v="CUST-5113"/>
    <d v="2022-08-08T00:00:00"/>
    <x v="4"/>
    <s v="Jump Rope"/>
    <n v="14.99"/>
    <n v="2"/>
    <n v="5"/>
    <n v="14.24"/>
    <n v="28.48"/>
    <s v="PayPal"/>
    <x v="4"/>
    <n v="4"/>
    <n v="36"/>
    <s v="New York"/>
    <x v="2"/>
    <s v="Female"/>
  </r>
  <r>
    <s v="ORD-20928"/>
    <s v="CUST-5113"/>
    <d v="2023-08-27T00:00:00"/>
    <x v="2"/>
    <s v="Coffee Maker"/>
    <n v="59.99"/>
    <n v="1"/>
    <n v="0"/>
    <n v="59.99"/>
    <n v="59.99"/>
    <s v="Wallet"/>
    <x v="0"/>
    <n v="5"/>
    <n v="36"/>
    <s v="New York"/>
    <x v="2"/>
    <s v="Female"/>
  </r>
  <r>
    <s v="ORD-20929"/>
    <s v="CUST-5113"/>
    <d v="2024-07-06T00:00:00"/>
    <x v="3"/>
    <s v="Yoga Pants"/>
    <n v="44.99"/>
    <n v="2"/>
    <n v="20"/>
    <n v="35.99"/>
    <n v="71.98"/>
    <s v="UPI"/>
    <x v="0"/>
    <n v="5"/>
    <n v="36"/>
    <s v="New York"/>
    <x v="2"/>
    <s v="Female"/>
  </r>
  <r>
    <s v="ORD-20930"/>
    <s v="CUST-5113"/>
    <d v="2024-08-14T00:00:00"/>
    <x v="4"/>
    <s v="Resistance Bands"/>
    <n v="19.989999999999998"/>
    <n v="1"/>
    <n v="10"/>
    <n v="17.989999999999998"/>
    <n v="17.989999999999998"/>
    <s v="Credit Card"/>
    <x v="4"/>
    <n v="5"/>
    <n v="36"/>
    <s v="New York"/>
    <x v="2"/>
    <s v="Female"/>
  </r>
  <r>
    <s v="ORD-20931"/>
    <s v="CUST-5113"/>
    <d v="2024-10-19T00:00:00"/>
    <x v="1"/>
    <s v="LEGO Classic Set"/>
    <n v="49.99"/>
    <n v="2"/>
    <n v="0"/>
    <n v="49.99"/>
    <n v="99.98"/>
    <s v="Debit Card"/>
    <x v="0"/>
    <n v="5"/>
    <n v="36"/>
    <s v="New York"/>
    <x v="2"/>
    <s v="Female"/>
  </r>
  <r>
    <s v="ORD-20932"/>
    <s v="CUST-5113"/>
    <d v="2023-03-24T00:00:00"/>
    <x v="5"/>
    <s v="Wireless Earbuds"/>
    <n v="79.989999999999995"/>
    <n v="3"/>
    <n v="20"/>
    <n v="63.99"/>
    <n v="191.97"/>
    <s v="Credit Card"/>
    <x v="2"/>
    <m/>
    <n v="36"/>
    <s v="New York"/>
    <x v="2"/>
    <s v="Female"/>
  </r>
  <r>
    <s v="ORD-20933"/>
    <s v="CUST-5113"/>
    <d v="2022-04-16T00:00:00"/>
    <x v="2"/>
    <s v="Coffee Maker"/>
    <n v="59.99"/>
    <n v="3"/>
    <n v="5"/>
    <n v="56.99"/>
    <n v="170.97"/>
    <s v="Debit Card"/>
    <x v="0"/>
    <m/>
    <n v="36"/>
    <s v="New York"/>
    <x v="2"/>
    <s v="Female"/>
  </r>
  <r>
    <s v="ORD-20934"/>
    <s v="CUST-5114"/>
    <d v="2023-10-01T00:00:00"/>
    <x v="2"/>
    <s v="Non-stick Pan Set"/>
    <n v="44.99"/>
    <n v="3"/>
    <n v="5"/>
    <n v="42.74"/>
    <n v="128.22"/>
    <s v="UPI"/>
    <x v="0"/>
    <n v="4"/>
    <n v="36"/>
    <s v="Phoenix"/>
    <x v="2"/>
    <s v="Male"/>
  </r>
  <r>
    <s v="ORD-20935"/>
    <s v="CUST-5114"/>
    <d v="2023-08-13T00:00:00"/>
    <x v="0"/>
    <s v="Business Analytics"/>
    <n v="39.99"/>
    <n v="3"/>
    <n v="10"/>
    <n v="35.99"/>
    <n v="107.97"/>
    <s v="Wallet"/>
    <x v="0"/>
    <n v="4"/>
    <n v="36"/>
    <s v="Phoenix"/>
    <x v="2"/>
    <s v="Male"/>
  </r>
  <r>
    <s v="ORD-20936"/>
    <s v="CUST-5114"/>
    <d v="2022-03-21T00:00:00"/>
    <x v="3"/>
    <s v="Yoga Pants"/>
    <n v="44.99"/>
    <n v="4"/>
    <n v="0"/>
    <n v="44.99"/>
    <n v="179.96"/>
    <s v="Debit Card"/>
    <x v="0"/>
    <n v="4"/>
    <n v="36"/>
    <s v="Phoenix"/>
    <x v="2"/>
    <s v="Male"/>
  </r>
  <r>
    <s v="ORD-20937"/>
    <s v="CUST-5114"/>
    <d v="2024-10-26T00:00:00"/>
    <x v="1"/>
    <s v="LEGO Classic Set"/>
    <n v="49.99"/>
    <n v="1"/>
    <n v="10"/>
    <n v="44.99"/>
    <n v="44.99"/>
    <s v="Wallet"/>
    <x v="0"/>
    <n v="5"/>
    <n v="36"/>
    <s v="Phoenix"/>
    <x v="2"/>
    <s v="Male"/>
  </r>
  <r>
    <s v="ORD-20938"/>
    <s v="CUST-5114"/>
    <d v="2022-06-05T00:00:00"/>
    <x v="4"/>
    <s v="Water Bottle"/>
    <n v="24.99"/>
    <n v="2"/>
    <n v="10"/>
    <n v="22.49"/>
    <n v="44.98"/>
    <s v="UPI"/>
    <x v="0"/>
    <n v="3"/>
    <n v="36"/>
    <s v="Phoenix"/>
    <x v="2"/>
    <s v="Male"/>
  </r>
  <r>
    <s v="ORD-20939"/>
    <s v="CUST-5114"/>
    <d v="2022-02-13T00:00:00"/>
    <x v="3"/>
    <s v="Running Shoes"/>
    <n v="89.99"/>
    <n v="1"/>
    <n v="10"/>
    <n v="80.989999999999995"/>
    <n v="80.989999999999995"/>
    <s v="Wallet"/>
    <x v="0"/>
    <m/>
    <n v="36"/>
    <s v="Phoenix"/>
    <x v="2"/>
    <s v="Male"/>
  </r>
  <r>
    <s v="ORD-20940"/>
    <s v="CUST-5114"/>
    <d v="2022-01-18T00:00:00"/>
    <x v="1"/>
    <s v="LEGO Classic Set"/>
    <n v="49.99"/>
    <n v="1"/>
    <n v="20"/>
    <n v="39.99"/>
    <n v="39.99"/>
    <s v="Debit Card"/>
    <x v="0"/>
    <n v="4"/>
    <n v="36"/>
    <s v="Phoenix"/>
    <x v="2"/>
    <s v="Male"/>
  </r>
  <r>
    <s v="ORD-20941"/>
    <s v="CUST-5114"/>
    <d v="2022-09-06T00:00:00"/>
    <x v="5"/>
    <s v="Smart Watch"/>
    <n v="199.99"/>
    <n v="2"/>
    <n v="0"/>
    <n v="199.99"/>
    <n v="399.98"/>
    <s v="Credit Card"/>
    <x v="0"/>
    <m/>
    <n v="36"/>
    <s v="Phoenix"/>
    <x v="2"/>
    <s v="Male"/>
  </r>
  <r>
    <s v="ORD-20942"/>
    <s v="CUST-5114"/>
    <d v="2023-05-23T00:00:00"/>
    <x v="4"/>
    <s v="Water Bottle"/>
    <n v="24.99"/>
    <n v="3"/>
    <n v="15"/>
    <n v="21.24"/>
    <n v="63.72"/>
    <s v="Credit Card"/>
    <x v="0"/>
    <m/>
    <n v="36"/>
    <s v="Phoenix"/>
    <x v="2"/>
    <s v="Male"/>
  </r>
  <r>
    <s v="ORD-20943"/>
    <s v="CUST-5114"/>
    <d v="2024-01-20T00:00:00"/>
    <x v="4"/>
    <s v="Water Bottle"/>
    <n v="24.99"/>
    <n v="4"/>
    <n v="20"/>
    <n v="19.989999999999998"/>
    <n v="79.959999999999994"/>
    <s v="PayPal"/>
    <x v="0"/>
    <n v="5"/>
    <n v="36"/>
    <s v="Phoenix"/>
    <x v="2"/>
    <s v="Male"/>
  </r>
  <r>
    <s v="ORD-20944"/>
    <s v="CUST-5115"/>
    <d v="2024-09-03T00:00:00"/>
    <x v="5"/>
    <s v="USB-C Hub"/>
    <n v="34.99"/>
    <n v="2"/>
    <n v="15"/>
    <n v="29.74"/>
    <n v="59.48"/>
    <s v="Credit Card"/>
    <x v="1"/>
    <n v="5"/>
    <n v="25"/>
    <s v="Los Angeles"/>
    <x v="0"/>
    <s v="Female"/>
  </r>
  <r>
    <s v="ORD-20945"/>
    <s v="CUST-5115"/>
    <d v="2023-06-25T00:00:00"/>
    <x v="3"/>
    <s v="Running Shoes"/>
    <n v="89.99"/>
    <n v="2"/>
    <n v="20"/>
    <n v="71.989999999999995"/>
    <n v="143.97999999999999"/>
    <s v="Debit Card"/>
    <x v="0"/>
    <n v="4"/>
    <n v="25"/>
    <s v="Los Angeles"/>
    <x v="0"/>
    <s v="Female"/>
  </r>
  <r>
    <s v="ORD-20946"/>
    <s v="CUST-5115"/>
    <d v="2024-11-11T00:00:00"/>
    <x v="5"/>
    <s v="Wireless Earbuds"/>
    <n v="79.989999999999995"/>
    <n v="1"/>
    <n v="0"/>
    <n v="79.989999999999995"/>
    <n v="79.989999999999995"/>
    <s v="UPI"/>
    <x v="0"/>
    <n v="5"/>
    <n v="25"/>
    <s v="Los Angeles"/>
    <x v="0"/>
    <s v="Female"/>
  </r>
  <r>
    <s v="ORD-20947"/>
    <s v="CUST-5115"/>
    <d v="2024-01-19T00:00:00"/>
    <x v="6"/>
    <s v="Lip Balm Set"/>
    <n v="14.99"/>
    <n v="2"/>
    <n v="20"/>
    <n v="11.99"/>
    <n v="23.98"/>
    <s v="UPI"/>
    <x v="4"/>
    <n v="5"/>
    <n v="25"/>
    <s v="Los Angeles"/>
    <x v="0"/>
    <s v="Female"/>
  </r>
  <r>
    <s v="ORD-20948"/>
    <s v="CUST-5115"/>
    <d v="2024-08-04T00:00:00"/>
    <x v="6"/>
    <s v="Lip Balm Set"/>
    <n v="14.99"/>
    <n v="2"/>
    <n v="10"/>
    <n v="13.49"/>
    <n v="26.98"/>
    <s v="Debit Card"/>
    <x v="0"/>
    <n v="5"/>
    <n v="25"/>
    <s v="Los Angeles"/>
    <x v="0"/>
    <s v="Female"/>
  </r>
  <r>
    <s v="ORD-20949"/>
    <s v="CUST-5115"/>
    <d v="2023-11-15T00:00:00"/>
    <x v="2"/>
    <s v="Air Fryer"/>
    <n v="89.99"/>
    <n v="3"/>
    <n v="0"/>
    <n v="89.99"/>
    <n v="269.97000000000003"/>
    <s v="PayPal"/>
    <x v="0"/>
    <m/>
    <n v="25"/>
    <s v="Los Angeles"/>
    <x v="0"/>
    <s v="Female"/>
  </r>
  <r>
    <s v="ORD-20950"/>
    <s v="CUST-5115"/>
    <d v="2023-02-25T00:00:00"/>
    <x v="4"/>
    <s v="Jump Rope"/>
    <n v="14.99"/>
    <n v="1"/>
    <n v="5"/>
    <n v="14.24"/>
    <n v="14.24"/>
    <s v="PayPal"/>
    <x v="0"/>
    <n v="4"/>
    <n v="25"/>
    <s v="Los Angeles"/>
    <x v="0"/>
    <s v="Female"/>
  </r>
  <r>
    <s v="ORD-20951"/>
    <s v="CUST-5115"/>
    <d v="2022-09-21T00:00:00"/>
    <x v="1"/>
    <s v="LEGO Classic Set"/>
    <n v="49.99"/>
    <n v="2"/>
    <n v="0"/>
    <n v="49.99"/>
    <n v="99.98"/>
    <s v="Wallet"/>
    <x v="0"/>
    <m/>
    <n v="25"/>
    <s v="Los Angeles"/>
    <x v="0"/>
    <s v="Female"/>
  </r>
  <r>
    <s v="ORD-20952"/>
    <s v="CUST-5115"/>
    <d v="2024-04-26T00:00:00"/>
    <x v="1"/>
    <s v="LEGO Classic Set"/>
    <n v="49.99"/>
    <n v="3"/>
    <n v="10"/>
    <n v="44.99"/>
    <n v="134.97"/>
    <s v="Wallet"/>
    <x v="0"/>
    <n v="4"/>
    <n v="25"/>
    <s v="Los Angeles"/>
    <x v="0"/>
    <s v="Female"/>
  </r>
  <r>
    <s v="ORD-20953"/>
    <s v="CUST-5116"/>
    <d v="2024-12-08T00:00:00"/>
    <x v="0"/>
    <s v="Business Analytics"/>
    <n v="39.99"/>
    <n v="2"/>
    <n v="20"/>
    <n v="31.99"/>
    <n v="63.98"/>
    <s v="Debit Card"/>
    <x v="0"/>
    <n v="3"/>
    <n v="52"/>
    <s v="San Diego"/>
    <x v="2"/>
    <s v="Female"/>
  </r>
  <r>
    <s v="ORD-20954"/>
    <s v="CUST-5116"/>
    <d v="2024-08-24T00:00:00"/>
    <x v="6"/>
    <s v="Lip Balm Set"/>
    <n v="14.99"/>
    <n v="3"/>
    <n v="0"/>
    <n v="14.99"/>
    <n v="44.97"/>
    <s v="PayPal"/>
    <x v="0"/>
    <n v="3"/>
    <n v="52"/>
    <s v="San Diego"/>
    <x v="2"/>
    <s v="Female"/>
  </r>
  <r>
    <s v="ORD-20955"/>
    <s v="CUST-5116"/>
    <d v="2023-03-02T00:00:00"/>
    <x v="4"/>
    <s v="Water Bottle"/>
    <n v="24.99"/>
    <n v="3"/>
    <n v="20"/>
    <n v="19.989999999999998"/>
    <n v="59.97"/>
    <s v="PayPal"/>
    <x v="0"/>
    <n v="5"/>
    <n v="52"/>
    <s v="San Diego"/>
    <x v="2"/>
    <s v="Female"/>
  </r>
  <r>
    <s v="ORD-20956"/>
    <s v="CUST-5116"/>
    <d v="2024-02-18T00:00:00"/>
    <x v="0"/>
    <s v="Data Science Handbook"/>
    <n v="49.99"/>
    <n v="3"/>
    <n v="20"/>
    <n v="39.99"/>
    <n v="119.97"/>
    <s v="Credit Card"/>
    <x v="0"/>
    <n v="5"/>
    <n v="52"/>
    <s v="San Diego"/>
    <x v="2"/>
    <s v="Female"/>
  </r>
  <r>
    <s v="ORD-20957"/>
    <s v="CUST-5116"/>
    <d v="2022-07-03T00:00:00"/>
    <x v="0"/>
    <s v="Fiction Novel"/>
    <n v="14.99"/>
    <n v="1"/>
    <n v="20"/>
    <n v="11.99"/>
    <n v="11.99"/>
    <s v="PayPal"/>
    <x v="0"/>
    <m/>
    <n v="52"/>
    <s v="San Diego"/>
    <x v="2"/>
    <s v="Female"/>
  </r>
  <r>
    <s v="ORD-20958"/>
    <s v="CUST-5116"/>
    <d v="2022-06-14T00:00:00"/>
    <x v="3"/>
    <s v="Running Shoes"/>
    <n v="89.99"/>
    <n v="1"/>
    <n v="0"/>
    <n v="89.99"/>
    <n v="89.99"/>
    <s v="UPI"/>
    <x v="0"/>
    <n v="1"/>
    <n v="52"/>
    <s v="San Diego"/>
    <x v="2"/>
    <s v="Female"/>
  </r>
  <r>
    <s v="ORD-20959"/>
    <s v="CUST-5117"/>
    <d v="2023-06-25T00:00:00"/>
    <x v="4"/>
    <s v="Jump Rope"/>
    <n v="14.99"/>
    <n v="4"/>
    <n v="0"/>
    <n v="14.99"/>
    <n v="59.96"/>
    <s v="UPI"/>
    <x v="0"/>
    <n v="4"/>
    <n v="21"/>
    <s v="San Jose"/>
    <x v="3"/>
    <s v="Male"/>
  </r>
  <r>
    <s v="ORD-20960"/>
    <s v="CUST-5117"/>
    <d v="2024-06-27T00:00:00"/>
    <x v="0"/>
    <s v="Python for Beginners"/>
    <n v="29.99"/>
    <n v="2"/>
    <n v="0"/>
    <n v="29.99"/>
    <n v="59.98"/>
    <s v="PayPal"/>
    <x v="0"/>
    <n v="4"/>
    <n v="21"/>
    <s v="San Jose"/>
    <x v="3"/>
    <s v="Male"/>
  </r>
  <r>
    <s v="ORD-20961"/>
    <s v="CUST-5118"/>
    <d v="2023-10-15T00:00:00"/>
    <x v="0"/>
    <s v="Data Science Handbook"/>
    <n v="49.99"/>
    <n v="2"/>
    <n v="15"/>
    <n v="42.49"/>
    <n v="84.98"/>
    <s v="PayPal"/>
    <x v="0"/>
    <n v="4"/>
    <n v="62"/>
    <s v="Houston"/>
    <x v="3"/>
    <s v="Male"/>
  </r>
  <r>
    <s v="ORD-20962"/>
    <s v="CUST-5118"/>
    <d v="2022-04-03T00:00:00"/>
    <x v="0"/>
    <s v="Fiction Novel"/>
    <n v="14.99"/>
    <n v="3"/>
    <n v="0"/>
    <n v="14.99"/>
    <n v="44.97"/>
    <s v="Credit Card"/>
    <x v="0"/>
    <n v="5"/>
    <n v="62"/>
    <s v="Houston"/>
    <x v="3"/>
    <s v="Male"/>
  </r>
  <r>
    <s v="ORD-20963"/>
    <s v="CUST-5118"/>
    <d v="2024-06-24T00:00:00"/>
    <x v="3"/>
    <s v="Denim Jacket"/>
    <n v="69.989999999999995"/>
    <n v="2"/>
    <n v="15"/>
    <n v="59.49"/>
    <n v="118.98"/>
    <s v="Wallet"/>
    <x v="2"/>
    <n v="2"/>
    <n v="62"/>
    <s v="Houston"/>
    <x v="3"/>
    <s v="Male"/>
  </r>
  <r>
    <s v="ORD-20964"/>
    <s v="CUST-5118"/>
    <d v="2023-01-09T00:00:00"/>
    <x v="0"/>
    <s v="Business Analytics"/>
    <n v="39.99"/>
    <n v="1"/>
    <n v="10"/>
    <n v="35.99"/>
    <n v="35.99"/>
    <s v="Debit Card"/>
    <x v="4"/>
    <n v="4"/>
    <n v="62"/>
    <s v="Houston"/>
    <x v="3"/>
    <s v="Male"/>
  </r>
  <r>
    <s v="ORD-20965"/>
    <s v="CUST-5118"/>
    <d v="2024-05-06T00:00:00"/>
    <x v="4"/>
    <s v="Water Bottle"/>
    <n v="24.99"/>
    <n v="2"/>
    <n v="20"/>
    <n v="19.989999999999998"/>
    <n v="39.979999999999997"/>
    <s v="Debit Card"/>
    <x v="0"/>
    <n v="5"/>
    <n v="62"/>
    <s v="Houston"/>
    <x v="3"/>
    <s v="Male"/>
  </r>
  <r>
    <s v="ORD-20966"/>
    <s v="CUST-5118"/>
    <d v="2022-12-07T00:00:00"/>
    <x v="4"/>
    <s v="Yoga Mat"/>
    <n v="29.99"/>
    <n v="2"/>
    <n v="20"/>
    <n v="23.99"/>
    <n v="47.98"/>
    <s v="Credit Card"/>
    <x v="0"/>
    <n v="5"/>
    <n v="62"/>
    <s v="Houston"/>
    <x v="3"/>
    <s v="Male"/>
  </r>
  <r>
    <s v="ORD-20967"/>
    <s v="CUST-5118"/>
    <d v="2024-10-23T00:00:00"/>
    <x v="2"/>
    <s v="Non-stick Pan Set"/>
    <n v="44.99"/>
    <n v="2"/>
    <n v="10"/>
    <n v="40.49"/>
    <n v="80.98"/>
    <s v="Credit Card"/>
    <x v="0"/>
    <n v="3"/>
    <n v="62"/>
    <s v="Houston"/>
    <x v="3"/>
    <s v="Male"/>
  </r>
  <r>
    <s v="ORD-20968"/>
    <s v="CUST-5118"/>
    <d v="2024-08-20T00:00:00"/>
    <x v="6"/>
    <s v="Hair Mask"/>
    <n v="24.99"/>
    <n v="3"/>
    <n v="0"/>
    <n v="24.99"/>
    <n v="74.97"/>
    <s v="PayPal"/>
    <x v="0"/>
    <n v="4"/>
    <n v="62"/>
    <s v="Houston"/>
    <x v="3"/>
    <s v="Male"/>
  </r>
  <r>
    <s v="ORD-20969"/>
    <s v="CUST-5118"/>
    <d v="2024-01-09T00:00:00"/>
    <x v="5"/>
    <s v="USB-C Hub"/>
    <n v="34.99"/>
    <n v="2"/>
    <n v="10"/>
    <n v="31.49"/>
    <n v="62.98"/>
    <s v="Credit Card"/>
    <x v="0"/>
    <n v="5"/>
    <n v="62"/>
    <s v="Houston"/>
    <x v="3"/>
    <s v="Male"/>
  </r>
  <r>
    <s v="ORD-20970"/>
    <s v="CUST-5118"/>
    <d v="2024-01-22T00:00:00"/>
    <x v="6"/>
    <s v="Moisturizer SPF 50"/>
    <n v="29.99"/>
    <n v="3"/>
    <n v="5"/>
    <n v="28.49"/>
    <n v="85.47"/>
    <s v="PayPal"/>
    <x v="4"/>
    <m/>
    <n v="62"/>
    <s v="Houston"/>
    <x v="3"/>
    <s v="Male"/>
  </r>
  <r>
    <s v="ORD-20971"/>
    <s v="CUST-5118"/>
    <d v="2022-09-26T00:00:00"/>
    <x v="6"/>
    <s v="Lip Balm Set"/>
    <n v="14.99"/>
    <n v="1"/>
    <n v="20"/>
    <n v="11.99"/>
    <n v="11.99"/>
    <s v="Debit Card"/>
    <x v="0"/>
    <n v="5"/>
    <n v="62"/>
    <s v="Houston"/>
    <x v="3"/>
    <s v="Male"/>
  </r>
  <r>
    <s v="ORD-20972"/>
    <s v="CUST-5118"/>
    <d v="2024-11-24T00:00:00"/>
    <x v="1"/>
    <s v="Action Figure"/>
    <n v="19.989999999999998"/>
    <n v="4"/>
    <n v="0"/>
    <n v="19.989999999999998"/>
    <n v="79.959999999999994"/>
    <s v="Debit Card"/>
    <x v="0"/>
    <n v="5"/>
    <n v="62"/>
    <s v="Houston"/>
    <x v="3"/>
    <s v="Male"/>
  </r>
  <r>
    <s v="ORD-20973"/>
    <s v="CUST-5118"/>
    <d v="2022-06-06T00:00:00"/>
    <x v="3"/>
    <s v="Cotton T-Shirt"/>
    <n v="24.99"/>
    <n v="1"/>
    <n v="15"/>
    <n v="21.24"/>
    <n v="21.24"/>
    <s v="Debit Card"/>
    <x v="4"/>
    <n v="4"/>
    <n v="62"/>
    <s v="Houston"/>
    <x v="3"/>
    <s v="Male"/>
  </r>
  <r>
    <s v="ORD-20974"/>
    <s v="CUST-5118"/>
    <d v="2022-12-27T00:00:00"/>
    <x v="3"/>
    <s v="Cotton T-Shirt"/>
    <n v="24.99"/>
    <n v="2"/>
    <n v="0"/>
    <n v="24.99"/>
    <n v="49.98"/>
    <s v="PayPal"/>
    <x v="0"/>
    <m/>
    <n v="62"/>
    <s v="Houston"/>
    <x v="3"/>
    <s v="Male"/>
  </r>
  <r>
    <s v="ORD-20975"/>
    <s v="CUST-5118"/>
    <d v="2023-10-05T00:00:00"/>
    <x v="1"/>
    <s v="Action Figure"/>
    <n v="19.989999999999998"/>
    <n v="1"/>
    <n v="0"/>
    <n v="19.989999999999998"/>
    <n v="19.989999999999998"/>
    <s v="Credit Card"/>
    <x v="0"/>
    <m/>
    <n v="62"/>
    <s v="Houston"/>
    <x v="3"/>
    <s v="Male"/>
  </r>
  <r>
    <s v="ORD-20976"/>
    <s v="CUST-5119"/>
    <d v="2024-08-21T00:00:00"/>
    <x v="1"/>
    <s v="Remote Control Car"/>
    <n v="39.99"/>
    <n v="3"/>
    <n v="0"/>
    <n v="39.99"/>
    <n v="119.97"/>
    <s v="Wallet"/>
    <x v="4"/>
    <n v="5"/>
    <n v="34"/>
    <s v="Jacksonville"/>
    <x v="2"/>
    <s v="Male"/>
  </r>
  <r>
    <s v="ORD-20977"/>
    <s v="CUST-5119"/>
    <d v="2022-10-21T00:00:00"/>
    <x v="2"/>
    <s v="Coffee Maker"/>
    <n v="59.99"/>
    <n v="3"/>
    <n v="0"/>
    <n v="59.99"/>
    <n v="179.97"/>
    <s v="Debit Card"/>
    <x v="0"/>
    <n v="4"/>
    <n v="34"/>
    <s v="Jacksonville"/>
    <x v="2"/>
    <s v="Male"/>
  </r>
  <r>
    <s v="ORD-20978"/>
    <s v="CUST-5120"/>
    <d v="2022-12-21T00:00:00"/>
    <x v="4"/>
    <s v="Yoga Mat"/>
    <n v="29.99"/>
    <n v="2"/>
    <n v="0"/>
    <n v="29.99"/>
    <n v="59.98"/>
    <s v="Wallet"/>
    <x v="0"/>
    <m/>
    <n v="58"/>
    <s v="Houston"/>
    <x v="2"/>
    <s v="Male"/>
  </r>
  <r>
    <s v="ORD-20979"/>
    <s v="CUST-5120"/>
    <d v="2024-04-08T00:00:00"/>
    <x v="2"/>
    <s v="Air Fryer"/>
    <n v="89.99"/>
    <n v="3"/>
    <n v="0"/>
    <n v="89.99"/>
    <n v="269.97000000000003"/>
    <s v="Wallet"/>
    <x v="0"/>
    <n v="4"/>
    <n v="58"/>
    <s v="Houston"/>
    <x v="2"/>
    <s v="Male"/>
  </r>
  <r>
    <s v="ORD-20980"/>
    <s v="CUST-5120"/>
    <d v="2024-09-04T00:00:00"/>
    <x v="4"/>
    <s v="Yoga Mat"/>
    <n v="29.99"/>
    <n v="2"/>
    <n v="0"/>
    <n v="29.99"/>
    <n v="59.98"/>
    <s v="Credit Card"/>
    <x v="0"/>
    <m/>
    <n v="58"/>
    <s v="Houston"/>
    <x v="2"/>
    <s v="Male"/>
  </r>
  <r>
    <s v="ORD-20981"/>
    <s v="CUST-5120"/>
    <d v="2024-10-21T00:00:00"/>
    <x v="6"/>
    <s v="Lip Balm Set"/>
    <n v="14.99"/>
    <n v="3"/>
    <n v="0"/>
    <n v="14.99"/>
    <n v="44.97"/>
    <s v="Credit Card"/>
    <x v="0"/>
    <n v="5"/>
    <n v="58"/>
    <s v="Houston"/>
    <x v="2"/>
    <s v="Male"/>
  </r>
  <r>
    <s v="ORD-20982"/>
    <s v="CUST-5120"/>
    <d v="2023-02-07T00:00:00"/>
    <x v="1"/>
    <s v="LEGO Classic Set"/>
    <n v="49.99"/>
    <n v="4"/>
    <n v="0"/>
    <n v="49.99"/>
    <n v="199.96"/>
    <s v="Wallet"/>
    <x v="0"/>
    <n v="5"/>
    <n v="58"/>
    <s v="Houston"/>
    <x v="2"/>
    <s v="Male"/>
  </r>
  <r>
    <s v="ORD-20983"/>
    <s v="CUST-5120"/>
    <d v="2022-04-22T00:00:00"/>
    <x v="6"/>
    <s v="Face Serum"/>
    <n v="39.99"/>
    <n v="4"/>
    <n v="10"/>
    <n v="35.99"/>
    <n v="143.96"/>
    <s v="Credit Card"/>
    <x v="0"/>
    <n v="5"/>
    <n v="58"/>
    <s v="Houston"/>
    <x v="2"/>
    <s v="Male"/>
  </r>
  <r>
    <s v="ORD-20984"/>
    <s v="CUST-5120"/>
    <d v="2022-04-18T00:00:00"/>
    <x v="5"/>
    <s v="USB-C Hub"/>
    <n v="34.99"/>
    <n v="3"/>
    <n v="0"/>
    <n v="34.99"/>
    <n v="104.97"/>
    <s v="Debit Card"/>
    <x v="3"/>
    <m/>
    <n v="58"/>
    <s v="Houston"/>
    <x v="2"/>
    <s v="Male"/>
  </r>
  <r>
    <s v="ORD-20985"/>
    <s v="CUST-5120"/>
    <d v="2023-02-14T00:00:00"/>
    <x v="1"/>
    <s v="LEGO Classic Set"/>
    <n v="49.99"/>
    <n v="4"/>
    <n v="0"/>
    <n v="49.99"/>
    <n v="199.96"/>
    <s v="Wallet"/>
    <x v="0"/>
    <m/>
    <n v="58"/>
    <s v="Houston"/>
    <x v="2"/>
    <s v="Male"/>
  </r>
  <r>
    <s v="ORD-20986"/>
    <s v="CUST-5120"/>
    <d v="2022-09-13T00:00:00"/>
    <x v="0"/>
    <s v="Data Science Handbook"/>
    <n v="49.99"/>
    <n v="4"/>
    <n v="20"/>
    <n v="39.99"/>
    <n v="159.96"/>
    <s v="UPI"/>
    <x v="0"/>
    <n v="3"/>
    <n v="58"/>
    <s v="Houston"/>
    <x v="2"/>
    <s v="Male"/>
  </r>
  <r>
    <s v="ORD-20987"/>
    <s v="CUST-5120"/>
    <d v="2022-12-04T00:00:00"/>
    <x v="2"/>
    <s v="Air Fryer"/>
    <n v="89.99"/>
    <n v="1"/>
    <n v="0"/>
    <n v="89.99"/>
    <n v="89.99"/>
    <s v="Credit Card"/>
    <x v="0"/>
    <n v="5"/>
    <n v="58"/>
    <s v="Houston"/>
    <x v="2"/>
    <s v="Male"/>
  </r>
  <r>
    <s v="ORD-20988"/>
    <s v="CUST-5121"/>
    <d v="2022-02-06T00:00:00"/>
    <x v="2"/>
    <s v="Air Fryer"/>
    <n v="89.99"/>
    <n v="4"/>
    <n v="0"/>
    <n v="89.99"/>
    <n v="359.96"/>
    <s v="PayPal"/>
    <x v="0"/>
    <m/>
    <n v="21"/>
    <s v="San Jose"/>
    <x v="3"/>
    <s v="Female"/>
  </r>
  <r>
    <s v="ORD-20989"/>
    <s v="CUST-5121"/>
    <d v="2022-03-09T00:00:00"/>
    <x v="6"/>
    <s v="Moisturizer SPF 50"/>
    <n v="29.99"/>
    <n v="4"/>
    <n v="0"/>
    <n v="29.99"/>
    <n v="119.96"/>
    <s v="Wallet"/>
    <x v="4"/>
    <n v="4"/>
    <n v="21"/>
    <s v="San Jose"/>
    <x v="3"/>
    <s v="Female"/>
  </r>
  <r>
    <s v="ORD-20990"/>
    <s v="CUST-5121"/>
    <d v="2023-03-20T00:00:00"/>
    <x v="5"/>
    <s v="Bluetooth Speaker"/>
    <n v="49.99"/>
    <n v="3"/>
    <n v="10"/>
    <n v="44.99"/>
    <n v="134.97"/>
    <s v="UPI"/>
    <x v="0"/>
    <m/>
    <n v="21"/>
    <s v="San Jose"/>
    <x v="3"/>
    <s v="Female"/>
  </r>
  <r>
    <s v="ORD-20991"/>
    <s v="CUST-5121"/>
    <d v="2024-11-22T00:00:00"/>
    <x v="2"/>
    <s v="Air Fryer"/>
    <n v="89.99"/>
    <n v="2"/>
    <n v="0"/>
    <n v="89.99"/>
    <n v="179.98"/>
    <s v="Wallet"/>
    <x v="0"/>
    <m/>
    <n v="21"/>
    <s v="San Jose"/>
    <x v="3"/>
    <s v="Female"/>
  </r>
  <r>
    <s v="ORD-20992"/>
    <s v="CUST-5121"/>
    <d v="2024-06-14T00:00:00"/>
    <x v="1"/>
    <s v="Puzzle 1000pcs"/>
    <n v="24.99"/>
    <n v="1"/>
    <n v="15"/>
    <n v="21.24"/>
    <n v="21.24"/>
    <s v="UPI"/>
    <x v="0"/>
    <n v="2"/>
    <n v="21"/>
    <s v="San Jose"/>
    <x v="3"/>
    <s v="Female"/>
  </r>
  <r>
    <s v="ORD-20993"/>
    <s v="CUST-5121"/>
    <d v="2023-03-22T00:00:00"/>
    <x v="0"/>
    <s v="Data Science Handbook"/>
    <n v="49.99"/>
    <n v="1"/>
    <n v="20"/>
    <n v="39.99"/>
    <n v="39.99"/>
    <s v="Debit Card"/>
    <x v="0"/>
    <n v="4"/>
    <n v="21"/>
    <s v="San Jose"/>
    <x v="3"/>
    <s v="Female"/>
  </r>
  <r>
    <s v="ORD-20994"/>
    <s v="CUST-5121"/>
    <d v="2023-07-25T00:00:00"/>
    <x v="0"/>
    <s v="Data Science Handbook"/>
    <n v="49.99"/>
    <n v="3"/>
    <n v="15"/>
    <n v="42.49"/>
    <n v="127.47"/>
    <s v="Debit Card"/>
    <x v="0"/>
    <n v="5"/>
    <n v="21"/>
    <s v="San Jose"/>
    <x v="3"/>
    <s v="Female"/>
  </r>
  <r>
    <s v="ORD-20995"/>
    <s v="CUST-5121"/>
    <d v="2024-05-24T00:00:00"/>
    <x v="0"/>
    <s v="Business Analytics"/>
    <n v="39.99"/>
    <n v="2"/>
    <n v="0"/>
    <n v="39.99"/>
    <n v="79.98"/>
    <s v="Wallet"/>
    <x v="0"/>
    <n v="4"/>
    <n v="21"/>
    <s v="San Jose"/>
    <x v="3"/>
    <s v="Female"/>
  </r>
  <r>
    <s v="ORD-20996"/>
    <s v="CUST-5121"/>
    <d v="2023-10-09T00:00:00"/>
    <x v="4"/>
    <s v="Yoga Mat"/>
    <n v="29.99"/>
    <n v="1"/>
    <n v="0"/>
    <n v="29.99"/>
    <n v="29.99"/>
    <s v="Wallet"/>
    <x v="0"/>
    <n v="5"/>
    <n v="21"/>
    <s v="San Jose"/>
    <x v="3"/>
    <s v="Female"/>
  </r>
  <r>
    <s v="ORD-20997"/>
    <s v="CUST-5122"/>
    <d v="2024-11-08T00:00:00"/>
    <x v="3"/>
    <s v="Denim Jacket"/>
    <n v="69.989999999999995"/>
    <n v="2"/>
    <n v="10"/>
    <n v="62.99"/>
    <n v="125.98"/>
    <s v="UPI"/>
    <x v="0"/>
    <n v="5"/>
    <n v="59"/>
    <s v="Austin"/>
    <x v="3"/>
    <s v="Male"/>
  </r>
  <r>
    <s v="ORD-20998"/>
    <s v="CUST-5122"/>
    <d v="2024-09-26T00:00:00"/>
    <x v="2"/>
    <s v="Coffee Maker"/>
    <n v="59.99"/>
    <n v="3"/>
    <n v="0"/>
    <n v="59.99"/>
    <n v="179.97"/>
    <s v="UPI"/>
    <x v="0"/>
    <n v="5"/>
    <n v="59"/>
    <s v="Austin"/>
    <x v="3"/>
    <s v="Male"/>
  </r>
  <r>
    <s v="ORD-20999"/>
    <s v="CUST-5122"/>
    <d v="2023-08-18T00:00:00"/>
    <x v="6"/>
    <s v="Hair Mask"/>
    <n v="24.99"/>
    <n v="2"/>
    <n v="15"/>
    <n v="21.24"/>
    <n v="42.48"/>
    <s v="Wallet"/>
    <x v="0"/>
    <n v="3"/>
    <n v="59"/>
    <s v="Austin"/>
    <x v="3"/>
    <s v="Male"/>
  </r>
  <r>
    <s v="ORD-21000"/>
    <s v="CUST-5123"/>
    <d v="2024-06-05T00:00:00"/>
    <x v="6"/>
    <s v="Moisturizer SPF 50"/>
    <n v="29.99"/>
    <n v="1"/>
    <n v="15"/>
    <n v="25.49"/>
    <n v="25.49"/>
    <s v="Credit Card"/>
    <x v="0"/>
    <m/>
    <n v="18"/>
    <s v="Phoenix"/>
    <x v="1"/>
    <s v="Female"/>
  </r>
  <r>
    <s v="ORD-21001"/>
    <s v="CUST-5123"/>
    <d v="2022-05-25T00:00:00"/>
    <x v="6"/>
    <s v="Moisturizer SPF 50"/>
    <n v="29.99"/>
    <n v="3"/>
    <n v="0"/>
    <n v="29.99"/>
    <n v="89.97"/>
    <s v="Wallet"/>
    <x v="0"/>
    <n v="4"/>
    <n v="18"/>
    <s v="Phoenix"/>
    <x v="1"/>
    <s v="Female"/>
  </r>
  <r>
    <s v="ORD-21002"/>
    <s v="CUST-5123"/>
    <d v="2022-12-01T00:00:00"/>
    <x v="2"/>
    <s v="Non-stick Pan Set"/>
    <n v="44.99"/>
    <n v="2"/>
    <n v="5"/>
    <n v="42.74"/>
    <n v="85.48"/>
    <s v="Debit Card"/>
    <x v="4"/>
    <m/>
    <n v="18"/>
    <s v="Phoenix"/>
    <x v="1"/>
    <s v="Female"/>
  </r>
  <r>
    <s v="ORD-21003"/>
    <s v="CUST-5123"/>
    <d v="2022-12-10T00:00:00"/>
    <x v="1"/>
    <s v="LEGO Classic Set"/>
    <n v="49.99"/>
    <n v="2"/>
    <n v="15"/>
    <n v="42.49"/>
    <n v="84.98"/>
    <s v="UPI"/>
    <x v="0"/>
    <n v="5"/>
    <n v="18"/>
    <s v="Phoenix"/>
    <x v="1"/>
    <s v="Female"/>
  </r>
  <r>
    <s v="ORD-21004"/>
    <s v="CUST-5123"/>
    <d v="2024-09-15T00:00:00"/>
    <x v="4"/>
    <s v="Water Bottle"/>
    <n v="24.99"/>
    <n v="2"/>
    <n v="15"/>
    <n v="21.24"/>
    <n v="42.48"/>
    <s v="Credit Card"/>
    <x v="3"/>
    <n v="5"/>
    <n v="18"/>
    <s v="Phoenix"/>
    <x v="1"/>
    <s v="Female"/>
  </r>
  <r>
    <s v="ORD-21005"/>
    <s v="CUST-5123"/>
    <d v="2024-11-16T00:00:00"/>
    <x v="4"/>
    <s v="Resistance Bands"/>
    <n v="19.989999999999998"/>
    <n v="1"/>
    <n v="5"/>
    <n v="18.989999999999998"/>
    <n v="18.989999999999998"/>
    <s v="Debit Card"/>
    <x v="0"/>
    <n v="4"/>
    <n v="18"/>
    <s v="Phoenix"/>
    <x v="1"/>
    <s v="Female"/>
  </r>
  <r>
    <s v="ORD-21006"/>
    <s v="CUST-5123"/>
    <d v="2022-07-19T00:00:00"/>
    <x v="5"/>
    <s v="Bluetooth Speaker"/>
    <n v="49.99"/>
    <n v="2"/>
    <n v="0"/>
    <n v="49.99"/>
    <n v="99.98"/>
    <s v="UPI"/>
    <x v="0"/>
    <n v="2"/>
    <n v="18"/>
    <s v="Phoenix"/>
    <x v="1"/>
    <s v="Female"/>
  </r>
  <r>
    <s v="ORD-21007"/>
    <s v="CUST-5123"/>
    <d v="2024-11-06T00:00:00"/>
    <x v="1"/>
    <s v="Remote Control Car"/>
    <n v="39.99"/>
    <n v="4"/>
    <n v="10"/>
    <n v="35.99"/>
    <n v="143.96"/>
    <s v="Wallet"/>
    <x v="1"/>
    <n v="4"/>
    <n v="18"/>
    <s v="Phoenix"/>
    <x v="1"/>
    <s v="Female"/>
  </r>
  <r>
    <s v="ORD-21008"/>
    <s v="CUST-5123"/>
    <d v="2023-03-21T00:00:00"/>
    <x v="4"/>
    <s v="Jump Rope"/>
    <n v="14.99"/>
    <n v="1"/>
    <n v="5"/>
    <n v="14.24"/>
    <n v="14.24"/>
    <s v="Wallet"/>
    <x v="0"/>
    <n v="5"/>
    <n v="18"/>
    <s v="Phoenix"/>
    <x v="1"/>
    <s v="Female"/>
  </r>
  <r>
    <s v="ORD-21009"/>
    <s v="CUST-5123"/>
    <d v="2024-01-14T00:00:00"/>
    <x v="1"/>
    <s v="LEGO Classic Set"/>
    <n v="49.99"/>
    <n v="3"/>
    <n v="5"/>
    <n v="47.49"/>
    <n v="142.47"/>
    <s v="PayPal"/>
    <x v="0"/>
    <n v="4"/>
    <n v="18"/>
    <s v="Phoenix"/>
    <x v="1"/>
    <s v="Female"/>
  </r>
  <r>
    <s v="ORD-21010"/>
    <s v="CUST-5123"/>
    <d v="2023-02-14T00:00:00"/>
    <x v="1"/>
    <s v="Puzzle 1000pcs"/>
    <n v="24.99"/>
    <n v="2"/>
    <n v="15"/>
    <n v="21.24"/>
    <n v="42.48"/>
    <s v="Credit Card"/>
    <x v="0"/>
    <m/>
    <n v="18"/>
    <s v="Phoenix"/>
    <x v="1"/>
    <s v="Female"/>
  </r>
  <r>
    <s v="ORD-21011"/>
    <s v="CUST-5123"/>
    <d v="2024-04-27T00:00:00"/>
    <x v="0"/>
    <s v="Data Science Handbook"/>
    <n v="49.99"/>
    <n v="1"/>
    <n v="0"/>
    <n v="49.99"/>
    <n v="49.99"/>
    <s v="PayPal"/>
    <x v="0"/>
    <m/>
    <n v="18"/>
    <s v="Phoenix"/>
    <x v="1"/>
    <s v="Female"/>
  </r>
  <r>
    <s v="ORD-21012"/>
    <s v="CUST-5123"/>
    <d v="2022-05-07T00:00:00"/>
    <x v="3"/>
    <s v="Cotton T-Shirt"/>
    <n v="24.99"/>
    <n v="3"/>
    <n v="15"/>
    <n v="21.24"/>
    <n v="63.72"/>
    <s v="UPI"/>
    <x v="0"/>
    <n v="5"/>
    <n v="18"/>
    <s v="Phoenix"/>
    <x v="1"/>
    <s v="Female"/>
  </r>
  <r>
    <s v="ORD-21013"/>
    <s v="CUST-5124"/>
    <d v="2022-07-16T00:00:00"/>
    <x v="0"/>
    <s v="Data Science Handbook"/>
    <n v="49.99"/>
    <n v="4"/>
    <n v="0"/>
    <n v="49.99"/>
    <n v="199.96"/>
    <s v="PayPal"/>
    <x v="0"/>
    <m/>
    <n v="62"/>
    <s v="San Antonio"/>
    <x v="0"/>
    <s v="Male"/>
  </r>
  <r>
    <s v="ORD-21014"/>
    <s v="CUST-5124"/>
    <d v="2023-07-26T00:00:00"/>
    <x v="6"/>
    <s v="Face Serum"/>
    <n v="39.99"/>
    <n v="1"/>
    <n v="5"/>
    <n v="37.99"/>
    <n v="37.99"/>
    <s v="Wallet"/>
    <x v="0"/>
    <n v="4"/>
    <n v="62"/>
    <s v="San Antonio"/>
    <x v="0"/>
    <s v="Male"/>
  </r>
  <r>
    <s v="ORD-21015"/>
    <s v="CUST-5124"/>
    <d v="2023-07-22T00:00:00"/>
    <x v="1"/>
    <s v="Action Figure"/>
    <n v="19.989999999999998"/>
    <n v="3"/>
    <n v="5"/>
    <n v="18.989999999999998"/>
    <n v="56.97"/>
    <s v="Wallet"/>
    <x v="0"/>
    <n v="4"/>
    <n v="62"/>
    <s v="San Antonio"/>
    <x v="0"/>
    <s v="Male"/>
  </r>
  <r>
    <s v="ORD-21016"/>
    <s v="CUST-5124"/>
    <d v="2023-05-27T00:00:00"/>
    <x v="5"/>
    <s v="Wireless Earbuds"/>
    <n v="79.989999999999995"/>
    <n v="1"/>
    <n v="0"/>
    <n v="79.989999999999995"/>
    <n v="79.989999999999995"/>
    <s v="Credit Card"/>
    <x v="0"/>
    <m/>
    <n v="62"/>
    <s v="San Antonio"/>
    <x v="0"/>
    <s v="Male"/>
  </r>
  <r>
    <s v="ORD-21017"/>
    <s v="CUST-5124"/>
    <d v="2024-07-26T00:00:00"/>
    <x v="0"/>
    <s v="Business Analytics"/>
    <n v="39.99"/>
    <n v="3"/>
    <n v="10"/>
    <n v="35.99"/>
    <n v="107.97"/>
    <s v="PayPal"/>
    <x v="0"/>
    <m/>
    <n v="62"/>
    <s v="San Antonio"/>
    <x v="0"/>
    <s v="Male"/>
  </r>
  <r>
    <s v="ORD-21018"/>
    <s v="CUST-5124"/>
    <d v="2022-07-07T00:00:00"/>
    <x v="5"/>
    <s v="Wireless Earbuds"/>
    <n v="79.989999999999995"/>
    <n v="4"/>
    <n v="10"/>
    <n v="71.989999999999995"/>
    <n v="287.95999999999998"/>
    <s v="Wallet"/>
    <x v="0"/>
    <n v="5"/>
    <n v="62"/>
    <s v="San Antonio"/>
    <x v="0"/>
    <s v="Male"/>
  </r>
  <r>
    <s v="ORD-21019"/>
    <s v="CUST-5124"/>
    <d v="2023-08-23T00:00:00"/>
    <x v="6"/>
    <s v="Face Serum"/>
    <n v="39.99"/>
    <n v="1"/>
    <n v="0"/>
    <n v="39.99"/>
    <n v="39.99"/>
    <s v="UPI"/>
    <x v="0"/>
    <m/>
    <n v="62"/>
    <s v="San Antonio"/>
    <x v="0"/>
    <s v="Male"/>
  </r>
  <r>
    <s v="ORD-21020"/>
    <s v="CUST-5124"/>
    <d v="2023-01-02T00:00:00"/>
    <x v="0"/>
    <s v="Fiction Novel"/>
    <n v="14.99"/>
    <n v="2"/>
    <n v="0"/>
    <n v="14.99"/>
    <n v="29.98"/>
    <s v="Credit Card"/>
    <x v="0"/>
    <m/>
    <n v="62"/>
    <s v="San Antonio"/>
    <x v="0"/>
    <s v="Male"/>
  </r>
  <r>
    <s v="ORD-21021"/>
    <s v="CUST-5124"/>
    <d v="2024-10-21T00:00:00"/>
    <x v="4"/>
    <s v="Resistance Bands"/>
    <n v="19.989999999999998"/>
    <n v="2"/>
    <n v="20"/>
    <n v="15.99"/>
    <n v="31.98"/>
    <s v="UPI"/>
    <x v="0"/>
    <n v="5"/>
    <n v="62"/>
    <s v="San Antonio"/>
    <x v="0"/>
    <s v="Male"/>
  </r>
  <r>
    <s v="ORD-21022"/>
    <s v="CUST-5124"/>
    <d v="2022-09-20T00:00:00"/>
    <x v="1"/>
    <s v="Remote Control Car"/>
    <n v="39.99"/>
    <n v="4"/>
    <n v="10"/>
    <n v="35.99"/>
    <n v="143.96"/>
    <s v="Credit Card"/>
    <x v="0"/>
    <m/>
    <n v="62"/>
    <s v="San Antonio"/>
    <x v="0"/>
    <s v="Male"/>
  </r>
  <r>
    <s v="ORD-21023"/>
    <s v="CUST-5124"/>
    <d v="2023-05-21T00:00:00"/>
    <x v="3"/>
    <s v="Denim Jacket"/>
    <n v="69.989999999999995"/>
    <n v="1"/>
    <n v="15"/>
    <n v="59.49"/>
    <n v="59.49"/>
    <s v="Debit Card"/>
    <x v="0"/>
    <m/>
    <n v="62"/>
    <s v="San Antonio"/>
    <x v="0"/>
    <s v="Male"/>
  </r>
  <r>
    <s v="ORD-21024"/>
    <s v="CUST-5124"/>
    <d v="2024-03-14T00:00:00"/>
    <x v="3"/>
    <s v="Cotton T-Shirt"/>
    <n v="24.99"/>
    <n v="2"/>
    <n v="20"/>
    <n v="19.989999999999998"/>
    <n v="39.979999999999997"/>
    <s v="Debit Card"/>
    <x v="0"/>
    <n v="5"/>
    <n v="62"/>
    <s v="San Antonio"/>
    <x v="0"/>
    <s v="Male"/>
  </r>
  <r>
    <s v="ORD-21025"/>
    <s v="CUST-5125"/>
    <d v="2022-02-13T00:00:00"/>
    <x v="5"/>
    <s v="Bluetooth Speaker"/>
    <n v="49.99"/>
    <n v="4"/>
    <n v="0"/>
    <n v="49.99"/>
    <n v="199.96"/>
    <s v="UPI"/>
    <x v="0"/>
    <m/>
    <n v="47"/>
    <s v="Dallas"/>
    <x v="1"/>
    <s v="Male"/>
  </r>
  <r>
    <s v="ORD-21026"/>
    <s v="CUST-5125"/>
    <d v="2022-02-13T00:00:00"/>
    <x v="6"/>
    <s v="Face Serum"/>
    <n v="39.99"/>
    <n v="2"/>
    <n v="5"/>
    <n v="37.99"/>
    <n v="75.98"/>
    <s v="Debit Card"/>
    <x v="0"/>
    <n v="5"/>
    <n v="47"/>
    <s v="Dallas"/>
    <x v="1"/>
    <s v="Male"/>
  </r>
  <r>
    <s v="ORD-21027"/>
    <s v="CUST-5125"/>
    <d v="2022-05-12T00:00:00"/>
    <x v="1"/>
    <s v="Action Figure"/>
    <n v="19.989999999999998"/>
    <n v="2"/>
    <n v="20"/>
    <n v="15.99"/>
    <n v="31.98"/>
    <s v="PayPal"/>
    <x v="0"/>
    <n v="5"/>
    <n v="47"/>
    <s v="Dallas"/>
    <x v="1"/>
    <s v="Male"/>
  </r>
  <r>
    <s v="ORD-21028"/>
    <s v="CUST-5125"/>
    <d v="2022-08-20T00:00:00"/>
    <x v="6"/>
    <s v="Face Serum"/>
    <n v="39.99"/>
    <n v="3"/>
    <n v="5"/>
    <n v="37.99"/>
    <n v="113.97"/>
    <s v="PayPal"/>
    <x v="2"/>
    <n v="4"/>
    <n v="47"/>
    <s v="Dallas"/>
    <x v="1"/>
    <s v="Male"/>
  </r>
  <r>
    <s v="ORD-21029"/>
    <s v="CUST-5125"/>
    <d v="2022-06-11T00:00:00"/>
    <x v="0"/>
    <s v="Data Science Handbook"/>
    <n v="49.99"/>
    <n v="2"/>
    <n v="20"/>
    <n v="39.99"/>
    <n v="79.98"/>
    <s v="Credit Card"/>
    <x v="0"/>
    <n v="5"/>
    <n v="47"/>
    <s v="Dallas"/>
    <x v="1"/>
    <s v="Male"/>
  </r>
  <r>
    <s v="ORD-21030"/>
    <s v="CUST-5125"/>
    <d v="2024-08-11T00:00:00"/>
    <x v="2"/>
    <s v="Coffee Maker"/>
    <n v="59.99"/>
    <n v="4"/>
    <n v="0"/>
    <n v="59.99"/>
    <n v="239.96"/>
    <s v="PayPal"/>
    <x v="2"/>
    <n v="3"/>
    <n v="47"/>
    <s v="Dallas"/>
    <x v="1"/>
    <s v="Male"/>
  </r>
  <r>
    <s v="ORD-21031"/>
    <s v="CUST-5125"/>
    <d v="2024-08-01T00:00:00"/>
    <x v="0"/>
    <s v="Business Analytics"/>
    <n v="39.99"/>
    <n v="2"/>
    <n v="0"/>
    <n v="39.99"/>
    <n v="79.98"/>
    <s v="Wallet"/>
    <x v="0"/>
    <n v="4"/>
    <n v="47"/>
    <s v="Dallas"/>
    <x v="1"/>
    <s v="Male"/>
  </r>
  <r>
    <s v="ORD-21032"/>
    <s v="CUST-5125"/>
    <d v="2023-04-02T00:00:00"/>
    <x v="3"/>
    <s v="Running Shoes"/>
    <n v="89.99"/>
    <n v="1"/>
    <n v="0"/>
    <n v="89.99"/>
    <n v="89.99"/>
    <s v="Debit Card"/>
    <x v="0"/>
    <n v="5"/>
    <n v="47"/>
    <s v="Dallas"/>
    <x v="1"/>
    <s v="Male"/>
  </r>
  <r>
    <s v="ORD-21033"/>
    <s v="CUST-5126"/>
    <d v="2024-02-19T00:00:00"/>
    <x v="3"/>
    <s v="Cotton T-Shirt"/>
    <n v="24.99"/>
    <n v="4"/>
    <n v="10"/>
    <n v="22.49"/>
    <n v="89.96"/>
    <s v="Debit Card"/>
    <x v="0"/>
    <n v="4"/>
    <n v="31"/>
    <s v="Chicago"/>
    <x v="2"/>
    <s v="Female"/>
  </r>
  <r>
    <s v="ORD-21034"/>
    <s v="CUST-5127"/>
    <d v="2024-08-13T00:00:00"/>
    <x v="4"/>
    <s v="Jump Rope"/>
    <n v="14.99"/>
    <n v="4"/>
    <n v="10"/>
    <n v="13.49"/>
    <n v="53.96"/>
    <s v="PayPal"/>
    <x v="0"/>
    <n v="5"/>
    <n v="46"/>
    <s v="Phoenix"/>
    <x v="2"/>
    <s v="Male"/>
  </r>
  <r>
    <s v="ORD-21035"/>
    <s v="CUST-5127"/>
    <d v="2024-06-05T00:00:00"/>
    <x v="6"/>
    <s v="Face Serum"/>
    <n v="39.99"/>
    <n v="3"/>
    <n v="15"/>
    <n v="33.99"/>
    <n v="101.97"/>
    <s v="Credit Card"/>
    <x v="0"/>
    <n v="4"/>
    <n v="46"/>
    <s v="Phoenix"/>
    <x v="2"/>
    <s v="Male"/>
  </r>
  <r>
    <s v="ORD-21036"/>
    <s v="CUST-5128"/>
    <d v="2023-04-14T00:00:00"/>
    <x v="1"/>
    <s v="Puzzle 1000pcs"/>
    <n v="24.99"/>
    <n v="3"/>
    <n v="5"/>
    <n v="23.74"/>
    <n v="71.22"/>
    <s v="Wallet"/>
    <x v="4"/>
    <n v="5"/>
    <n v="59"/>
    <s v="San Jose"/>
    <x v="3"/>
    <s v="Male"/>
  </r>
  <r>
    <s v="ORD-21037"/>
    <s v="CUST-5129"/>
    <d v="2023-05-21T00:00:00"/>
    <x v="3"/>
    <s v="Yoga Pants"/>
    <n v="44.99"/>
    <n v="2"/>
    <n v="10"/>
    <n v="40.49"/>
    <n v="80.98"/>
    <s v="Credit Card"/>
    <x v="0"/>
    <n v="1"/>
    <n v="29"/>
    <s v="San Jose"/>
    <x v="0"/>
    <s v="Female"/>
  </r>
  <r>
    <s v="ORD-21038"/>
    <s v="CUST-5129"/>
    <d v="2024-05-02T00:00:00"/>
    <x v="1"/>
    <s v="LEGO Classic Set"/>
    <n v="49.99"/>
    <n v="4"/>
    <n v="0"/>
    <n v="49.99"/>
    <n v="199.96"/>
    <s v="UPI"/>
    <x v="0"/>
    <n v="5"/>
    <n v="29"/>
    <s v="San Jose"/>
    <x v="0"/>
    <s v="Female"/>
  </r>
  <r>
    <s v="ORD-21039"/>
    <s v="CUST-5129"/>
    <d v="2022-10-14T00:00:00"/>
    <x v="3"/>
    <s v="Cotton T-Shirt"/>
    <n v="24.99"/>
    <n v="3"/>
    <n v="0"/>
    <n v="24.99"/>
    <n v="74.97"/>
    <s v="PayPal"/>
    <x v="2"/>
    <m/>
    <n v="29"/>
    <s v="San Jose"/>
    <x v="0"/>
    <s v="Female"/>
  </r>
  <r>
    <s v="ORD-21040"/>
    <s v="CUST-5129"/>
    <d v="2024-03-13T00:00:00"/>
    <x v="4"/>
    <s v="Resistance Bands"/>
    <n v="19.989999999999998"/>
    <n v="1"/>
    <n v="20"/>
    <n v="15.99"/>
    <n v="15.99"/>
    <s v="UPI"/>
    <x v="0"/>
    <n v="2"/>
    <n v="29"/>
    <s v="San Jose"/>
    <x v="0"/>
    <s v="Female"/>
  </r>
  <r>
    <s v="ORD-21041"/>
    <s v="CUST-5130"/>
    <d v="2024-03-18T00:00:00"/>
    <x v="5"/>
    <s v="Bluetooth Speaker"/>
    <n v="49.99"/>
    <n v="4"/>
    <n v="0"/>
    <n v="49.99"/>
    <n v="199.96"/>
    <s v="Debit Card"/>
    <x v="0"/>
    <m/>
    <n v="20"/>
    <s v="Phoenix"/>
    <x v="2"/>
    <s v="Male"/>
  </r>
  <r>
    <s v="ORD-21042"/>
    <s v="CUST-5130"/>
    <d v="2023-11-27T00:00:00"/>
    <x v="1"/>
    <s v="Action Figure"/>
    <n v="19.989999999999998"/>
    <n v="4"/>
    <n v="15"/>
    <n v="16.989999999999998"/>
    <n v="67.959999999999994"/>
    <s v="Credit Card"/>
    <x v="0"/>
    <n v="5"/>
    <n v="20"/>
    <s v="Phoenix"/>
    <x v="2"/>
    <s v="Male"/>
  </r>
  <r>
    <s v="ORD-21043"/>
    <s v="CUST-5130"/>
    <d v="2024-11-09T00:00:00"/>
    <x v="2"/>
    <s v="Air Fryer"/>
    <n v="89.99"/>
    <n v="4"/>
    <n v="20"/>
    <n v="71.989999999999995"/>
    <n v="287.95999999999998"/>
    <s v="Credit Card"/>
    <x v="0"/>
    <n v="4"/>
    <n v="20"/>
    <s v="Phoenix"/>
    <x v="2"/>
    <s v="Male"/>
  </r>
  <r>
    <s v="ORD-21044"/>
    <s v="CUST-5130"/>
    <d v="2024-01-13T00:00:00"/>
    <x v="3"/>
    <s v="Yoga Pants"/>
    <n v="44.99"/>
    <n v="2"/>
    <n v="15"/>
    <n v="38.24"/>
    <n v="76.48"/>
    <s v="PayPal"/>
    <x v="0"/>
    <n v="4"/>
    <n v="20"/>
    <s v="Phoenix"/>
    <x v="2"/>
    <s v="Male"/>
  </r>
  <r>
    <s v="ORD-21045"/>
    <s v="CUST-5130"/>
    <d v="2023-04-03T00:00:00"/>
    <x v="4"/>
    <s v="Yoga Mat"/>
    <n v="29.99"/>
    <n v="4"/>
    <n v="0"/>
    <n v="29.99"/>
    <n v="119.96"/>
    <s v="UPI"/>
    <x v="0"/>
    <n v="4"/>
    <n v="20"/>
    <s v="Phoenix"/>
    <x v="2"/>
    <s v="Male"/>
  </r>
  <r>
    <s v="ORD-21046"/>
    <s v="CUST-5130"/>
    <d v="2022-08-03T00:00:00"/>
    <x v="3"/>
    <s v="Cotton T-Shirt"/>
    <n v="24.99"/>
    <n v="4"/>
    <n v="0"/>
    <n v="24.99"/>
    <n v="99.96"/>
    <s v="Debit Card"/>
    <x v="0"/>
    <m/>
    <n v="20"/>
    <s v="Phoenix"/>
    <x v="2"/>
    <s v="Male"/>
  </r>
  <r>
    <s v="ORD-21047"/>
    <s v="CUST-5130"/>
    <d v="2024-06-24T00:00:00"/>
    <x v="1"/>
    <s v="LEGO Classic Set"/>
    <n v="49.99"/>
    <n v="1"/>
    <n v="20"/>
    <n v="39.99"/>
    <n v="39.99"/>
    <s v="UPI"/>
    <x v="0"/>
    <m/>
    <n v="20"/>
    <s v="Phoenix"/>
    <x v="2"/>
    <s v="Male"/>
  </r>
  <r>
    <s v="ORD-21048"/>
    <s v="CUST-5130"/>
    <d v="2023-01-21T00:00:00"/>
    <x v="5"/>
    <s v="Smart Watch"/>
    <n v="199.99"/>
    <n v="3"/>
    <n v="10"/>
    <n v="179.99"/>
    <n v="539.97"/>
    <s v="Credit Card"/>
    <x v="2"/>
    <n v="5"/>
    <n v="20"/>
    <s v="Phoenix"/>
    <x v="2"/>
    <s v="Male"/>
  </r>
  <r>
    <s v="ORD-21049"/>
    <s v="CUST-5130"/>
    <d v="2023-04-15T00:00:00"/>
    <x v="1"/>
    <s v="LEGO Classic Set"/>
    <n v="49.99"/>
    <n v="4"/>
    <n v="0"/>
    <n v="49.99"/>
    <n v="199.96"/>
    <s v="Wallet"/>
    <x v="0"/>
    <m/>
    <n v="20"/>
    <s v="Phoenix"/>
    <x v="2"/>
    <s v="Male"/>
  </r>
  <r>
    <s v="ORD-21050"/>
    <s v="CUST-5131"/>
    <d v="2023-07-15T00:00:00"/>
    <x v="2"/>
    <s v="Non-stick Pan Set"/>
    <n v="44.99"/>
    <n v="2"/>
    <n v="20"/>
    <n v="35.99"/>
    <n v="71.98"/>
    <s v="Debit Card"/>
    <x v="1"/>
    <n v="4"/>
    <n v="39"/>
    <s v="Dallas"/>
    <x v="2"/>
    <s v="Female"/>
  </r>
  <r>
    <s v="ORD-21051"/>
    <s v="CUST-5131"/>
    <d v="2022-05-26T00:00:00"/>
    <x v="6"/>
    <s v="Hair Mask"/>
    <n v="24.99"/>
    <n v="3"/>
    <n v="0"/>
    <n v="24.99"/>
    <n v="74.97"/>
    <s v="Wallet"/>
    <x v="0"/>
    <m/>
    <n v="39"/>
    <s v="Dallas"/>
    <x v="2"/>
    <s v="Female"/>
  </r>
  <r>
    <s v="ORD-21052"/>
    <s v="CUST-5131"/>
    <d v="2024-07-13T00:00:00"/>
    <x v="2"/>
    <s v="Coffee Maker"/>
    <n v="59.99"/>
    <n v="2"/>
    <n v="15"/>
    <n v="50.99"/>
    <n v="101.98"/>
    <s v="Credit Card"/>
    <x v="0"/>
    <m/>
    <n v="39"/>
    <s v="Dallas"/>
    <x v="2"/>
    <s v="Female"/>
  </r>
  <r>
    <s v="ORD-21053"/>
    <s v="CUST-5131"/>
    <d v="2023-03-19T00:00:00"/>
    <x v="3"/>
    <s v="Denim Jacket"/>
    <n v="69.989999999999995"/>
    <n v="4"/>
    <n v="5"/>
    <n v="66.489999999999995"/>
    <n v="265.95999999999998"/>
    <s v="Credit Card"/>
    <x v="0"/>
    <n v="4"/>
    <n v="39"/>
    <s v="Dallas"/>
    <x v="2"/>
    <s v="Female"/>
  </r>
  <r>
    <s v="ORD-21054"/>
    <s v="CUST-5131"/>
    <d v="2024-01-03T00:00:00"/>
    <x v="4"/>
    <s v="Water Bottle"/>
    <n v="24.99"/>
    <n v="2"/>
    <n v="15"/>
    <n v="21.24"/>
    <n v="42.48"/>
    <s v="PayPal"/>
    <x v="0"/>
    <n v="5"/>
    <n v="39"/>
    <s v="Dallas"/>
    <x v="2"/>
    <s v="Female"/>
  </r>
  <r>
    <s v="ORD-21055"/>
    <s v="CUST-5131"/>
    <d v="2023-05-07T00:00:00"/>
    <x v="5"/>
    <s v="USB-C Hub"/>
    <n v="34.99"/>
    <n v="1"/>
    <n v="0"/>
    <n v="34.99"/>
    <n v="34.99"/>
    <s v="Credit Card"/>
    <x v="0"/>
    <n v="4"/>
    <n v="39"/>
    <s v="Dallas"/>
    <x v="2"/>
    <s v="Female"/>
  </r>
  <r>
    <s v="ORD-21056"/>
    <s v="CUST-5131"/>
    <d v="2024-02-15T00:00:00"/>
    <x v="2"/>
    <s v="Air Fryer"/>
    <n v="89.99"/>
    <n v="4"/>
    <n v="20"/>
    <n v="71.989999999999995"/>
    <n v="287.95999999999998"/>
    <s v="PayPal"/>
    <x v="0"/>
    <n v="3"/>
    <n v="39"/>
    <s v="Dallas"/>
    <x v="2"/>
    <s v="Female"/>
  </r>
  <r>
    <s v="ORD-21057"/>
    <s v="CUST-5131"/>
    <d v="2024-04-24T00:00:00"/>
    <x v="1"/>
    <s v="Puzzle 1000pcs"/>
    <n v="24.99"/>
    <n v="1"/>
    <n v="0"/>
    <n v="24.99"/>
    <n v="24.99"/>
    <s v="UPI"/>
    <x v="0"/>
    <m/>
    <n v="39"/>
    <s v="Dallas"/>
    <x v="2"/>
    <s v="Female"/>
  </r>
  <r>
    <s v="ORD-21058"/>
    <s v="CUST-5131"/>
    <d v="2023-05-26T00:00:00"/>
    <x v="0"/>
    <s v="Fiction Novel"/>
    <n v="14.99"/>
    <n v="4"/>
    <n v="15"/>
    <n v="12.74"/>
    <n v="50.96"/>
    <s v="Wallet"/>
    <x v="0"/>
    <n v="4"/>
    <n v="39"/>
    <s v="Dallas"/>
    <x v="2"/>
    <s v="Female"/>
  </r>
  <r>
    <s v="ORD-21059"/>
    <s v="CUST-5131"/>
    <d v="2022-11-10T00:00:00"/>
    <x v="1"/>
    <s v="Puzzle 1000pcs"/>
    <n v="24.99"/>
    <n v="2"/>
    <n v="20"/>
    <n v="19.989999999999998"/>
    <n v="39.979999999999997"/>
    <s v="PayPal"/>
    <x v="0"/>
    <m/>
    <n v="39"/>
    <s v="Dallas"/>
    <x v="2"/>
    <s v="Female"/>
  </r>
  <r>
    <s v="ORD-21060"/>
    <s v="CUST-5131"/>
    <d v="2022-04-17T00:00:00"/>
    <x v="6"/>
    <s v="Lip Balm Set"/>
    <n v="14.99"/>
    <n v="2"/>
    <n v="0"/>
    <n v="14.99"/>
    <n v="29.98"/>
    <s v="Wallet"/>
    <x v="0"/>
    <n v="3"/>
    <n v="39"/>
    <s v="Dallas"/>
    <x v="2"/>
    <s v="Female"/>
  </r>
  <r>
    <s v="ORD-21061"/>
    <s v="CUST-5131"/>
    <d v="2024-03-01T00:00:00"/>
    <x v="2"/>
    <s v="Air Fryer"/>
    <n v="89.99"/>
    <n v="1"/>
    <n v="0"/>
    <n v="89.99"/>
    <n v="89.99"/>
    <s v="PayPal"/>
    <x v="1"/>
    <n v="3"/>
    <n v="39"/>
    <s v="Dallas"/>
    <x v="2"/>
    <s v="Female"/>
  </r>
  <r>
    <s v="ORD-21062"/>
    <s v="CUST-5132"/>
    <d v="2024-05-13T00:00:00"/>
    <x v="6"/>
    <s v="Moisturizer SPF 50"/>
    <n v="29.99"/>
    <n v="1"/>
    <n v="0"/>
    <n v="29.99"/>
    <n v="29.99"/>
    <s v="Debit Card"/>
    <x v="0"/>
    <n v="3"/>
    <n v="47"/>
    <s v="San Jose"/>
    <x v="3"/>
    <s v="Male"/>
  </r>
  <r>
    <s v="ORD-21063"/>
    <s v="CUST-5132"/>
    <d v="2024-04-19T00:00:00"/>
    <x v="0"/>
    <s v="Business Analytics"/>
    <n v="39.99"/>
    <n v="2"/>
    <n v="20"/>
    <n v="31.99"/>
    <n v="63.98"/>
    <s v="Credit Card"/>
    <x v="0"/>
    <n v="5"/>
    <n v="47"/>
    <s v="San Jose"/>
    <x v="3"/>
    <s v="Male"/>
  </r>
  <r>
    <s v="ORD-21064"/>
    <s v="CUST-5132"/>
    <d v="2024-10-21T00:00:00"/>
    <x v="3"/>
    <s v="Cotton T-Shirt"/>
    <n v="24.99"/>
    <n v="3"/>
    <n v="20"/>
    <n v="19.989999999999998"/>
    <n v="59.97"/>
    <s v="Debit Card"/>
    <x v="0"/>
    <m/>
    <n v="47"/>
    <s v="San Jose"/>
    <x v="3"/>
    <s v="Male"/>
  </r>
  <r>
    <s v="ORD-21065"/>
    <s v="CUST-5132"/>
    <d v="2024-09-06T00:00:00"/>
    <x v="5"/>
    <s v="Wireless Earbuds"/>
    <n v="79.989999999999995"/>
    <n v="3"/>
    <n v="20"/>
    <n v="63.99"/>
    <n v="191.97"/>
    <s v="PayPal"/>
    <x v="0"/>
    <n v="4"/>
    <n v="47"/>
    <s v="San Jose"/>
    <x v="3"/>
    <s v="Male"/>
  </r>
  <r>
    <s v="ORD-21066"/>
    <s v="CUST-5132"/>
    <d v="2022-07-20T00:00:00"/>
    <x v="3"/>
    <s v="Cotton T-Shirt"/>
    <n v="24.99"/>
    <n v="2"/>
    <n v="0"/>
    <n v="24.99"/>
    <n v="49.98"/>
    <s v="Credit Card"/>
    <x v="0"/>
    <n v="4"/>
    <n v="47"/>
    <s v="San Jose"/>
    <x v="3"/>
    <s v="Male"/>
  </r>
  <r>
    <s v="ORD-21067"/>
    <s v="CUST-5133"/>
    <d v="2023-09-27T00:00:00"/>
    <x v="2"/>
    <s v="Coffee Maker"/>
    <n v="59.99"/>
    <n v="4"/>
    <n v="10"/>
    <n v="53.99"/>
    <n v="215.96"/>
    <s v="Debit Card"/>
    <x v="0"/>
    <n v="4"/>
    <n v="41"/>
    <s v="San Antonio"/>
    <x v="3"/>
    <s v="Female"/>
  </r>
  <r>
    <s v="ORD-21068"/>
    <s v="CUST-5133"/>
    <d v="2024-11-22T00:00:00"/>
    <x v="5"/>
    <s v="USB-C Hub"/>
    <n v="34.99"/>
    <n v="4"/>
    <n v="20"/>
    <n v="27.99"/>
    <n v="111.96"/>
    <s v="Wallet"/>
    <x v="0"/>
    <n v="4"/>
    <n v="41"/>
    <s v="San Antonio"/>
    <x v="3"/>
    <s v="Female"/>
  </r>
  <r>
    <s v="ORD-21069"/>
    <s v="CUST-5133"/>
    <d v="2024-11-04T00:00:00"/>
    <x v="6"/>
    <s v="Lip Balm Set"/>
    <n v="14.99"/>
    <n v="3"/>
    <n v="20"/>
    <n v="11.99"/>
    <n v="35.97"/>
    <s v="UPI"/>
    <x v="0"/>
    <n v="5"/>
    <n v="41"/>
    <s v="San Antonio"/>
    <x v="3"/>
    <s v="Female"/>
  </r>
  <r>
    <s v="ORD-21070"/>
    <s v="CUST-5133"/>
    <d v="2024-03-16T00:00:00"/>
    <x v="3"/>
    <s v="Yoga Pants"/>
    <n v="44.99"/>
    <n v="2"/>
    <n v="10"/>
    <n v="40.49"/>
    <n v="80.98"/>
    <s v="PayPal"/>
    <x v="0"/>
    <n v="4"/>
    <n v="41"/>
    <s v="San Antonio"/>
    <x v="3"/>
    <s v="Female"/>
  </r>
  <r>
    <s v="ORD-21071"/>
    <s v="CUST-5133"/>
    <d v="2024-03-06T00:00:00"/>
    <x v="2"/>
    <s v="Air Fryer"/>
    <n v="89.99"/>
    <n v="3"/>
    <n v="0"/>
    <n v="89.99"/>
    <n v="269.97000000000003"/>
    <s v="UPI"/>
    <x v="0"/>
    <n v="5"/>
    <n v="41"/>
    <s v="San Antonio"/>
    <x v="3"/>
    <s v="Female"/>
  </r>
  <r>
    <s v="ORD-21072"/>
    <s v="CUST-5133"/>
    <d v="2023-07-19T00:00:00"/>
    <x v="2"/>
    <s v="Non-stick Pan Set"/>
    <n v="44.99"/>
    <n v="1"/>
    <n v="0"/>
    <n v="44.99"/>
    <n v="44.99"/>
    <s v="Wallet"/>
    <x v="4"/>
    <m/>
    <n v="41"/>
    <s v="San Antonio"/>
    <x v="3"/>
    <s v="Female"/>
  </r>
  <r>
    <s v="ORD-21073"/>
    <s v="CUST-5133"/>
    <d v="2022-06-23T00:00:00"/>
    <x v="6"/>
    <s v="Hair Mask"/>
    <n v="24.99"/>
    <n v="3"/>
    <n v="0"/>
    <n v="24.99"/>
    <n v="74.97"/>
    <s v="UPI"/>
    <x v="0"/>
    <m/>
    <n v="41"/>
    <s v="San Antonio"/>
    <x v="3"/>
    <s v="Female"/>
  </r>
  <r>
    <s v="ORD-21074"/>
    <s v="CUST-5133"/>
    <d v="2022-09-13T00:00:00"/>
    <x v="5"/>
    <s v="Smart Watch"/>
    <n v="199.99"/>
    <n v="1"/>
    <n v="0"/>
    <n v="199.99"/>
    <n v="199.99"/>
    <s v="Wallet"/>
    <x v="0"/>
    <m/>
    <n v="41"/>
    <s v="San Antonio"/>
    <x v="3"/>
    <s v="Female"/>
  </r>
  <r>
    <s v="ORD-21075"/>
    <s v="CUST-5133"/>
    <d v="2024-04-11T00:00:00"/>
    <x v="4"/>
    <s v="Yoga Mat"/>
    <n v="29.99"/>
    <n v="2"/>
    <n v="20"/>
    <n v="23.99"/>
    <n v="47.98"/>
    <s v="UPI"/>
    <x v="0"/>
    <n v="4"/>
    <n v="41"/>
    <s v="San Antonio"/>
    <x v="3"/>
    <s v="Female"/>
  </r>
  <r>
    <s v="ORD-21076"/>
    <s v="CUST-5133"/>
    <d v="2022-08-25T00:00:00"/>
    <x v="1"/>
    <s v="LEGO Classic Set"/>
    <n v="49.99"/>
    <n v="1"/>
    <n v="0"/>
    <n v="49.99"/>
    <n v="49.99"/>
    <s v="Wallet"/>
    <x v="0"/>
    <n v="3"/>
    <n v="41"/>
    <s v="San Antonio"/>
    <x v="3"/>
    <s v="Female"/>
  </r>
  <r>
    <s v="ORD-21077"/>
    <s v="CUST-5133"/>
    <d v="2024-07-09T00:00:00"/>
    <x v="5"/>
    <s v="Smart Watch"/>
    <n v="199.99"/>
    <n v="1"/>
    <n v="0"/>
    <n v="199.99"/>
    <n v="199.99"/>
    <s v="Credit Card"/>
    <x v="0"/>
    <n v="5"/>
    <n v="41"/>
    <s v="San Antonio"/>
    <x v="3"/>
    <s v="Female"/>
  </r>
  <r>
    <s v="ORD-21078"/>
    <s v="CUST-5134"/>
    <d v="2024-10-20T00:00:00"/>
    <x v="3"/>
    <s v="Cotton T-Shirt"/>
    <n v="24.99"/>
    <n v="1"/>
    <n v="20"/>
    <n v="19.989999999999998"/>
    <n v="19.989999999999998"/>
    <s v="UPI"/>
    <x v="0"/>
    <n v="4"/>
    <n v="57"/>
    <s v="Phoenix"/>
    <x v="3"/>
    <s v="Male"/>
  </r>
  <r>
    <s v="ORD-21079"/>
    <s v="CUST-5134"/>
    <d v="2023-12-07T00:00:00"/>
    <x v="5"/>
    <s v="Smart Watch"/>
    <n v="199.99"/>
    <n v="3"/>
    <n v="15"/>
    <n v="169.99"/>
    <n v="509.97"/>
    <s v="Credit Card"/>
    <x v="0"/>
    <m/>
    <n v="57"/>
    <s v="Phoenix"/>
    <x v="3"/>
    <s v="Male"/>
  </r>
  <r>
    <s v="ORD-21080"/>
    <s v="CUST-5134"/>
    <d v="2022-10-03T00:00:00"/>
    <x v="3"/>
    <s v="Denim Jacket"/>
    <n v="69.989999999999995"/>
    <n v="2"/>
    <n v="20"/>
    <n v="55.99"/>
    <n v="111.98"/>
    <s v="UPI"/>
    <x v="0"/>
    <m/>
    <n v="57"/>
    <s v="Phoenix"/>
    <x v="3"/>
    <s v="Male"/>
  </r>
  <r>
    <s v="ORD-21081"/>
    <s v="CUST-5134"/>
    <d v="2024-08-23T00:00:00"/>
    <x v="2"/>
    <s v="Non-stick Pan Set"/>
    <n v="44.99"/>
    <n v="3"/>
    <n v="0"/>
    <n v="44.99"/>
    <n v="134.97"/>
    <s v="Debit Card"/>
    <x v="0"/>
    <n v="3"/>
    <n v="57"/>
    <s v="Phoenix"/>
    <x v="3"/>
    <s v="Male"/>
  </r>
  <r>
    <s v="ORD-21082"/>
    <s v="CUST-5134"/>
    <d v="2022-05-25T00:00:00"/>
    <x v="0"/>
    <s v="Business Analytics"/>
    <n v="39.99"/>
    <n v="2"/>
    <n v="10"/>
    <n v="35.99"/>
    <n v="71.98"/>
    <s v="Wallet"/>
    <x v="0"/>
    <n v="5"/>
    <n v="57"/>
    <s v="Phoenix"/>
    <x v="3"/>
    <s v="Male"/>
  </r>
  <r>
    <s v="ORD-21083"/>
    <s v="CUST-5134"/>
    <d v="2024-11-20T00:00:00"/>
    <x v="1"/>
    <s v="Puzzle 1000pcs"/>
    <n v="24.99"/>
    <n v="1"/>
    <n v="20"/>
    <n v="19.989999999999998"/>
    <n v="19.989999999999998"/>
    <s v="Credit Card"/>
    <x v="0"/>
    <n v="3"/>
    <n v="57"/>
    <s v="Phoenix"/>
    <x v="3"/>
    <s v="Male"/>
  </r>
  <r>
    <s v="ORD-21084"/>
    <s v="CUST-5134"/>
    <d v="2023-03-26T00:00:00"/>
    <x v="1"/>
    <s v="Action Figure"/>
    <n v="19.989999999999998"/>
    <n v="2"/>
    <n v="0"/>
    <n v="19.989999999999998"/>
    <n v="39.979999999999997"/>
    <s v="UPI"/>
    <x v="0"/>
    <n v="5"/>
    <n v="57"/>
    <s v="Phoenix"/>
    <x v="3"/>
    <s v="Male"/>
  </r>
  <r>
    <s v="ORD-21085"/>
    <s v="CUST-5134"/>
    <d v="2023-01-05T00:00:00"/>
    <x v="0"/>
    <s v="Data Science Handbook"/>
    <n v="49.99"/>
    <n v="4"/>
    <n v="5"/>
    <n v="47.49"/>
    <n v="189.96"/>
    <s v="Credit Card"/>
    <x v="0"/>
    <n v="4"/>
    <n v="57"/>
    <s v="Phoenix"/>
    <x v="3"/>
    <s v="Male"/>
  </r>
  <r>
    <s v="ORD-21086"/>
    <s v="CUST-5134"/>
    <d v="2022-08-16T00:00:00"/>
    <x v="0"/>
    <s v="Business Analytics"/>
    <n v="39.99"/>
    <n v="3"/>
    <n v="0"/>
    <n v="39.99"/>
    <n v="119.97"/>
    <s v="Debit Card"/>
    <x v="0"/>
    <n v="5"/>
    <n v="57"/>
    <s v="Phoenix"/>
    <x v="3"/>
    <s v="Male"/>
  </r>
  <r>
    <s v="ORD-21087"/>
    <s v="CUST-5134"/>
    <d v="2022-11-14T00:00:00"/>
    <x v="3"/>
    <s v="Running Shoes"/>
    <n v="89.99"/>
    <n v="3"/>
    <n v="20"/>
    <n v="71.989999999999995"/>
    <n v="215.97"/>
    <s v="Debit Card"/>
    <x v="0"/>
    <n v="4"/>
    <n v="57"/>
    <s v="Phoenix"/>
    <x v="3"/>
    <s v="Male"/>
  </r>
  <r>
    <s v="ORD-21088"/>
    <s v="CUST-5134"/>
    <d v="2022-08-12T00:00:00"/>
    <x v="5"/>
    <s v="USB-C Hub"/>
    <n v="34.99"/>
    <n v="4"/>
    <n v="10"/>
    <n v="31.49"/>
    <n v="125.96"/>
    <s v="PayPal"/>
    <x v="0"/>
    <n v="4"/>
    <n v="57"/>
    <s v="Phoenix"/>
    <x v="3"/>
    <s v="Male"/>
  </r>
  <r>
    <s v="ORD-21089"/>
    <s v="CUST-5134"/>
    <d v="2023-06-24T00:00:00"/>
    <x v="3"/>
    <s v="Cotton T-Shirt"/>
    <n v="24.99"/>
    <n v="1"/>
    <n v="0"/>
    <n v="24.99"/>
    <n v="24.99"/>
    <s v="PayPal"/>
    <x v="0"/>
    <n v="5"/>
    <n v="57"/>
    <s v="Phoenix"/>
    <x v="3"/>
    <s v="Male"/>
  </r>
  <r>
    <s v="ORD-21090"/>
    <s v="CUST-5134"/>
    <d v="2023-12-03T00:00:00"/>
    <x v="4"/>
    <s v="Jump Rope"/>
    <n v="14.99"/>
    <n v="1"/>
    <n v="10"/>
    <n v="13.49"/>
    <n v="13.49"/>
    <s v="UPI"/>
    <x v="0"/>
    <n v="5"/>
    <n v="57"/>
    <s v="Phoenix"/>
    <x v="3"/>
    <s v="Male"/>
  </r>
  <r>
    <s v="ORD-21091"/>
    <s v="CUST-5135"/>
    <d v="2023-04-25T00:00:00"/>
    <x v="0"/>
    <s v="Data Science Handbook"/>
    <n v="49.99"/>
    <n v="1"/>
    <n v="0"/>
    <n v="49.99"/>
    <n v="49.99"/>
    <s v="Wallet"/>
    <x v="2"/>
    <n v="4"/>
    <n v="43"/>
    <s v="San Diego"/>
    <x v="2"/>
    <s v="Female"/>
  </r>
  <r>
    <s v="ORD-21092"/>
    <s v="CUST-5135"/>
    <d v="2024-11-03T00:00:00"/>
    <x v="2"/>
    <s v="Air Fryer"/>
    <n v="89.99"/>
    <n v="4"/>
    <n v="20"/>
    <n v="71.989999999999995"/>
    <n v="287.95999999999998"/>
    <s v="Credit Card"/>
    <x v="0"/>
    <n v="4"/>
    <n v="43"/>
    <s v="San Diego"/>
    <x v="2"/>
    <s v="Female"/>
  </r>
  <r>
    <s v="ORD-21093"/>
    <s v="CUST-5135"/>
    <d v="2024-08-04T00:00:00"/>
    <x v="3"/>
    <s v="Yoga Pants"/>
    <n v="44.99"/>
    <n v="2"/>
    <n v="20"/>
    <n v="35.99"/>
    <n v="71.98"/>
    <s v="PayPal"/>
    <x v="0"/>
    <n v="4"/>
    <n v="43"/>
    <s v="San Diego"/>
    <x v="2"/>
    <s v="Female"/>
  </r>
  <r>
    <s v="ORD-21094"/>
    <s v="CUST-5135"/>
    <d v="2024-05-02T00:00:00"/>
    <x v="1"/>
    <s v="Action Figure"/>
    <n v="19.989999999999998"/>
    <n v="2"/>
    <n v="5"/>
    <n v="18.989999999999998"/>
    <n v="37.979999999999997"/>
    <s v="Credit Card"/>
    <x v="2"/>
    <n v="4"/>
    <n v="43"/>
    <s v="San Diego"/>
    <x v="2"/>
    <s v="Female"/>
  </r>
  <r>
    <s v="ORD-21095"/>
    <s v="CUST-5135"/>
    <d v="2023-04-09T00:00:00"/>
    <x v="4"/>
    <s v="Yoga Mat"/>
    <n v="29.99"/>
    <n v="1"/>
    <n v="20"/>
    <n v="23.99"/>
    <n v="23.99"/>
    <s v="UPI"/>
    <x v="0"/>
    <n v="4"/>
    <n v="43"/>
    <s v="San Diego"/>
    <x v="2"/>
    <s v="Female"/>
  </r>
  <r>
    <s v="ORD-21096"/>
    <s v="CUST-5135"/>
    <d v="2023-12-05T00:00:00"/>
    <x v="2"/>
    <s v="Non-stick Pan Set"/>
    <n v="44.99"/>
    <n v="3"/>
    <n v="20"/>
    <n v="35.99"/>
    <n v="107.97"/>
    <s v="UPI"/>
    <x v="0"/>
    <n v="1"/>
    <n v="43"/>
    <s v="San Diego"/>
    <x v="2"/>
    <s v="Female"/>
  </r>
  <r>
    <s v="ORD-21097"/>
    <s v="CUST-5135"/>
    <d v="2023-07-07T00:00:00"/>
    <x v="1"/>
    <s v="LEGO Classic Set"/>
    <n v="49.99"/>
    <n v="4"/>
    <n v="15"/>
    <n v="42.49"/>
    <n v="169.96"/>
    <s v="PayPal"/>
    <x v="0"/>
    <m/>
    <n v="43"/>
    <s v="San Diego"/>
    <x v="2"/>
    <s v="Female"/>
  </r>
  <r>
    <s v="ORD-21098"/>
    <s v="CUST-5135"/>
    <d v="2022-06-01T00:00:00"/>
    <x v="6"/>
    <s v="Hair Mask"/>
    <n v="24.99"/>
    <n v="3"/>
    <n v="5"/>
    <n v="23.74"/>
    <n v="71.22"/>
    <s v="PayPal"/>
    <x v="0"/>
    <n v="4"/>
    <n v="43"/>
    <s v="San Diego"/>
    <x v="2"/>
    <s v="Female"/>
  </r>
  <r>
    <s v="ORD-21099"/>
    <s v="CUST-5135"/>
    <d v="2022-11-24T00:00:00"/>
    <x v="4"/>
    <s v="Resistance Bands"/>
    <n v="19.989999999999998"/>
    <n v="1"/>
    <n v="10"/>
    <n v="17.989999999999998"/>
    <n v="17.989999999999998"/>
    <s v="Credit Card"/>
    <x v="0"/>
    <n v="5"/>
    <n v="43"/>
    <s v="San Diego"/>
    <x v="2"/>
    <s v="Female"/>
  </r>
  <r>
    <s v="ORD-21100"/>
    <s v="CUST-5135"/>
    <d v="2024-06-25T00:00:00"/>
    <x v="5"/>
    <s v="Wireless Earbuds"/>
    <n v="79.989999999999995"/>
    <n v="3"/>
    <n v="15"/>
    <n v="67.989999999999995"/>
    <n v="203.97"/>
    <s v="UPI"/>
    <x v="2"/>
    <n v="3"/>
    <n v="43"/>
    <s v="San Diego"/>
    <x v="2"/>
    <s v="Female"/>
  </r>
  <r>
    <s v="ORD-21101"/>
    <s v="CUST-5135"/>
    <d v="2022-05-07T00:00:00"/>
    <x v="4"/>
    <s v="Water Bottle"/>
    <n v="24.99"/>
    <n v="3"/>
    <n v="10"/>
    <n v="22.49"/>
    <n v="67.47"/>
    <s v="UPI"/>
    <x v="0"/>
    <n v="5"/>
    <n v="43"/>
    <s v="San Diego"/>
    <x v="2"/>
    <s v="Female"/>
  </r>
  <r>
    <s v="ORD-21102"/>
    <s v="CUST-5135"/>
    <d v="2023-04-01T00:00:00"/>
    <x v="4"/>
    <s v="Jump Rope"/>
    <n v="14.99"/>
    <n v="2"/>
    <n v="15"/>
    <n v="12.74"/>
    <n v="25.48"/>
    <s v="UPI"/>
    <x v="0"/>
    <m/>
    <n v="43"/>
    <s v="San Diego"/>
    <x v="2"/>
    <s v="Female"/>
  </r>
  <r>
    <s v="ORD-21103"/>
    <s v="CUST-5135"/>
    <d v="2024-10-07T00:00:00"/>
    <x v="2"/>
    <s v="Air Fryer"/>
    <n v="89.99"/>
    <n v="2"/>
    <n v="0"/>
    <n v="89.99"/>
    <n v="179.98"/>
    <s v="PayPal"/>
    <x v="0"/>
    <m/>
    <n v="43"/>
    <s v="San Diego"/>
    <x v="2"/>
    <s v="Female"/>
  </r>
  <r>
    <s v="ORD-21104"/>
    <s v="CUST-5136"/>
    <d v="2024-08-23T00:00:00"/>
    <x v="6"/>
    <s v="Face Serum"/>
    <n v="39.99"/>
    <n v="4"/>
    <n v="20"/>
    <n v="31.99"/>
    <n v="127.96"/>
    <s v="Debit Card"/>
    <x v="0"/>
    <m/>
    <n v="36"/>
    <s v="Dallas"/>
    <x v="2"/>
    <s v="Male"/>
  </r>
  <r>
    <s v="ORD-21105"/>
    <s v="CUST-5136"/>
    <d v="2023-11-12T00:00:00"/>
    <x v="6"/>
    <s v="Lip Balm Set"/>
    <n v="14.99"/>
    <n v="4"/>
    <n v="10"/>
    <n v="13.49"/>
    <n v="53.96"/>
    <s v="PayPal"/>
    <x v="2"/>
    <n v="4"/>
    <n v="36"/>
    <s v="Dallas"/>
    <x v="2"/>
    <s v="Male"/>
  </r>
  <r>
    <s v="ORD-21106"/>
    <s v="CUST-5136"/>
    <d v="2024-12-25T00:00:00"/>
    <x v="2"/>
    <s v="Air Fryer"/>
    <n v="89.99"/>
    <n v="3"/>
    <n v="15"/>
    <n v="76.489999999999995"/>
    <n v="229.47"/>
    <s v="Credit Card"/>
    <x v="2"/>
    <m/>
    <n v="36"/>
    <s v="Dallas"/>
    <x v="2"/>
    <s v="Male"/>
  </r>
  <r>
    <s v="ORD-21107"/>
    <s v="CUST-5136"/>
    <d v="2022-03-26T00:00:00"/>
    <x v="2"/>
    <s v="Blender"/>
    <n v="64.989999999999995"/>
    <n v="2"/>
    <n v="15"/>
    <n v="55.24"/>
    <n v="110.48"/>
    <s v="Wallet"/>
    <x v="0"/>
    <n v="4"/>
    <n v="36"/>
    <s v="Dallas"/>
    <x v="2"/>
    <s v="Male"/>
  </r>
  <r>
    <s v="ORD-21108"/>
    <s v="CUST-5136"/>
    <d v="2023-03-09T00:00:00"/>
    <x v="5"/>
    <s v="Wireless Earbuds"/>
    <n v="79.989999999999995"/>
    <n v="1"/>
    <n v="5"/>
    <n v="75.989999999999995"/>
    <n v="75.989999999999995"/>
    <s v="Debit Card"/>
    <x v="0"/>
    <n v="1"/>
    <n v="36"/>
    <s v="Dallas"/>
    <x v="2"/>
    <s v="Male"/>
  </r>
  <r>
    <s v="ORD-21109"/>
    <s v="CUST-5137"/>
    <d v="2024-04-18T00:00:00"/>
    <x v="3"/>
    <s v="Denim Jacket"/>
    <n v="69.989999999999995"/>
    <n v="2"/>
    <n v="10"/>
    <n v="62.99"/>
    <n v="125.98"/>
    <s v="Debit Card"/>
    <x v="0"/>
    <n v="4"/>
    <n v="25"/>
    <s v="Phoenix"/>
    <x v="1"/>
    <s v="Male"/>
  </r>
  <r>
    <s v="ORD-21110"/>
    <s v="CUST-5137"/>
    <d v="2024-07-02T00:00:00"/>
    <x v="0"/>
    <s v="Python for Beginners"/>
    <n v="29.99"/>
    <n v="3"/>
    <n v="0"/>
    <n v="29.99"/>
    <n v="89.97"/>
    <s v="Credit Card"/>
    <x v="0"/>
    <m/>
    <n v="25"/>
    <s v="Phoenix"/>
    <x v="1"/>
    <s v="Male"/>
  </r>
  <r>
    <s v="ORD-21111"/>
    <s v="CUST-5137"/>
    <d v="2023-08-27T00:00:00"/>
    <x v="4"/>
    <s v="Yoga Mat"/>
    <n v="29.99"/>
    <n v="1"/>
    <n v="0"/>
    <n v="29.99"/>
    <n v="29.99"/>
    <s v="UPI"/>
    <x v="0"/>
    <n v="5"/>
    <n v="25"/>
    <s v="Phoenix"/>
    <x v="1"/>
    <s v="Male"/>
  </r>
  <r>
    <s v="ORD-21112"/>
    <s v="CUST-5137"/>
    <d v="2023-01-12T00:00:00"/>
    <x v="3"/>
    <s v="Running Shoes"/>
    <n v="89.99"/>
    <n v="4"/>
    <n v="20"/>
    <n v="71.989999999999995"/>
    <n v="287.95999999999998"/>
    <s v="Wallet"/>
    <x v="0"/>
    <n v="5"/>
    <n v="25"/>
    <s v="Phoenix"/>
    <x v="1"/>
    <s v="Male"/>
  </r>
  <r>
    <s v="ORD-21113"/>
    <s v="CUST-5137"/>
    <d v="2024-04-26T00:00:00"/>
    <x v="1"/>
    <s v="LEGO Classic Set"/>
    <n v="49.99"/>
    <n v="2"/>
    <n v="10"/>
    <n v="44.99"/>
    <n v="89.98"/>
    <s v="Wallet"/>
    <x v="0"/>
    <m/>
    <n v="25"/>
    <s v="Phoenix"/>
    <x v="1"/>
    <s v="Male"/>
  </r>
  <r>
    <s v="ORD-21114"/>
    <s v="CUST-5137"/>
    <d v="2024-07-16T00:00:00"/>
    <x v="0"/>
    <s v="Python for Beginners"/>
    <n v="29.99"/>
    <n v="2"/>
    <n v="15"/>
    <n v="25.49"/>
    <n v="50.98"/>
    <s v="UPI"/>
    <x v="0"/>
    <m/>
    <n v="25"/>
    <s v="Phoenix"/>
    <x v="1"/>
    <s v="Male"/>
  </r>
  <r>
    <s v="ORD-21115"/>
    <s v="CUST-5137"/>
    <d v="2022-12-05T00:00:00"/>
    <x v="4"/>
    <s v="Yoga Mat"/>
    <n v="29.99"/>
    <n v="2"/>
    <n v="15"/>
    <n v="25.49"/>
    <n v="50.98"/>
    <s v="Credit Card"/>
    <x v="0"/>
    <m/>
    <n v="25"/>
    <s v="Phoenix"/>
    <x v="1"/>
    <s v="Male"/>
  </r>
  <r>
    <s v="ORD-21116"/>
    <s v="CUST-5137"/>
    <d v="2022-05-19T00:00:00"/>
    <x v="1"/>
    <s v="Puzzle 1000pcs"/>
    <n v="24.99"/>
    <n v="2"/>
    <n v="20"/>
    <n v="19.989999999999998"/>
    <n v="39.979999999999997"/>
    <s v="UPI"/>
    <x v="0"/>
    <n v="5"/>
    <n v="25"/>
    <s v="Phoenix"/>
    <x v="1"/>
    <s v="Male"/>
  </r>
  <r>
    <s v="ORD-21117"/>
    <s v="CUST-5137"/>
    <d v="2023-12-12T00:00:00"/>
    <x v="2"/>
    <s v="Air Fryer"/>
    <n v="89.99"/>
    <n v="1"/>
    <n v="0"/>
    <n v="89.99"/>
    <n v="89.99"/>
    <s v="Debit Card"/>
    <x v="0"/>
    <n v="5"/>
    <n v="25"/>
    <s v="Phoenix"/>
    <x v="1"/>
    <s v="Male"/>
  </r>
  <r>
    <s v="ORD-21118"/>
    <s v="CUST-5137"/>
    <d v="2023-03-01T00:00:00"/>
    <x v="5"/>
    <s v="Wireless Earbuds"/>
    <n v="79.989999999999995"/>
    <n v="3"/>
    <n v="0"/>
    <n v="79.989999999999995"/>
    <n v="239.97"/>
    <s v="UPI"/>
    <x v="0"/>
    <n v="4"/>
    <n v="25"/>
    <s v="Phoenix"/>
    <x v="1"/>
    <s v="Male"/>
  </r>
  <r>
    <s v="ORD-21119"/>
    <s v="CUST-5138"/>
    <d v="2024-07-25T00:00:00"/>
    <x v="6"/>
    <s v="Hair Mask"/>
    <n v="24.99"/>
    <n v="1"/>
    <n v="0"/>
    <n v="24.99"/>
    <n v="24.99"/>
    <s v="Credit Card"/>
    <x v="0"/>
    <n v="5"/>
    <n v="34"/>
    <s v="Philadelphia"/>
    <x v="3"/>
    <s v="Male"/>
  </r>
  <r>
    <s v="ORD-21120"/>
    <s v="CUST-5139"/>
    <d v="2024-04-13T00:00:00"/>
    <x v="1"/>
    <s v="LEGO Classic Set"/>
    <n v="49.99"/>
    <n v="1"/>
    <n v="0"/>
    <n v="49.99"/>
    <n v="49.99"/>
    <s v="Debit Card"/>
    <x v="2"/>
    <n v="2"/>
    <n v="64"/>
    <s v="Chicago"/>
    <x v="1"/>
    <s v="Female"/>
  </r>
  <r>
    <s v="ORD-21121"/>
    <s v="CUST-5139"/>
    <d v="2022-11-17T00:00:00"/>
    <x v="0"/>
    <s v="Fiction Novel"/>
    <n v="14.99"/>
    <n v="3"/>
    <n v="0"/>
    <n v="14.99"/>
    <n v="44.97"/>
    <s v="PayPal"/>
    <x v="0"/>
    <m/>
    <n v="64"/>
    <s v="Chicago"/>
    <x v="1"/>
    <s v="Female"/>
  </r>
  <r>
    <s v="ORD-21122"/>
    <s v="CUST-5139"/>
    <d v="2024-03-28T00:00:00"/>
    <x v="5"/>
    <s v="USB-C Hub"/>
    <n v="34.99"/>
    <n v="3"/>
    <n v="0"/>
    <n v="34.99"/>
    <n v="104.97"/>
    <s v="Wallet"/>
    <x v="0"/>
    <m/>
    <n v="64"/>
    <s v="Chicago"/>
    <x v="1"/>
    <s v="Female"/>
  </r>
  <r>
    <s v="ORD-21123"/>
    <s v="CUST-5139"/>
    <d v="2022-06-27T00:00:00"/>
    <x v="4"/>
    <s v="Resistance Bands"/>
    <n v="19.989999999999998"/>
    <n v="3"/>
    <n v="0"/>
    <n v="19.989999999999998"/>
    <n v="59.97"/>
    <s v="Wallet"/>
    <x v="0"/>
    <n v="3"/>
    <n v="64"/>
    <s v="Chicago"/>
    <x v="1"/>
    <s v="Female"/>
  </r>
  <r>
    <s v="ORD-21124"/>
    <s v="CUST-5139"/>
    <d v="2022-10-27T00:00:00"/>
    <x v="5"/>
    <s v="Wireless Earbuds"/>
    <n v="79.989999999999995"/>
    <n v="3"/>
    <n v="5"/>
    <n v="75.989999999999995"/>
    <n v="227.97"/>
    <s v="UPI"/>
    <x v="0"/>
    <n v="5"/>
    <n v="64"/>
    <s v="Chicago"/>
    <x v="1"/>
    <s v="Female"/>
  </r>
  <r>
    <s v="ORD-21125"/>
    <s v="CUST-5139"/>
    <d v="2023-07-15T00:00:00"/>
    <x v="1"/>
    <s v="LEGO Classic Set"/>
    <n v="49.99"/>
    <n v="4"/>
    <n v="0"/>
    <n v="49.99"/>
    <n v="199.96"/>
    <s v="Wallet"/>
    <x v="0"/>
    <n v="4"/>
    <n v="64"/>
    <s v="Chicago"/>
    <x v="1"/>
    <s v="Female"/>
  </r>
  <r>
    <s v="ORD-21126"/>
    <s v="CUST-5140"/>
    <d v="2024-12-19T00:00:00"/>
    <x v="4"/>
    <s v="Jump Rope"/>
    <n v="14.99"/>
    <n v="1"/>
    <n v="10"/>
    <n v="13.49"/>
    <n v="13.49"/>
    <s v="UPI"/>
    <x v="0"/>
    <n v="5"/>
    <n v="35"/>
    <s v="Chicago"/>
    <x v="2"/>
    <s v="Female"/>
  </r>
  <r>
    <s v="ORD-21127"/>
    <s v="CUST-5140"/>
    <d v="2023-02-28T00:00:00"/>
    <x v="1"/>
    <s v="Action Figure"/>
    <n v="19.989999999999998"/>
    <n v="3"/>
    <n v="0"/>
    <n v="19.989999999999998"/>
    <n v="59.97"/>
    <s v="PayPal"/>
    <x v="0"/>
    <n v="5"/>
    <n v="35"/>
    <s v="Chicago"/>
    <x v="2"/>
    <s v="Female"/>
  </r>
  <r>
    <s v="ORD-21128"/>
    <s v="CUST-5140"/>
    <d v="2023-04-27T00:00:00"/>
    <x v="1"/>
    <s v="LEGO Classic Set"/>
    <n v="49.99"/>
    <n v="2"/>
    <n v="15"/>
    <n v="42.49"/>
    <n v="84.98"/>
    <s v="Debit Card"/>
    <x v="0"/>
    <n v="5"/>
    <n v="35"/>
    <s v="Chicago"/>
    <x v="2"/>
    <s v="Female"/>
  </r>
  <r>
    <s v="ORD-21129"/>
    <s v="CUST-5140"/>
    <d v="2023-06-28T00:00:00"/>
    <x v="4"/>
    <s v="Jump Rope"/>
    <n v="14.99"/>
    <n v="4"/>
    <n v="0"/>
    <n v="14.99"/>
    <n v="59.96"/>
    <s v="PayPal"/>
    <x v="4"/>
    <m/>
    <n v="35"/>
    <s v="Chicago"/>
    <x v="2"/>
    <s v="Female"/>
  </r>
  <r>
    <s v="ORD-21130"/>
    <s v="CUST-5140"/>
    <d v="2024-05-23T00:00:00"/>
    <x v="6"/>
    <s v="Face Serum"/>
    <n v="39.99"/>
    <n v="1"/>
    <n v="10"/>
    <n v="35.99"/>
    <n v="35.99"/>
    <s v="UPI"/>
    <x v="0"/>
    <n v="5"/>
    <n v="35"/>
    <s v="Chicago"/>
    <x v="2"/>
    <s v="Female"/>
  </r>
  <r>
    <s v="ORD-21131"/>
    <s v="CUST-5141"/>
    <d v="2022-05-07T00:00:00"/>
    <x v="5"/>
    <s v="Wireless Earbuds"/>
    <n v="79.989999999999995"/>
    <n v="3"/>
    <n v="0"/>
    <n v="79.989999999999995"/>
    <n v="239.97"/>
    <s v="Wallet"/>
    <x v="0"/>
    <n v="4"/>
    <n v="62"/>
    <s v="Austin"/>
    <x v="2"/>
    <s v="Male"/>
  </r>
  <r>
    <s v="ORD-21132"/>
    <s v="CUST-5141"/>
    <d v="2022-11-23T00:00:00"/>
    <x v="1"/>
    <s v="Puzzle 1000pcs"/>
    <n v="24.99"/>
    <n v="1"/>
    <n v="10"/>
    <n v="22.49"/>
    <n v="22.49"/>
    <s v="Debit Card"/>
    <x v="0"/>
    <n v="5"/>
    <n v="62"/>
    <s v="Austin"/>
    <x v="2"/>
    <s v="Male"/>
  </r>
  <r>
    <s v="ORD-21133"/>
    <s v="CUST-5141"/>
    <d v="2022-07-26T00:00:00"/>
    <x v="4"/>
    <s v="Resistance Bands"/>
    <n v="19.989999999999998"/>
    <n v="3"/>
    <n v="0"/>
    <n v="19.989999999999998"/>
    <n v="59.97"/>
    <s v="PayPal"/>
    <x v="1"/>
    <n v="3"/>
    <n v="62"/>
    <s v="Austin"/>
    <x v="2"/>
    <s v="Male"/>
  </r>
  <r>
    <s v="ORD-21134"/>
    <s v="CUST-5141"/>
    <d v="2024-04-18T00:00:00"/>
    <x v="3"/>
    <s v="Running Shoes"/>
    <n v="89.99"/>
    <n v="4"/>
    <n v="0"/>
    <n v="89.99"/>
    <n v="359.96"/>
    <s v="Debit Card"/>
    <x v="0"/>
    <n v="3"/>
    <n v="62"/>
    <s v="Austin"/>
    <x v="2"/>
    <s v="Male"/>
  </r>
  <r>
    <s v="ORD-21135"/>
    <s v="CUST-5141"/>
    <d v="2022-04-24T00:00:00"/>
    <x v="0"/>
    <s v="Python for Beginners"/>
    <n v="29.99"/>
    <n v="2"/>
    <n v="15"/>
    <n v="25.49"/>
    <n v="50.98"/>
    <s v="PayPal"/>
    <x v="0"/>
    <n v="4"/>
    <n v="62"/>
    <s v="Austin"/>
    <x v="2"/>
    <s v="Male"/>
  </r>
  <r>
    <s v="ORD-21136"/>
    <s v="CUST-5141"/>
    <d v="2022-02-15T00:00:00"/>
    <x v="2"/>
    <s v="Coffee Maker"/>
    <n v="59.99"/>
    <n v="4"/>
    <n v="0"/>
    <n v="59.99"/>
    <n v="239.96"/>
    <s v="Credit Card"/>
    <x v="0"/>
    <m/>
    <n v="62"/>
    <s v="Austin"/>
    <x v="2"/>
    <s v="Male"/>
  </r>
  <r>
    <s v="ORD-21137"/>
    <s v="CUST-5141"/>
    <d v="2024-07-11T00:00:00"/>
    <x v="1"/>
    <s v="LEGO Classic Set"/>
    <n v="49.99"/>
    <n v="2"/>
    <n v="20"/>
    <n v="39.99"/>
    <n v="79.98"/>
    <s v="Wallet"/>
    <x v="4"/>
    <m/>
    <n v="62"/>
    <s v="Austin"/>
    <x v="2"/>
    <s v="Male"/>
  </r>
  <r>
    <s v="ORD-21138"/>
    <s v="CUST-5141"/>
    <d v="2024-05-20T00:00:00"/>
    <x v="2"/>
    <s v="Coffee Maker"/>
    <n v="59.99"/>
    <n v="4"/>
    <n v="5"/>
    <n v="56.99"/>
    <n v="227.96"/>
    <s v="UPI"/>
    <x v="0"/>
    <n v="4"/>
    <n v="62"/>
    <s v="Austin"/>
    <x v="2"/>
    <s v="Male"/>
  </r>
  <r>
    <s v="ORD-21139"/>
    <s v="CUST-5141"/>
    <d v="2023-10-20T00:00:00"/>
    <x v="0"/>
    <s v="Business Analytics"/>
    <n v="39.99"/>
    <n v="2"/>
    <n v="5"/>
    <n v="37.99"/>
    <n v="75.98"/>
    <s v="Credit Card"/>
    <x v="0"/>
    <m/>
    <n v="62"/>
    <s v="Austin"/>
    <x v="2"/>
    <s v="Male"/>
  </r>
  <r>
    <s v="ORD-21140"/>
    <s v="CUST-5141"/>
    <d v="2024-04-19T00:00:00"/>
    <x v="6"/>
    <s v="Hair Mask"/>
    <n v="24.99"/>
    <n v="1"/>
    <n v="5"/>
    <n v="23.74"/>
    <n v="23.74"/>
    <s v="UPI"/>
    <x v="0"/>
    <n v="4"/>
    <n v="62"/>
    <s v="Austin"/>
    <x v="2"/>
    <s v="Male"/>
  </r>
  <r>
    <s v="ORD-21141"/>
    <s v="CUST-5141"/>
    <d v="2022-07-03T00:00:00"/>
    <x v="2"/>
    <s v="Blender"/>
    <n v="64.989999999999995"/>
    <n v="3"/>
    <n v="5"/>
    <n v="61.74"/>
    <n v="185.22"/>
    <s v="UPI"/>
    <x v="4"/>
    <n v="4"/>
    <n v="62"/>
    <s v="Austin"/>
    <x v="2"/>
    <s v="Male"/>
  </r>
  <r>
    <s v="ORD-21142"/>
    <s v="CUST-5141"/>
    <d v="2022-05-12T00:00:00"/>
    <x v="6"/>
    <s v="Moisturizer SPF 50"/>
    <n v="29.99"/>
    <n v="2"/>
    <n v="5"/>
    <n v="28.49"/>
    <n v="56.98"/>
    <s v="PayPal"/>
    <x v="0"/>
    <n v="5"/>
    <n v="62"/>
    <s v="Austin"/>
    <x v="2"/>
    <s v="Male"/>
  </r>
  <r>
    <s v="ORD-21143"/>
    <s v="CUST-5141"/>
    <d v="2022-08-02T00:00:00"/>
    <x v="3"/>
    <s v="Denim Jacket"/>
    <n v="69.989999999999995"/>
    <n v="4"/>
    <n v="0"/>
    <n v="69.989999999999995"/>
    <n v="279.95999999999998"/>
    <s v="Credit Card"/>
    <x v="4"/>
    <n v="4"/>
    <n v="62"/>
    <s v="Austin"/>
    <x v="2"/>
    <s v="Male"/>
  </r>
  <r>
    <s v="ORD-21144"/>
    <s v="CUST-5141"/>
    <d v="2023-06-15T00:00:00"/>
    <x v="1"/>
    <s v="LEGO Classic Set"/>
    <n v="49.99"/>
    <n v="4"/>
    <n v="10"/>
    <n v="44.99"/>
    <n v="179.96"/>
    <s v="Credit Card"/>
    <x v="0"/>
    <n v="4"/>
    <n v="62"/>
    <s v="Austin"/>
    <x v="2"/>
    <s v="Male"/>
  </r>
  <r>
    <s v="ORD-21145"/>
    <s v="CUST-5142"/>
    <d v="2024-05-23T00:00:00"/>
    <x v="2"/>
    <s v="Non-stick Pan Set"/>
    <n v="44.99"/>
    <n v="2"/>
    <n v="15"/>
    <n v="38.24"/>
    <n v="76.48"/>
    <s v="Debit Card"/>
    <x v="0"/>
    <n v="4"/>
    <n v="24"/>
    <s v="San Diego"/>
    <x v="3"/>
    <s v="Female"/>
  </r>
  <r>
    <s v="ORD-21146"/>
    <s v="CUST-5143"/>
    <d v="2024-09-17T00:00:00"/>
    <x v="4"/>
    <s v="Water Bottle"/>
    <n v="24.99"/>
    <n v="4"/>
    <n v="20"/>
    <n v="19.989999999999998"/>
    <n v="79.959999999999994"/>
    <s v="PayPal"/>
    <x v="0"/>
    <m/>
    <n v="56"/>
    <s v="San Jose"/>
    <x v="3"/>
    <s v="Female"/>
  </r>
  <r>
    <s v="ORD-21147"/>
    <s v="CUST-5143"/>
    <d v="2023-01-06T00:00:00"/>
    <x v="3"/>
    <s v="Yoga Pants"/>
    <n v="44.99"/>
    <n v="2"/>
    <n v="0"/>
    <n v="44.99"/>
    <n v="89.98"/>
    <s v="Debit Card"/>
    <x v="0"/>
    <m/>
    <n v="56"/>
    <s v="San Jose"/>
    <x v="3"/>
    <s v="Female"/>
  </r>
  <r>
    <s v="ORD-21148"/>
    <s v="CUST-5143"/>
    <d v="2022-12-11T00:00:00"/>
    <x v="1"/>
    <s v="Puzzle 1000pcs"/>
    <n v="24.99"/>
    <n v="3"/>
    <n v="0"/>
    <n v="24.99"/>
    <n v="74.97"/>
    <s v="Debit Card"/>
    <x v="0"/>
    <n v="4"/>
    <n v="56"/>
    <s v="San Jose"/>
    <x v="3"/>
    <s v="Female"/>
  </r>
  <r>
    <s v="ORD-21149"/>
    <s v="CUST-5143"/>
    <d v="2023-08-27T00:00:00"/>
    <x v="0"/>
    <s v="Business Analytics"/>
    <n v="39.99"/>
    <n v="1"/>
    <n v="20"/>
    <n v="31.99"/>
    <n v="31.99"/>
    <s v="Wallet"/>
    <x v="0"/>
    <n v="4"/>
    <n v="56"/>
    <s v="San Jose"/>
    <x v="3"/>
    <s v="Female"/>
  </r>
  <r>
    <s v="ORD-21150"/>
    <s v="CUST-5143"/>
    <d v="2023-11-26T00:00:00"/>
    <x v="1"/>
    <s v="Action Figure"/>
    <n v="19.989999999999998"/>
    <n v="1"/>
    <n v="5"/>
    <n v="18.989999999999998"/>
    <n v="18.989999999999998"/>
    <s v="Credit Card"/>
    <x v="3"/>
    <n v="5"/>
    <n v="56"/>
    <s v="San Jose"/>
    <x v="3"/>
    <s v="Female"/>
  </r>
  <r>
    <s v="ORD-21151"/>
    <s v="CUST-5143"/>
    <d v="2022-10-23T00:00:00"/>
    <x v="2"/>
    <s v="Blender"/>
    <n v="64.989999999999995"/>
    <n v="3"/>
    <n v="20"/>
    <n v="51.99"/>
    <n v="155.97"/>
    <s v="UPI"/>
    <x v="0"/>
    <n v="5"/>
    <n v="56"/>
    <s v="San Jose"/>
    <x v="3"/>
    <s v="Female"/>
  </r>
  <r>
    <s v="ORD-21152"/>
    <s v="CUST-5143"/>
    <d v="2024-11-05T00:00:00"/>
    <x v="6"/>
    <s v="Lip Balm Set"/>
    <n v="14.99"/>
    <n v="4"/>
    <n v="0"/>
    <n v="14.99"/>
    <n v="59.96"/>
    <s v="PayPal"/>
    <x v="0"/>
    <n v="5"/>
    <n v="56"/>
    <s v="San Jose"/>
    <x v="3"/>
    <s v="Female"/>
  </r>
  <r>
    <s v="ORD-21153"/>
    <s v="CUST-5143"/>
    <d v="2024-01-15T00:00:00"/>
    <x v="1"/>
    <s v="Puzzle 1000pcs"/>
    <n v="24.99"/>
    <n v="3"/>
    <n v="0"/>
    <n v="24.99"/>
    <n v="74.97"/>
    <s v="PayPal"/>
    <x v="0"/>
    <n v="3"/>
    <n v="56"/>
    <s v="San Jose"/>
    <x v="3"/>
    <s v="Female"/>
  </r>
  <r>
    <s v="ORD-21154"/>
    <s v="CUST-5144"/>
    <d v="2022-01-03T00:00:00"/>
    <x v="4"/>
    <s v="Yoga Mat"/>
    <n v="29.99"/>
    <n v="4"/>
    <n v="10"/>
    <n v="26.99"/>
    <n v="107.96"/>
    <s v="Wallet"/>
    <x v="0"/>
    <n v="5"/>
    <n v="62"/>
    <s v="Phoenix"/>
    <x v="2"/>
    <s v="Female"/>
  </r>
  <r>
    <s v="ORD-21155"/>
    <s v="CUST-5144"/>
    <d v="2022-08-24T00:00:00"/>
    <x v="1"/>
    <s v="Puzzle 1000pcs"/>
    <n v="24.99"/>
    <n v="3"/>
    <n v="5"/>
    <n v="23.74"/>
    <n v="71.22"/>
    <s v="Credit Card"/>
    <x v="0"/>
    <m/>
    <n v="62"/>
    <s v="Phoenix"/>
    <x v="2"/>
    <s v="Female"/>
  </r>
  <r>
    <s v="ORD-21156"/>
    <s v="CUST-5144"/>
    <d v="2024-10-21T00:00:00"/>
    <x v="0"/>
    <s v="Data Science Handbook"/>
    <n v="49.99"/>
    <n v="2"/>
    <n v="10"/>
    <n v="44.99"/>
    <n v="89.98"/>
    <s v="Debit Card"/>
    <x v="0"/>
    <n v="5"/>
    <n v="62"/>
    <s v="Phoenix"/>
    <x v="2"/>
    <s v="Female"/>
  </r>
  <r>
    <s v="ORD-21157"/>
    <s v="CUST-5144"/>
    <d v="2023-09-22T00:00:00"/>
    <x v="4"/>
    <s v="Yoga Mat"/>
    <n v="29.99"/>
    <n v="4"/>
    <n v="20"/>
    <n v="23.99"/>
    <n v="95.96"/>
    <s v="Debit Card"/>
    <x v="0"/>
    <n v="5"/>
    <n v="62"/>
    <s v="Phoenix"/>
    <x v="2"/>
    <s v="Female"/>
  </r>
  <r>
    <s v="ORD-21158"/>
    <s v="CUST-5144"/>
    <d v="2023-05-17T00:00:00"/>
    <x v="6"/>
    <s v="Face Serum"/>
    <n v="39.99"/>
    <n v="1"/>
    <n v="20"/>
    <n v="31.99"/>
    <n v="31.99"/>
    <s v="PayPal"/>
    <x v="0"/>
    <n v="5"/>
    <n v="62"/>
    <s v="Phoenix"/>
    <x v="2"/>
    <s v="Female"/>
  </r>
  <r>
    <s v="ORD-21159"/>
    <s v="CUST-5144"/>
    <d v="2024-05-08T00:00:00"/>
    <x v="3"/>
    <s v="Denim Jacket"/>
    <n v="69.989999999999995"/>
    <n v="1"/>
    <n v="20"/>
    <n v="55.99"/>
    <n v="55.99"/>
    <s v="UPI"/>
    <x v="4"/>
    <n v="4"/>
    <n v="62"/>
    <s v="Phoenix"/>
    <x v="2"/>
    <s v="Female"/>
  </r>
  <r>
    <s v="ORD-21160"/>
    <s v="CUST-5144"/>
    <d v="2022-04-20T00:00:00"/>
    <x v="5"/>
    <s v="Bluetooth Speaker"/>
    <n v="49.99"/>
    <n v="4"/>
    <n v="0"/>
    <n v="49.99"/>
    <n v="199.96"/>
    <s v="Debit Card"/>
    <x v="0"/>
    <m/>
    <n v="62"/>
    <s v="Phoenix"/>
    <x v="2"/>
    <s v="Female"/>
  </r>
  <r>
    <s v="ORD-21161"/>
    <s v="CUST-5144"/>
    <d v="2023-06-28T00:00:00"/>
    <x v="0"/>
    <s v="Data Science Handbook"/>
    <n v="49.99"/>
    <n v="4"/>
    <n v="10"/>
    <n v="44.99"/>
    <n v="179.96"/>
    <s v="Credit Card"/>
    <x v="0"/>
    <m/>
    <n v="62"/>
    <s v="Phoenix"/>
    <x v="2"/>
    <s v="Female"/>
  </r>
  <r>
    <s v="ORD-21162"/>
    <s v="CUST-5144"/>
    <d v="2022-10-11T00:00:00"/>
    <x v="1"/>
    <s v="Puzzle 1000pcs"/>
    <n v="24.99"/>
    <n v="1"/>
    <n v="15"/>
    <n v="21.24"/>
    <n v="21.24"/>
    <s v="PayPal"/>
    <x v="0"/>
    <n v="3"/>
    <n v="62"/>
    <s v="Phoenix"/>
    <x v="2"/>
    <s v="Female"/>
  </r>
  <r>
    <s v="ORD-21163"/>
    <s v="CUST-5144"/>
    <d v="2022-04-13T00:00:00"/>
    <x v="2"/>
    <s v="Blender"/>
    <n v="64.989999999999995"/>
    <n v="4"/>
    <n v="15"/>
    <n v="55.24"/>
    <n v="220.96"/>
    <s v="Wallet"/>
    <x v="0"/>
    <n v="5"/>
    <n v="62"/>
    <s v="Phoenix"/>
    <x v="2"/>
    <s v="Female"/>
  </r>
  <r>
    <s v="ORD-21164"/>
    <s v="CUST-5145"/>
    <d v="2024-01-17T00:00:00"/>
    <x v="6"/>
    <s v="Face Serum"/>
    <n v="39.99"/>
    <n v="2"/>
    <n v="20"/>
    <n v="31.99"/>
    <n v="63.98"/>
    <s v="UPI"/>
    <x v="0"/>
    <n v="4"/>
    <n v="32"/>
    <s v="Houston"/>
    <x v="2"/>
    <s v="Female"/>
  </r>
  <r>
    <s v="ORD-21165"/>
    <s v="CUST-5145"/>
    <d v="2022-02-16T00:00:00"/>
    <x v="0"/>
    <s v="Python for Beginners"/>
    <n v="29.99"/>
    <n v="3"/>
    <n v="0"/>
    <n v="29.99"/>
    <n v="89.97"/>
    <s v="PayPal"/>
    <x v="0"/>
    <n v="3"/>
    <n v="32"/>
    <s v="Houston"/>
    <x v="2"/>
    <s v="Female"/>
  </r>
  <r>
    <s v="ORD-21166"/>
    <s v="CUST-5145"/>
    <d v="2022-04-19T00:00:00"/>
    <x v="6"/>
    <s v="Hair Mask"/>
    <n v="24.99"/>
    <n v="1"/>
    <n v="0"/>
    <n v="24.99"/>
    <n v="24.99"/>
    <s v="Debit Card"/>
    <x v="4"/>
    <n v="4"/>
    <n v="32"/>
    <s v="Houston"/>
    <x v="2"/>
    <s v="Female"/>
  </r>
  <r>
    <s v="ORD-21167"/>
    <s v="CUST-5145"/>
    <d v="2024-04-04T00:00:00"/>
    <x v="3"/>
    <s v="Cotton T-Shirt"/>
    <n v="24.99"/>
    <n v="1"/>
    <n v="5"/>
    <n v="23.74"/>
    <n v="23.74"/>
    <s v="Debit Card"/>
    <x v="0"/>
    <n v="5"/>
    <n v="32"/>
    <s v="Houston"/>
    <x v="2"/>
    <s v="Female"/>
  </r>
  <r>
    <s v="ORD-21168"/>
    <s v="CUST-5145"/>
    <d v="2022-10-20T00:00:00"/>
    <x v="5"/>
    <s v="USB-C Hub"/>
    <n v="34.99"/>
    <n v="4"/>
    <n v="10"/>
    <n v="31.49"/>
    <n v="125.96"/>
    <s v="UPI"/>
    <x v="4"/>
    <n v="5"/>
    <n v="32"/>
    <s v="Houston"/>
    <x v="2"/>
    <s v="Female"/>
  </r>
  <r>
    <s v="ORD-21169"/>
    <s v="CUST-5145"/>
    <d v="2023-06-01T00:00:00"/>
    <x v="5"/>
    <s v="Bluetooth Speaker"/>
    <n v="49.99"/>
    <n v="1"/>
    <n v="0"/>
    <n v="49.99"/>
    <n v="49.99"/>
    <s v="Credit Card"/>
    <x v="0"/>
    <n v="5"/>
    <n v="32"/>
    <s v="Houston"/>
    <x v="2"/>
    <s v="Female"/>
  </r>
  <r>
    <s v="ORD-21170"/>
    <s v="CUST-5145"/>
    <d v="2024-08-26T00:00:00"/>
    <x v="1"/>
    <s v="Puzzle 1000pcs"/>
    <n v="24.99"/>
    <n v="2"/>
    <n v="0"/>
    <n v="24.99"/>
    <n v="49.98"/>
    <s v="Wallet"/>
    <x v="0"/>
    <n v="1"/>
    <n v="32"/>
    <s v="Houston"/>
    <x v="2"/>
    <s v="Female"/>
  </r>
  <r>
    <s v="ORD-21171"/>
    <s v="CUST-5145"/>
    <d v="2024-07-19T00:00:00"/>
    <x v="3"/>
    <s v="Cotton T-Shirt"/>
    <n v="24.99"/>
    <n v="4"/>
    <n v="0"/>
    <n v="24.99"/>
    <n v="99.96"/>
    <s v="Credit Card"/>
    <x v="3"/>
    <m/>
    <n v="32"/>
    <s v="Houston"/>
    <x v="2"/>
    <s v="Female"/>
  </r>
  <r>
    <s v="ORD-21172"/>
    <s v="CUST-5145"/>
    <d v="2024-04-04T00:00:00"/>
    <x v="4"/>
    <s v="Water Bottle"/>
    <n v="24.99"/>
    <n v="2"/>
    <n v="10"/>
    <n v="22.49"/>
    <n v="44.98"/>
    <s v="UPI"/>
    <x v="0"/>
    <n v="5"/>
    <n v="32"/>
    <s v="Houston"/>
    <x v="2"/>
    <s v="Female"/>
  </r>
  <r>
    <s v="ORD-21173"/>
    <s v="CUST-5145"/>
    <d v="2024-11-24T00:00:00"/>
    <x v="4"/>
    <s v="Resistance Bands"/>
    <n v="19.989999999999998"/>
    <n v="2"/>
    <n v="0"/>
    <n v="19.989999999999998"/>
    <n v="39.979999999999997"/>
    <s v="Wallet"/>
    <x v="0"/>
    <n v="5"/>
    <n v="32"/>
    <s v="Houston"/>
    <x v="2"/>
    <s v="Female"/>
  </r>
  <r>
    <s v="ORD-21174"/>
    <s v="CUST-5145"/>
    <d v="2022-03-25T00:00:00"/>
    <x v="0"/>
    <s v="Python for Beginners"/>
    <n v="29.99"/>
    <n v="1"/>
    <n v="0"/>
    <n v="29.99"/>
    <n v="29.99"/>
    <s v="PayPal"/>
    <x v="0"/>
    <n v="4"/>
    <n v="32"/>
    <s v="Houston"/>
    <x v="2"/>
    <s v="Female"/>
  </r>
  <r>
    <s v="ORD-21175"/>
    <s v="CUST-5145"/>
    <d v="2024-08-22T00:00:00"/>
    <x v="6"/>
    <s v="Lip Balm Set"/>
    <n v="14.99"/>
    <n v="2"/>
    <n v="0"/>
    <n v="14.99"/>
    <n v="29.98"/>
    <s v="Debit Card"/>
    <x v="0"/>
    <n v="5"/>
    <n v="32"/>
    <s v="Houston"/>
    <x v="2"/>
    <s v="Female"/>
  </r>
  <r>
    <s v="ORD-21176"/>
    <s v="CUST-5145"/>
    <d v="2023-09-05T00:00:00"/>
    <x v="1"/>
    <s v="LEGO Classic Set"/>
    <n v="49.99"/>
    <n v="1"/>
    <n v="10"/>
    <n v="44.99"/>
    <n v="44.99"/>
    <s v="Wallet"/>
    <x v="0"/>
    <n v="4"/>
    <n v="32"/>
    <s v="Houston"/>
    <x v="2"/>
    <s v="Female"/>
  </r>
  <r>
    <s v="ORD-21177"/>
    <s v="CUST-5145"/>
    <d v="2022-06-27T00:00:00"/>
    <x v="6"/>
    <s v="Hair Mask"/>
    <n v="24.99"/>
    <n v="3"/>
    <n v="5"/>
    <n v="23.74"/>
    <n v="71.22"/>
    <s v="Debit Card"/>
    <x v="0"/>
    <m/>
    <n v="32"/>
    <s v="Houston"/>
    <x v="2"/>
    <s v="Female"/>
  </r>
  <r>
    <s v="ORD-21178"/>
    <s v="CUST-5146"/>
    <d v="2023-10-16T00:00:00"/>
    <x v="5"/>
    <s v="Smart Watch"/>
    <n v="199.99"/>
    <n v="2"/>
    <n v="10"/>
    <n v="179.99"/>
    <n v="359.98"/>
    <s v="Credit Card"/>
    <x v="0"/>
    <m/>
    <n v="63"/>
    <s v="Chicago"/>
    <x v="3"/>
    <s v="Female"/>
  </r>
  <r>
    <s v="ORD-21179"/>
    <s v="CUST-5146"/>
    <d v="2022-09-14T00:00:00"/>
    <x v="3"/>
    <s v="Cotton T-Shirt"/>
    <n v="24.99"/>
    <n v="2"/>
    <n v="0"/>
    <n v="24.99"/>
    <n v="49.98"/>
    <s v="Wallet"/>
    <x v="0"/>
    <n v="3"/>
    <n v="63"/>
    <s v="Chicago"/>
    <x v="3"/>
    <s v="Female"/>
  </r>
  <r>
    <s v="ORD-21180"/>
    <s v="CUST-5146"/>
    <d v="2024-01-09T00:00:00"/>
    <x v="6"/>
    <s v="Moisturizer SPF 50"/>
    <n v="29.99"/>
    <n v="3"/>
    <n v="0"/>
    <n v="29.99"/>
    <n v="89.97"/>
    <s v="Credit Card"/>
    <x v="0"/>
    <n v="4"/>
    <n v="63"/>
    <s v="Chicago"/>
    <x v="3"/>
    <s v="Female"/>
  </r>
  <r>
    <s v="ORD-21181"/>
    <s v="CUST-5146"/>
    <d v="2023-04-20T00:00:00"/>
    <x v="4"/>
    <s v="Resistance Bands"/>
    <n v="19.989999999999998"/>
    <n v="4"/>
    <n v="20"/>
    <n v="15.99"/>
    <n v="63.96"/>
    <s v="Credit Card"/>
    <x v="0"/>
    <n v="5"/>
    <n v="63"/>
    <s v="Chicago"/>
    <x v="3"/>
    <s v="Female"/>
  </r>
  <r>
    <s v="ORD-21182"/>
    <s v="CUST-5146"/>
    <d v="2022-02-20T00:00:00"/>
    <x v="0"/>
    <s v="Fiction Novel"/>
    <n v="14.99"/>
    <n v="3"/>
    <n v="0"/>
    <n v="14.99"/>
    <n v="44.97"/>
    <s v="PayPal"/>
    <x v="4"/>
    <n v="5"/>
    <n v="63"/>
    <s v="Chicago"/>
    <x v="3"/>
    <s v="Female"/>
  </r>
  <r>
    <s v="ORD-21183"/>
    <s v="CUST-5146"/>
    <d v="2023-07-27T00:00:00"/>
    <x v="2"/>
    <s v="Air Fryer"/>
    <n v="89.99"/>
    <n v="2"/>
    <n v="5"/>
    <n v="85.49"/>
    <n v="170.98"/>
    <s v="Credit Card"/>
    <x v="0"/>
    <n v="5"/>
    <n v="63"/>
    <s v="Chicago"/>
    <x v="3"/>
    <s v="Female"/>
  </r>
  <r>
    <s v="ORD-21184"/>
    <s v="CUST-5146"/>
    <d v="2023-09-06T00:00:00"/>
    <x v="3"/>
    <s v="Denim Jacket"/>
    <n v="69.989999999999995"/>
    <n v="3"/>
    <n v="0"/>
    <n v="69.989999999999995"/>
    <n v="209.97"/>
    <s v="Credit Card"/>
    <x v="0"/>
    <n v="1"/>
    <n v="63"/>
    <s v="Chicago"/>
    <x v="3"/>
    <s v="Female"/>
  </r>
  <r>
    <s v="ORD-21185"/>
    <s v="CUST-5147"/>
    <d v="2024-04-04T00:00:00"/>
    <x v="5"/>
    <s v="USB-C Hub"/>
    <n v="34.99"/>
    <n v="3"/>
    <n v="0"/>
    <n v="34.99"/>
    <n v="104.97"/>
    <s v="Debit Card"/>
    <x v="0"/>
    <n v="5"/>
    <n v="35"/>
    <s v="Philadelphia"/>
    <x v="2"/>
    <s v="Female"/>
  </r>
  <r>
    <s v="ORD-21186"/>
    <s v="CUST-5147"/>
    <d v="2023-02-25T00:00:00"/>
    <x v="0"/>
    <s v="Business Analytics"/>
    <n v="39.99"/>
    <n v="4"/>
    <n v="0"/>
    <n v="39.99"/>
    <n v="159.96"/>
    <s v="UPI"/>
    <x v="0"/>
    <n v="5"/>
    <n v="35"/>
    <s v="Philadelphia"/>
    <x v="2"/>
    <s v="Female"/>
  </r>
  <r>
    <s v="ORD-21187"/>
    <s v="CUST-5147"/>
    <d v="2024-10-23T00:00:00"/>
    <x v="3"/>
    <s v="Yoga Pants"/>
    <n v="44.99"/>
    <n v="2"/>
    <n v="0"/>
    <n v="44.99"/>
    <n v="89.98"/>
    <s v="Credit Card"/>
    <x v="4"/>
    <n v="5"/>
    <n v="35"/>
    <s v="Philadelphia"/>
    <x v="2"/>
    <s v="Female"/>
  </r>
  <r>
    <s v="ORD-21188"/>
    <s v="CUST-5147"/>
    <d v="2023-10-03T00:00:00"/>
    <x v="6"/>
    <s v="Moisturizer SPF 50"/>
    <n v="29.99"/>
    <n v="2"/>
    <n v="0"/>
    <n v="29.99"/>
    <n v="59.98"/>
    <s v="Debit Card"/>
    <x v="0"/>
    <n v="5"/>
    <n v="35"/>
    <s v="Philadelphia"/>
    <x v="2"/>
    <s v="Female"/>
  </r>
  <r>
    <s v="ORD-21189"/>
    <s v="CUST-5147"/>
    <d v="2023-09-04T00:00:00"/>
    <x v="4"/>
    <s v="Jump Rope"/>
    <n v="14.99"/>
    <n v="2"/>
    <n v="0"/>
    <n v="14.99"/>
    <n v="29.98"/>
    <s v="UPI"/>
    <x v="0"/>
    <m/>
    <n v="35"/>
    <s v="Philadelphia"/>
    <x v="2"/>
    <s v="Female"/>
  </r>
  <r>
    <s v="ORD-21190"/>
    <s v="CUST-5147"/>
    <d v="2022-11-08T00:00:00"/>
    <x v="5"/>
    <s v="Bluetooth Speaker"/>
    <n v="49.99"/>
    <n v="1"/>
    <n v="20"/>
    <n v="39.99"/>
    <n v="39.99"/>
    <s v="PayPal"/>
    <x v="0"/>
    <n v="5"/>
    <n v="35"/>
    <s v="Philadelphia"/>
    <x v="2"/>
    <s v="Female"/>
  </r>
  <r>
    <s v="ORD-21191"/>
    <s v="CUST-5147"/>
    <d v="2023-05-27T00:00:00"/>
    <x v="3"/>
    <s v="Denim Jacket"/>
    <n v="69.989999999999995"/>
    <n v="4"/>
    <n v="5"/>
    <n v="66.489999999999995"/>
    <n v="265.95999999999998"/>
    <s v="Debit Card"/>
    <x v="0"/>
    <n v="5"/>
    <n v="35"/>
    <s v="Philadelphia"/>
    <x v="2"/>
    <s v="Female"/>
  </r>
  <r>
    <s v="ORD-21192"/>
    <s v="CUST-5147"/>
    <d v="2022-03-10T00:00:00"/>
    <x v="3"/>
    <s v="Cotton T-Shirt"/>
    <n v="24.99"/>
    <n v="2"/>
    <n v="20"/>
    <n v="19.989999999999998"/>
    <n v="39.979999999999997"/>
    <s v="Debit Card"/>
    <x v="0"/>
    <m/>
    <n v="35"/>
    <s v="Philadelphia"/>
    <x v="2"/>
    <s v="Female"/>
  </r>
  <r>
    <s v="ORD-21193"/>
    <s v="CUST-5148"/>
    <d v="2022-03-01T00:00:00"/>
    <x v="2"/>
    <s v="Non-stick Pan Set"/>
    <n v="44.99"/>
    <n v="2"/>
    <n v="15"/>
    <n v="38.24"/>
    <n v="76.48"/>
    <s v="PayPal"/>
    <x v="4"/>
    <n v="3"/>
    <n v="40"/>
    <s v="Houston"/>
    <x v="0"/>
    <s v="Female"/>
  </r>
  <r>
    <s v="ORD-21194"/>
    <s v="CUST-5148"/>
    <d v="2023-06-22T00:00:00"/>
    <x v="3"/>
    <s v="Cotton T-Shirt"/>
    <n v="24.99"/>
    <n v="2"/>
    <n v="20"/>
    <n v="19.989999999999998"/>
    <n v="39.979999999999997"/>
    <s v="PayPal"/>
    <x v="0"/>
    <m/>
    <n v="40"/>
    <s v="Houston"/>
    <x v="0"/>
    <s v="Female"/>
  </r>
  <r>
    <s v="ORD-21195"/>
    <s v="CUST-5148"/>
    <d v="2024-12-26T00:00:00"/>
    <x v="0"/>
    <s v="Data Science Handbook"/>
    <n v="49.99"/>
    <n v="4"/>
    <n v="5"/>
    <n v="47.49"/>
    <n v="189.96"/>
    <s v="PayPal"/>
    <x v="0"/>
    <m/>
    <n v="40"/>
    <s v="Houston"/>
    <x v="0"/>
    <s v="Female"/>
  </r>
  <r>
    <s v="ORD-21196"/>
    <s v="CUST-5148"/>
    <d v="2023-03-07T00:00:00"/>
    <x v="1"/>
    <s v="Remote Control Car"/>
    <n v="39.99"/>
    <n v="3"/>
    <n v="0"/>
    <n v="39.99"/>
    <n v="119.97"/>
    <s v="UPI"/>
    <x v="0"/>
    <n v="4"/>
    <n v="40"/>
    <s v="Houston"/>
    <x v="0"/>
    <s v="Female"/>
  </r>
  <r>
    <s v="ORD-21197"/>
    <s v="CUST-5148"/>
    <d v="2023-05-20T00:00:00"/>
    <x v="6"/>
    <s v="Hair Mask"/>
    <n v="24.99"/>
    <n v="1"/>
    <n v="0"/>
    <n v="24.99"/>
    <n v="24.99"/>
    <s v="Credit Card"/>
    <x v="0"/>
    <n v="3"/>
    <n v="40"/>
    <s v="Houston"/>
    <x v="0"/>
    <s v="Female"/>
  </r>
  <r>
    <s v="ORD-21198"/>
    <s v="CUST-5148"/>
    <d v="2023-05-26T00:00:00"/>
    <x v="4"/>
    <s v="Jump Rope"/>
    <n v="14.99"/>
    <n v="4"/>
    <n v="0"/>
    <n v="14.99"/>
    <n v="59.96"/>
    <s v="UPI"/>
    <x v="0"/>
    <n v="5"/>
    <n v="40"/>
    <s v="Houston"/>
    <x v="0"/>
    <s v="Female"/>
  </r>
  <r>
    <s v="ORD-21199"/>
    <s v="CUST-5148"/>
    <d v="2024-04-28T00:00:00"/>
    <x v="0"/>
    <s v="Python for Beginners"/>
    <n v="29.99"/>
    <n v="1"/>
    <n v="0"/>
    <n v="29.99"/>
    <n v="29.99"/>
    <s v="Credit Card"/>
    <x v="0"/>
    <m/>
    <n v="40"/>
    <s v="Houston"/>
    <x v="0"/>
    <s v="Female"/>
  </r>
  <r>
    <s v="ORD-21200"/>
    <s v="CUST-5148"/>
    <d v="2024-09-05T00:00:00"/>
    <x v="6"/>
    <s v="Lip Balm Set"/>
    <n v="14.99"/>
    <n v="1"/>
    <n v="20"/>
    <n v="11.99"/>
    <n v="11.99"/>
    <s v="PayPal"/>
    <x v="0"/>
    <n v="5"/>
    <n v="40"/>
    <s v="Houston"/>
    <x v="0"/>
    <s v="Female"/>
  </r>
  <r>
    <s v="ORD-21201"/>
    <s v="CUST-5148"/>
    <d v="2024-12-27T00:00:00"/>
    <x v="4"/>
    <s v="Yoga Mat"/>
    <n v="29.99"/>
    <n v="2"/>
    <n v="0"/>
    <n v="29.99"/>
    <n v="59.98"/>
    <s v="Debit Card"/>
    <x v="0"/>
    <n v="4"/>
    <n v="40"/>
    <s v="Houston"/>
    <x v="0"/>
    <s v="Female"/>
  </r>
  <r>
    <s v="ORD-21202"/>
    <s v="CUST-5148"/>
    <d v="2023-12-08T00:00:00"/>
    <x v="6"/>
    <s v="Lip Balm Set"/>
    <n v="14.99"/>
    <n v="1"/>
    <n v="0"/>
    <n v="14.99"/>
    <n v="14.99"/>
    <s v="Credit Card"/>
    <x v="0"/>
    <m/>
    <n v="40"/>
    <s v="Houston"/>
    <x v="0"/>
    <s v="Female"/>
  </r>
  <r>
    <s v="ORD-21203"/>
    <s v="CUST-5148"/>
    <d v="2022-03-18T00:00:00"/>
    <x v="4"/>
    <s v="Water Bottle"/>
    <n v="24.99"/>
    <n v="3"/>
    <n v="20"/>
    <n v="19.989999999999998"/>
    <n v="59.97"/>
    <s v="PayPal"/>
    <x v="0"/>
    <n v="3"/>
    <n v="40"/>
    <s v="Houston"/>
    <x v="0"/>
    <s v="Female"/>
  </r>
  <r>
    <s v="ORD-21204"/>
    <s v="CUST-5148"/>
    <d v="2023-04-13T00:00:00"/>
    <x v="3"/>
    <s v="Yoga Pants"/>
    <n v="44.99"/>
    <n v="2"/>
    <n v="0"/>
    <n v="44.99"/>
    <n v="89.98"/>
    <s v="Debit Card"/>
    <x v="0"/>
    <n v="5"/>
    <n v="40"/>
    <s v="Houston"/>
    <x v="0"/>
    <s v="Female"/>
  </r>
  <r>
    <s v="ORD-21205"/>
    <s v="CUST-5148"/>
    <d v="2022-05-26T00:00:00"/>
    <x v="1"/>
    <s v="LEGO Classic Set"/>
    <n v="49.99"/>
    <n v="4"/>
    <n v="5"/>
    <n v="47.49"/>
    <n v="189.96"/>
    <s v="Wallet"/>
    <x v="0"/>
    <m/>
    <n v="40"/>
    <s v="Houston"/>
    <x v="0"/>
    <s v="Female"/>
  </r>
  <r>
    <s v="ORD-21206"/>
    <s v="CUST-5149"/>
    <d v="2022-01-08T00:00:00"/>
    <x v="3"/>
    <s v="Yoga Pants"/>
    <n v="44.99"/>
    <n v="1"/>
    <n v="15"/>
    <n v="38.24"/>
    <n v="38.24"/>
    <s v="Credit Card"/>
    <x v="4"/>
    <m/>
    <n v="27"/>
    <s v="San Diego"/>
    <x v="2"/>
    <s v="Female"/>
  </r>
  <r>
    <s v="ORD-21207"/>
    <s v="CUST-5149"/>
    <d v="2023-03-19T00:00:00"/>
    <x v="6"/>
    <s v="Hair Mask"/>
    <n v="24.99"/>
    <n v="1"/>
    <n v="20"/>
    <n v="19.989999999999998"/>
    <n v="19.989999999999998"/>
    <s v="Wallet"/>
    <x v="0"/>
    <n v="4"/>
    <n v="27"/>
    <s v="San Diego"/>
    <x v="2"/>
    <s v="Female"/>
  </r>
  <r>
    <s v="ORD-21208"/>
    <s v="CUST-5149"/>
    <d v="2024-12-22T00:00:00"/>
    <x v="6"/>
    <s v="Hair Mask"/>
    <n v="24.99"/>
    <n v="2"/>
    <n v="0"/>
    <n v="24.99"/>
    <n v="49.98"/>
    <s v="Wallet"/>
    <x v="0"/>
    <n v="5"/>
    <n v="27"/>
    <s v="San Diego"/>
    <x v="2"/>
    <s v="Female"/>
  </r>
  <r>
    <s v="ORD-21209"/>
    <s v="CUST-5150"/>
    <d v="2024-05-06T00:00:00"/>
    <x v="6"/>
    <s v="Hair Mask"/>
    <n v="24.99"/>
    <n v="2"/>
    <n v="0"/>
    <n v="24.99"/>
    <n v="49.98"/>
    <s v="PayPal"/>
    <x v="2"/>
    <n v="5"/>
    <n v="21"/>
    <s v="New York"/>
    <x v="2"/>
    <s v="Female"/>
  </r>
  <r>
    <s v="ORD-21210"/>
    <s v="CUST-5150"/>
    <d v="2024-02-06T00:00:00"/>
    <x v="2"/>
    <s v="Blender"/>
    <n v="64.989999999999995"/>
    <n v="3"/>
    <n v="0"/>
    <n v="64.989999999999995"/>
    <n v="194.97"/>
    <s v="Credit Card"/>
    <x v="0"/>
    <n v="4"/>
    <n v="21"/>
    <s v="New York"/>
    <x v="2"/>
    <s v="Female"/>
  </r>
  <r>
    <s v="ORD-21211"/>
    <s v="CUST-5150"/>
    <d v="2024-06-08T00:00:00"/>
    <x v="3"/>
    <s v="Denim Jacket"/>
    <n v="69.989999999999995"/>
    <n v="3"/>
    <n v="10"/>
    <n v="62.99"/>
    <n v="188.97"/>
    <s v="UPI"/>
    <x v="0"/>
    <n v="4"/>
    <n v="21"/>
    <s v="New York"/>
    <x v="2"/>
    <s v="Female"/>
  </r>
  <r>
    <s v="ORD-21212"/>
    <s v="CUST-5150"/>
    <d v="2024-04-23T00:00:00"/>
    <x v="3"/>
    <s v="Yoga Pants"/>
    <n v="44.99"/>
    <n v="3"/>
    <n v="15"/>
    <n v="38.24"/>
    <n v="114.72"/>
    <s v="Debit Card"/>
    <x v="2"/>
    <n v="2"/>
    <n v="21"/>
    <s v="New York"/>
    <x v="2"/>
    <s v="Female"/>
  </r>
  <r>
    <s v="ORD-21213"/>
    <s v="CUST-5150"/>
    <d v="2024-06-06T00:00:00"/>
    <x v="3"/>
    <s v="Cotton T-Shirt"/>
    <n v="24.99"/>
    <n v="1"/>
    <n v="0"/>
    <n v="24.99"/>
    <n v="24.99"/>
    <s v="PayPal"/>
    <x v="0"/>
    <n v="4"/>
    <n v="21"/>
    <s v="New York"/>
    <x v="2"/>
    <s v="Female"/>
  </r>
  <r>
    <s v="ORD-21214"/>
    <s v="CUST-5150"/>
    <d v="2023-11-19T00:00:00"/>
    <x v="0"/>
    <s v="Fiction Novel"/>
    <n v="14.99"/>
    <n v="1"/>
    <n v="15"/>
    <n v="12.74"/>
    <n v="12.74"/>
    <s v="Debit Card"/>
    <x v="0"/>
    <n v="5"/>
    <n v="21"/>
    <s v="New York"/>
    <x v="2"/>
    <s v="Female"/>
  </r>
  <r>
    <s v="ORD-21215"/>
    <s v="CUST-5150"/>
    <d v="2024-04-12T00:00:00"/>
    <x v="5"/>
    <s v="Wireless Earbuds"/>
    <n v="79.989999999999995"/>
    <n v="3"/>
    <n v="0"/>
    <n v="79.989999999999995"/>
    <n v="239.97"/>
    <s v="PayPal"/>
    <x v="0"/>
    <n v="3"/>
    <n v="21"/>
    <s v="New York"/>
    <x v="2"/>
    <s v="Female"/>
  </r>
  <r>
    <s v="ORD-21216"/>
    <s v="CUST-5150"/>
    <d v="2022-01-09T00:00:00"/>
    <x v="4"/>
    <s v="Resistance Bands"/>
    <n v="19.989999999999998"/>
    <n v="1"/>
    <n v="5"/>
    <n v="18.989999999999998"/>
    <n v="18.989999999999998"/>
    <s v="Wallet"/>
    <x v="0"/>
    <n v="5"/>
    <n v="21"/>
    <s v="New York"/>
    <x v="2"/>
    <s v="Female"/>
  </r>
  <r>
    <s v="ORD-21217"/>
    <s v="CUST-5150"/>
    <d v="2024-07-20T00:00:00"/>
    <x v="3"/>
    <s v="Running Shoes"/>
    <n v="89.99"/>
    <n v="2"/>
    <n v="0"/>
    <n v="89.99"/>
    <n v="179.98"/>
    <s v="PayPal"/>
    <x v="4"/>
    <n v="3"/>
    <n v="21"/>
    <s v="New York"/>
    <x v="2"/>
    <s v="Female"/>
  </r>
  <r>
    <s v="ORD-21218"/>
    <s v="CUST-5150"/>
    <d v="2023-05-15T00:00:00"/>
    <x v="2"/>
    <s v="Non-stick Pan Set"/>
    <n v="44.99"/>
    <n v="4"/>
    <n v="10"/>
    <n v="40.49"/>
    <n v="161.96"/>
    <s v="Wallet"/>
    <x v="4"/>
    <m/>
    <n v="21"/>
    <s v="New York"/>
    <x v="2"/>
    <s v="Female"/>
  </r>
  <r>
    <s v="ORD-21219"/>
    <s v="CUST-5151"/>
    <d v="2022-08-03T00:00:00"/>
    <x v="1"/>
    <s v="LEGO Classic Set"/>
    <n v="49.99"/>
    <n v="3"/>
    <n v="20"/>
    <n v="39.99"/>
    <n v="119.97"/>
    <s v="UPI"/>
    <x v="0"/>
    <n v="3"/>
    <n v="59"/>
    <s v="Dallas"/>
    <x v="3"/>
    <s v="Male"/>
  </r>
  <r>
    <s v="ORD-21220"/>
    <s v="CUST-5151"/>
    <d v="2022-05-05T00:00:00"/>
    <x v="6"/>
    <s v="Lip Balm Set"/>
    <n v="14.99"/>
    <n v="2"/>
    <n v="5"/>
    <n v="14.24"/>
    <n v="28.48"/>
    <s v="PayPal"/>
    <x v="0"/>
    <m/>
    <n v="59"/>
    <s v="Dallas"/>
    <x v="3"/>
    <s v="Male"/>
  </r>
  <r>
    <s v="ORD-21221"/>
    <s v="CUST-5151"/>
    <d v="2023-05-05T00:00:00"/>
    <x v="3"/>
    <s v="Cotton T-Shirt"/>
    <n v="24.99"/>
    <n v="2"/>
    <n v="20"/>
    <n v="19.989999999999998"/>
    <n v="39.979999999999997"/>
    <s v="Debit Card"/>
    <x v="0"/>
    <m/>
    <n v="59"/>
    <s v="Dallas"/>
    <x v="3"/>
    <s v="Male"/>
  </r>
  <r>
    <s v="ORD-21222"/>
    <s v="CUST-5151"/>
    <d v="2023-04-18T00:00:00"/>
    <x v="2"/>
    <s v="Coffee Maker"/>
    <n v="59.99"/>
    <n v="4"/>
    <n v="15"/>
    <n v="50.99"/>
    <n v="203.96"/>
    <s v="Wallet"/>
    <x v="0"/>
    <m/>
    <n v="59"/>
    <s v="Dallas"/>
    <x v="3"/>
    <s v="Male"/>
  </r>
  <r>
    <s v="ORD-21223"/>
    <s v="CUST-5151"/>
    <d v="2024-02-10T00:00:00"/>
    <x v="0"/>
    <s v="Python for Beginners"/>
    <n v="29.99"/>
    <n v="4"/>
    <n v="5"/>
    <n v="28.49"/>
    <n v="113.96"/>
    <s v="UPI"/>
    <x v="0"/>
    <m/>
    <n v="59"/>
    <s v="Dallas"/>
    <x v="3"/>
    <s v="Male"/>
  </r>
  <r>
    <s v="ORD-21224"/>
    <s v="CUST-5151"/>
    <d v="2023-06-20T00:00:00"/>
    <x v="2"/>
    <s v="Blender"/>
    <n v="64.989999999999995"/>
    <n v="2"/>
    <n v="5"/>
    <n v="61.74"/>
    <n v="123.48"/>
    <s v="Wallet"/>
    <x v="0"/>
    <n v="4"/>
    <n v="59"/>
    <s v="Dallas"/>
    <x v="3"/>
    <s v="Male"/>
  </r>
  <r>
    <s v="ORD-21225"/>
    <s v="CUST-5151"/>
    <d v="2023-04-21T00:00:00"/>
    <x v="2"/>
    <s v="Non-stick Pan Set"/>
    <n v="44.99"/>
    <n v="4"/>
    <n v="0"/>
    <n v="44.99"/>
    <n v="179.96"/>
    <s v="UPI"/>
    <x v="0"/>
    <m/>
    <n v="59"/>
    <s v="Dallas"/>
    <x v="3"/>
    <s v="Male"/>
  </r>
  <r>
    <s v="ORD-21226"/>
    <s v="CUST-5151"/>
    <d v="2022-09-05T00:00:00"/>
    <x v="5"/>
    <s v="USB-C Hub"/>
    <n v="34.99"/>
    <n v="3"/>
    <n v="5"/>
    <n v="33.24"/>
    <n v="99.72"/>
    <s v="PayPal"/>
    <x v="0"/>
    <n v="5"/>
    <n v="59"/>
    <s v="Dallas"/>
    <x v="3"/>
    <s v="Male"/>
  </r>
  <r>
    <s v="ORD-21227"/>
    <s v="CUST-5151"/>
    <d v="2022-06-13T00:00:00"/>
    <x v="4"/>
    <s v="Water Bottle"/>
    <n v="24.99"/>
    <n v="1"/>
    <n v="10"/>
    <n v="22.49"/>
    <n v="22.49"/>
    <s v="Debit Card"/>
    <x v="0"/>
    <n v="5"/>
    <n v="59"/>
    <s v="Dallas"/>
    <x v="3"/>
    <s v="Male"/>
  </r>
  <r>
    <s v="ORD-21228"/>
    <s v="CUST-5152"/>
    <d v="2024-09-08T00:00:00"/>
    <x v="1"/>
    <s v="Action Figure"/>
    <n v="19.989999999999998"/>
    <n v="2"/>
    <n v="15"/>
    <n v="16.989999999999998"/>
    <n v="33.979999999999997"/>
    <s v="Wallet"/>
    <x v="0"/>
    <n v="3"/>
    <n v="55"/>
    <s v="San Antonio"/>
    <x v="3"/>
    <s v="Male"/>
  </r>
  <r>
    <s v="ORD-21229"/>
    <s v="CUST-5152"/>
    <d v="2024-12-17T00:00:00"/>
    <x v="6"/>
    <s v="Hair Mask"/>
    <n v="24.99"/>
    <n v="1"/>
    <n v="0"/>
    <n v="24.99"/>
    <n v="24.99"/>
    <s v="PayPal"/>
    <x v="0"/>
    <m/>
    <n v="55"/>
    <s v="San Antonio"/>
    <x v="3"/>
    <s v="Male"/>
  </r>
  <r>
    <s v="ORD-21230"/>
    <s v="CUST-5152"/>
    <d v="2023-04-19T00:00:00"/>
    <x v="3"/>
    <s v="Yoga Pants"/>
    <n v="44.99"/>
    <n v="1"/>
    <n v="10"/>
    <n v="40.49"/>
    <n v="40.49"/>
    <s v="UPI"/>
    <x v="0"/>
    <m/>
    <n v="55"/>
    <s v="San Antonio"/>
    <x v="3"/>
    <s v="Male"/>
  </r>
  <r>
    <s v="ORD-21231"/>
    <s v="CUST-5152"/>
    <d v="2024-07-15T00:00:00"/>
    <x v="5"/>
    <s v="Wireless Earbuds"/>
    <n v="79.989999999999995"/>
    <n v="1"/>
    <n v="0"/>
    <n v="79.989999999999995"/>
    <n v="79.989999999999995"/>
    <s v="Wallet"/>
    <x v="0"/>
    <n v="5"/>
    <n v="55"/>
    <s v="San Antonio"/>
    <x v="3"/>
    <s v="Male"/>
  </r>
  <r>
    <s v="ORD-21232"/>
    <s v="CUST-5153"/>
    <d v="2022-02-13T00:00:00"/>
    <x v="4"/>
    <s v="Water Bottle"/>
    <n v="24.99"/>
    <n v="4"/>
    <n v="20"/>
    <n v="19.989999999999998"/>
    <n v="79.959999999999994"/>
    <s v="Debit Card"/>
    <x v="0"/>
    <n v="4"/>
    <n v="55"/>
    <s v="Philadelphia"/>
    <x v="3"/>
    <s v="Male"/>
  </r>
  <r>
    <s v="ORD-21233"/>
    <s v="CUST-5154"/>
    <d v="2023-07-12T00:00:00"/>
    <x v="3"/>
    <s v="Yoga Pants"/>
    <n v="44.99"/>
    <n v="2"/>
    <n v="0"/>
    <n v="44.99"/>
    <n v="89.98"/>
    <s v="Debit Card"/>
    <x v="0"/>
    <m/>
    <n v="35"/>
    <s v="San Antonio"/>
    <x v="3"/>
    <s v="Female"/>
  </r>
  <r>
    <s v="ORD-21234"/>
    <s v="CUST-5154"/>
    <d v="2023-01-09T00:00:00"/>
    <x v="3"/>
    <s v="Running Shoes"/>
    <n v="89.99"/>
    <n v="1"/>
    <n v="0"/>
    <n v="89.99"/>
    <n v="89.99"/>
    <s v="PayPal"/>
    <x v="1"/>
    <n v="4"/>
    <n v="35"/>
    <s v="San Antonio"/>
    <x v="3"/>
    <s v="Female"/>
  </r>
  <r>
    <s v="ORD-21235"/>
    <s v="CUST-5154"/>
    <d v="2022-02-06T00:00:00"/>
    <x v="1"/>
    <s v="Action Figure"/>
    <n v="19.989999999999998"/>
    <n v="2"/>
    <n v="5"/>
    <n v="18.989999999999998"/>
    <n v="37.979999999999997"/>
    <s v="PayPal"/>
    <x v="0"/>
    <n v="3"/>
    <n v="35"/>
    <s v="San Antonio"/>
    <x v="3"/>
    <s v="Female"/>
  </r>
  <r>
    <s v="ORD-21236"/>
    <s v="CUST-5154"/>
    <d v="2022-06-26T00:00:00"/>
    <x v="0"/>
    <s v="Python for Beginners"/>
    <n v="29.99"/>
    <n v="1"/>
    <n v="0"/>
    <n v="29.99"/>
    <n v="29.99"/>
    <s v="Wallet"/>
    <x v="0"/>
    <n v="5"/>
    <n v="35"/>
    <s v="San Antonio"/>
    <x v="3"/>
    <s v="Female"/>
  </r>
  <r>
    <s v="ORD-21237"/>
    <s v="CUST-5154"/>
    <d v="2023-05-15T00:00:00"/>
    <x v="0"/>
    <s v="Data Science Handbook"/>
    <n v="49.99"/>
    <n v="4"/>
    <n v="0"/>
    <n v="49.99"/>
    <n v="199.96"/>
    <s v="PayPal"/>
    <x v="0"/>
    <m/>
    <n v="35"/>
    <s v="San Antonio"/>
    <x v="3"/>
    <s v="Female"/>
  </r>
  <r>
    <s v="ORD-21238"/>
    <s v="CUST-5154"/>
    <d v="2023-04-25T00:00:00"/>
    <x v="3"/>
    <s v="Denim Jacket"/>
    <n v="69.989999999999995"/>
    <n v="4"/>
    <n v="0"/>
    <n v="69.989999999999995"/>
    <n v="279.95999999999998"/>
    <s v="PayPal"/>
    <x v="0"/>
    <m/>
    <n v="35"/>
    <s v="San Antonio"/>
    <x v="3"/>
    <s v="Female"/>
  </r>
  <r>
    <s v="ORD-21239"/>
    <s v="CUST-5154"/>
    <d v="2023-05-24T00:00:00"/>
    <x v="4"/>
    <s v="Jump Rope"/>
    <n v="14.99"/>
    <n v="3"/>
    <n v="0"/>
    <n v="14.99"/>
    <n v="44.97"/>
    <s v="Wallet"/>
    <x v="0"/>
    <n v="4"/>
    <n v="35"/>
    <s v="San Antonio"/>
    <x v="3"/>
    <s v="Female"/>
  </r>
  <r>
    <s v="ORD-21240"/>
    <s v="CUST-5154"/>
    <d v="2024-11-28T00:00:00"/>
    <x v="2"/>
    <s v="Non-stick Pan Set"/>
    <n v="44.99"/>
    <n v="4"/>
    <n v="5"/>
    <n v="42.74"/>
    <n v="170.96"/>
    <s v="PayPal"/>
    <x v="0"/>
    <n v="5"/>
    <n v="35"/>
    <s v="San Antonio"/>
    <x v="3"/>
    <s v="Female"/>
  </r>
  <r>
    <s v="ORD-21241"/>
    <s v="CUST-5154"/>
    <d v="2022-02-09T00:00:00"/>
    <x v="4"/>
    <s v="Yoga Mat"/>
    <n v="29.99"/>
    <n v="1"/>
    <n v="15"/>
    <n v="25.49"/>
    <n v="25.49"/>
    <s v="Debit Card"/>
    <x v="0"/>
    <n v="5"/>
    <n v="35"/>
    <s v="San Antonio"/>
    <x v="3"/>
    <s v="Female"/>
  </r>
  <r>
    <s v="ORD-21242"/>
    <s v="CUST-5154"/>
    <d v="2023-09-01T00:00:00"/>
    <x v="4"/>
    <s v="Yoga Mat"/>
    <n v="29.99"/>
    <n v="1"/>
    <n v="10"/>
    <n v="26.99"/>
    <n v="26.99"/>
    <s v="PayPal"/>
    <x v="0"/>
    <m/>
    <n v="35"/>
    <s v="San Antonio"/>
    <x v="3"/>
    <s v="Female"/>
  </r>
  <r>
    <s v="ORD-21243"/>
    <s v="CUST-5154"/>
    <d v="2023-02-06T00:00:00"/>
    <x v="1"/>
    <s v="Remote Control Car"/>
    <n v="39.99"/>
    <n v="4"/>
    <n v="10"/>
    <n v="35.99"/>
    <n v="143.96"/>
    <s v="UPI"/>
    <x v="0"/>
    <n v="3"/>
    <n v="35"/>
    <s v="San Antonio"/>
    <x v="3"/>
    <s v="Female"/>
  </r>
  <r>
    <s v="ORD-21244"/>
    <s v="CUST-5154"/>
    <d v="2023-08-07T00:00:00"/>
    <x v="0"/>
    <s v="Fiction Novel"/>
    <n v="14.99"/>
    <n v="4"/>
    <n v="0"/>
    <n v="14.99"/>
    <n v="59.96"/>
    <s v="Credit Card"/>
    <x v="1"/>
    <n v="5"/>
    <n v="35"/>
    <s v="San Antonio"/>
    <x v="3"/>
    <s v="Female"/>
  </r>
  <r>
    <s v="ORD-21245"/>
    <s v="CUST-5154"/>
    <d v="2022-11-21T00:00:00"/>
    <x v="3"/>
    <s v="Yoga Pants"/>
    <n v="44.99"/>
    <n v="3"/>
    <n v="20"/>
    <n v="35.99"/>
    <n v="107.97"/>
    <s v="PayPal"/>
    <x v="0"/>
    <m/>
    <n v="35"/>
    <s v="San Antonio"/>
    <x v="3"/>
    <s v="Female"/>
  </r>
  <r>
    <s v="ORD-21246"/>
    <s v="CUST-5155"/>
    <d v="2022-07-20T00:00:00"/>
    <x v="6"/>
    <s v="Moisturizer SPF 50"/>
    <n v="29.99"/>
    <n v="3"/>
    <n v="10"/>
    <n v="26.99"/>
    <n v="80.97"/>
    <s v="Debit Card"/>
    <x v="0"/>
    <m/>
    <n v="25"/>
    <s v="Los Angeles"/>
    <x v="2"/>
    <s v="Male"/>
  </r>
  <r>
    <s v="ORD-21247"/>
    <s v="CUST-5155"/>
    <d v="2023-12-11T00:00:00"/>
    <x v="6"/>
    <s v="Face Serum"/>
    <n v="39.99"/>
    <n v="1"/>
    <n v="0"/>
    <n v="39.99"/>
    <n v="39.99"/>
    <s v="Debit Card"/>
    <x v="0"/>
    <n v="5"/>
    <n v="25"/>
    <s v="Los Angeles"/>
    <x v="2"/>
    <s v="Male"/>
  </r>
  <r>
    <s v="ORD-21248"/>
    <s v="CUST-5155"/>
    <d v="2024-09-27T00:00:00"/>
    <x v="2"/>
    <s v="Blender"/>
    <n v="64.989999999999995"/>
    <n v="4"/>
    <n v="0"/>
    <n v="64.989999999999995"/>
    <n v="259.95999999999998"/>
    <s v="Debit Card"/>
    <x v="0"/>
    <n v="2"/>
    <n v="25"/>
    <s v="Los Angeles"/>
    <x v="2"/>
    <s v="Male"/>
  </r>
  <r>
    <s v="ORD-21249"/>
    <s v="CUST-5155"/>
    <d v="2024-07-24T00:00:00"/>
    <x v="1"/>
    <s v="Action Figure"/>
    <n v="19.989999999999998"/>
    <n v="2"/>
    <n v="15"/>
    <n v="16.989999999999998"/>
    <n v="33.979999999999997"/>
    <s v="PayPal"/>
    <x v="0"/>
    <n v="4"/>
    <n v="25"/>
    <s v="Los Angeles"/>
    <x v="2"/>
    <s v="Male"/>
  </r>
  <r>
    <s v="ORD-21250"/>
    <s v="CUST-5155"/>
    <d v="2022-07-06T00:00:00"/>
    <x v="5"/>
    <s v="Smart Watch"/>
    <n v="199.99"/>
    <n v="1"/>
    <n v="10"/>
    <n v="179.99"/>
    <n v="179.99"/>
    <s v="UPI"/>
    <x v="0"/>
    <n v="5"/>
    <n v="25"/>
    <s v="Los Angeles"/>
    <x v="2"/>
    <s v="Male"/>
  </r>
  <r>
    <s v="ORD-21251"/>
    <s v="CUST-5155"/>
    <d v="2024-03-26T00:00:00"/>
    <x v="1"/>
    <s v="Remote Control Car"/>
    <n v="39.99"/>
    <n v="4"/>
    <n v="20"/>
    <n v="31.99"/>
    <n v="127.96"/>
    <s v="Wallet"/>
    <x v="4"/>
    <n v="4"/>
    <n v="25"/>
    <s v="Los Angeles"/>
    <x v="2"/>
    <s v="Male"/>
  </r>
  <r>
    <s v="ORD-21252"/>
    <s v="CUST-5155"/>
    <d v="2023-09-06T00:00:00"/>
    <x v="3"/>
    <s v="Cotton T-Shirt"/>
    <n v="24.99"/>
    <n v="3"/>
    <n v="0"/>
    <n v="24.99"/>
    <n v="74.97"/>
    <s v="Debit Card"/>
    <x v="0"/>
    <m/>
    <n v="25"/>
    <s v="Los Angeles"/>
    <x v="2"/>
    <s v="Male"/>
  </r>
  <r>
    <s v="ORD-21253"/>
    <s v="CUST-5155"/>
    <d v="2022-09-11T00:00:00"/>
    <x v="1"/>
    <s v="LEGO Classic Set"/>
    <n v="49.99"/>
    <n v="3"/>
    <n v="5"/>
    <n v="47.49"/>
    <n v="142.47"/>
    <s v="Wallet"/>
    <x v="0"/>
    <m/>
    <n v="25"/>
    <s v="Los Angeles"/>
    <x v="2"/>
    <s v="Male"/>
  </r>
  <r>
    <s v="ORD-21254"/>
    <s v="CUST-5155"/>
    <d v="2023-07-17T00:00:00"/>
    <x v="6"/>
    <s v="Moisturizer SPF 50"/>
    <n v="29.99"/>
    <n v="1"/>
    <n v="0"/>
    <n v="29.99"/>
    <n v="29.99"/>
    <s v="Wallet"/>
    <x v="0"/>
    <n v="3"/>
    <n v="25"/>
    <s v="Los Angeles"/>
    <x v="2"/>
    <s v="Male"/>
  </r>
  <r>
    <s v="ORD-21255"/>
    <s v="CUST-5155"/>
    <d v="2024-09-08T00:00:00"/>
    <x v="0"/>
    <s v="Data Science Handbook"/>
    <n v="49.99"/>
    <n v="1"/>
    <n v="10"/>
    <n v="44.99"/>
    <n v="44.99"/>
    <s v="Credit Card"/>
    <x v="4"/>
    <n v="5"/>
    <n v="25"/>
    <s v="Los Angeles"/>
    <x v="2"/>
    <s v="Male"/>
  </r>
  <r>
    <s v="ORD-21256"/>
    <s v="CUST-5155"/>
    <d v="2024-08-15T00:00:00"/>
    <x v="5"/>
    <s v="USB-C Hub"/>
    <n v="34.99"/>
    <n v="1"/>
    <n v="0"/>
    <n v="34.99"/>
    <n v="34.99"/>
    <s v="PayPal"/>
    <x v="0"/>
    <m/>
    <n v="25"/>
    <s v="Los Angeles"/>
    <x v="2"/>
    <s v="Male"/>
  </r>
  <r>
    <s v="ORD-21257"/>
    <s v="CUST-5155"/>
    <d v="2023-05-26T00:00:00"/>
    <x v="0"/>
    <s v="Python for Beginners"/>
    <n v="29.99"/>
    <n v="1"/>
    <n v="15"/>
    <n v="25.49"/>
    <n v="25.49"/>
    <s v="UPI"/>
    <x v="0"/>
    <m/>
    <n v="25"/>
    <s v="Los Angeles"/>
    <x v="2"/>
    <s v="Male"/>
  </r>
  <r>
    <s v="ORD-21258"/>
    <s v="CUST-5155"/>
    <d v="2022-06-21T00:00:00"/>
    <x v="4"/>
    <s v="Jump Rope"/>
    <n v="14.99"/>
    <n v="1"/>
    <n v="5"/>
    <n v="14.24"/>
    <n v="14.24"/>
    <s v="Debit Card"/>
    <x v="0"/>
    <m/>
    <n v="25"/>
    <s v="Los Angeles"/>
    <x v="2"/>
    <s v="Male"/>
  </r>
  <r>
    <s v="ORD-21259"/>
    <s v="CUST-5155"/>
    <d v="2024-10-23T00:00:00"/>
    <x v="0"/>
    <s v="Business Analytics"/>
    <n v="39.99"/>
    <n v="4"/>
    <n v="0"/>
    <n v="39.99"/>
    <n v="159.96"/>
    <s v="Credit Card"/>
    <x v="0"/>
    <m/>
    <n v="25"/>
    <s v="Los Angeles"/>
    <x v="2"/>
    <s v="Male"/>
  </r>
  <r>
    <s v="ORD-21260"/>
    <s v="CUST-5155"/>
    <d v="2024-07-18T00:00:00"/>
    <x v="0"/>
    <s v="Python for Beginners"/>
    <n v="29.99"/>
    <n v="3"/>
    <n v="5"/>
    <n v="28.49"/>
    <n v="85.47"/>
    <s v="PayPal"/>
    <x v="0"/>
    <m/>
    <n v="25"/>
    <s v="Los Angeles"/>
    <x v="2"/>
    <s v="Male"/>
  </r>
  <r>
    <s v="ORD-21261"/>
    <s v="CUST-5156"/>
    <d v="2022-02-26T00:00:00"/>
    <x v="6"/>
    <s v="Lip Balm Set"/>
    <n v="14.99"/>
    <n v="1"/>
    <n v="0"/>
    <n v="14.99"/>
    <n v="14.99"/>
    <s v="Wallet"/>
    <x v="2"/>
    <n v="4"/>
    <n v="20"/>
    <s v="San Antonio"/>
    <x v="2"/>
    <s v="Male"/>
  </r>
  <r>
    <s v="ORD-21262"/>
    <s v="CUST-5156"/>
    <d v="2023-08-19T00:00:00"/>
    <x v="5"/>
    <s v="Smart Watch"/>
    <n v="199.99"/>
    <n v="2"/>
    <n v="10"/>
    <n v="179.99"/>
    <n v="359.98"/>
    <s v="Wallet"/>
    <x v="0"/>
    <n v="3"/>
    <n v="20"/>
    <s v="San Antonio"/>
    <x v="2"/>
    <s v="Male"/>
  </r>
  <r>
    <s v="ORD-21263"/>
    <s v="CUST-5156"/>
    <d v="2023-06-09T00:00:00"/>
    <x v="6"/>
    <s v="Face Serum"/>
    <n v="39.99"/>
    <n v="3"/>
    <n v="0"/>
    <n v="39.99"/>
    <n v="119.97"/>
    <s v="Wallet"/>
    <x v="3"/>
    <m/>
    <n v="20"/>
    <s v="San Antonio"/>
    <x v="2"/>
    <s v="Male"/>
  </r>
  <r>
    <s v="ORD-21264"/>
    <s v="CUST-5156"/>
    <d v="2024-06-10T00:00:00"/>
    <x v="3"/>
    <s v="Denim Jacket"/>
    <n v="69.989999999999995"/>
    <n v="1"/>
    <n v="0"/>
    <n v="69.989999999999995"/>
    <n v="69.989999999999995"/>
    <s v="PayPal"/>
    <x v="0"/>
    <m/>
    <n v="20"/>
    <s v="San Antonio"/>
    <x v="2"/>
    <s v="Male"/>
  </r>
  <r>
    <s v="ORD-21265"/>
    <s v="CUST-5156"/>
    <d v="2024-02-12T00:00:00"/>
    <x v="1"/>
    <s v="Puzzle 1000pcs"/>
    <n v="24.99"/>
    <n v="2"/>
    <n v="0"/>
    <n v="24.99"/>
    <n v="49.98"/>
    <s v="Wallet"/>
    <x v="0"/>
    <m/>
    <n v="20"/>
    <s v="San Antonio"/>
    <x v="2"/>
    <s v="Male"/>
  </r>
  <r>
    <s v="ORD-21266"/>
    <s v="CUST-5156"/>
    <d v="2022-05-18T00:00:00"/>
    <x v="3"/>
    <s v="Yoga Pants"/>
    <n v="44.99"/>
    <n v="1"/>
    <n v="10"/>
    <n v="40.49"/>
    <n v="40.49"/>
    <s v="PayPal"/>
    <x v="0"/>
    <n v="4"/>
    <n v="20"/>
    <s v="San Antonio"/>
    <x v="2"/>
    <s v="Male"/>
  </r>
  <r>
    <s v="ORD-21267"/>
    <s v="CUST-5156"/>
    <d v="2022-04-07T00:00:00"/>
    <x v="6"/>
    <s v="Hair Mask"/>
    <n v="24.99"/>
    <n v="3"/>
    <n v="10"/>
    <n v="22.49"/>
    <n v="67.47"/>
    <s v="UPI"/>
    <x v="0"/>
    <m/>
    <n v="20"/>
    <s v="San Antonio"/>
    <x v="2"/>
    <s v="Male"/>
  </r>
  <r>
    <s v="ORD-21268"/>
    <s v="CUST-5156"/>
    <d v="2024-01-22T00:00:00"/>
    <x v="3"/>
    <s v="Denim Jacket"/>
    <n v="69.989999999999995"/>
    <n v="2"/>
    <n v="0"/>
    <n v="69.989999999999995"/>
    <n v="139.97999999999999"/>
    <s v="Credit Card"/>
    <x v="0"/>
    <m/>
    <n v="20"/>
    <s v="San Antonio"/>
    <x v="2"/>
    <s v="Male"/>
  </r>
  <r>
    <s v="ORD-21269"/>
    <s v="CUST-5156"/>
    <d v="2024-05-10T00:00:00"/>
    <x v="5"/>
    <s v="Bluetooth Speaker"/>
    <n v="49.99"/>
    <n v="1"/>
    <n v="0"/>
    <n v="49.99"/>
    <n v="49.99"/>
    <s v="Credit Card"/>
    <x v="0"/>
    <n v="5"/>
    <n v="20"/>
    <s v="San Antonio"/>
    <x v="2"/>
    <s v="Male"/>
  </r>
  <r>
    <s v="ORD-21270"/>
    <s v="CUST-5156"/>
    <d v="2022-01-05T00:00:00"/>
    <x v="6"/>
    <s v="Moisturizer SPF 50"/>
    <n v="29.99"/>
    <n v="4"/>
    <n v="5"/>
    <n v="28.49"/>
    <n v="113.96"/>
    <s v="UPI"/>
    <x v="0"/>
    <n v="4"/>
    <n v="20"/>
    <s v="San Antonio"/>
    <x v="2"/>
    <s v="Male"/>
  </r>
  <r>
    <s v="ORD-21271"/>
    <s v="CUST-5156"/>
    <d v="2023-11-06T00:00:00"/>
    <x v="3"/>
    <s v="Yoga Pants"/>
    <n v="44.99"/>
    <n v="3"/>
    <n v="0"/>
    <n v="44.99"/>
    <n v="134.97"/>
    <s v="PayPal"/>
    <x v="0"/>
    <n v="5"/>
    <n v="20"/>
    <s v="San Antonio"/>
    <x v="2"/>
    <s v="Male"/>
  </r>
  <r>
    <s v="ORD-21272"/>
    <s v="CUST-5156"/>
    <d v="2023-08-16T00:00:00"/>
    <x v="1"/>
    <s v="Remote Control Car"/>
    <n v="39.99"/>
    <n v="2"/>
    <n v="5"/>
    <n v="37.99"/>
    <n v="75.98"/>
    <s v="Credit Card"/>
    <x v="0"/>
    <m/>
    <n v="20"/>
    <s v="San Antonio"/>
    <x v="2"/>
    <s v="Male"/>
  </r>
  <r>
    <s v="ORD-21273"/>
    <s v="CUST-5156"/>
    <d v="2022-06-01T00:00:00"/>
    <x v="2"/>
    <s v="Non-stick Pan Set"/>
    <n v="44.99"/>
    <n v="1"/>
    <n v="5"/>
    <n v="42.74"/>
    <n v="42.74"/>
    <s v="Wallet"/>
    <x v="0"/>
    <n v="5"/>
    <n v="20"/>
    <s v="San Antonio"/>
    <x v="2"/>
    <s v="Male"/>
  </r>
  <r>
    <s v="ORD-21274"/>
    <s v="CUST-5157"/>
    <d v="2024-12-25T00:00:00"/>
    <x v="1"/>
    <s v="Remote Control Car"/>
    <n v="39.99"/>
    <n v="1"/>
    <n v="20"/>
    <n v="31.99"/>
    <n v="31.99"/>
    <s v="PayPal"/>
    <x v="0"/>
    <m/>
    <n v="61"/>
    <s v="Philadelphia"/>
    <x v="3"/>
    <s v="Male"/>
  </r>
  <r>
    <s v="ORD-21275"/>
    <s v="CUST-5157"/>
    <d v="2024-12-16T00:00:00"/>
    <x v="6"/>
    <s v="Lip Balm Set"/>
    <n v="14.99"/>
    <n v="2"/>
    <n v="5"/>
    <n v="14.24"/>
    <n v="28.48"/>
    <s v="UPI"/>
    <x v="0"/>
    <n v="5"/>
    <n v="61"/>
    <s v="Philadelphia"/>
    <x v="3"/>
    <s v="Male"/>
  </r>
  <r>
    <s v="ORD-21276"/>
    <s v="CUST-5157"/>
    <d v="2023-07-01T00:00:00"/>
    <x v="3"/>
    <s v="Cotton T-Shirt"/>
    <n v="24.99"/>
    <n v="4"/>
    <n v="20"/>
    <n v="19.989999999999998"/>
    <n v="79.959999999999994"/>
    <s v="UPI"/>
    <x v="0"/>
    <n v="5"/>
    <n v="61"/>
    <s v="Philadelphia"/>
    <x v="3"/>
    <s v="Male"/>
  </r>
  <r>
    <s v="ORD-21277"/>
    <s v="CUST-5157"/>
    <d v="2024-10-24T00:00:00"/>
    <x v="3"/>
    <s v="Yoga Pants"/>
    <n v="44.99"/>
    <n v="2"/>
    <n v="0"/>
    <n v="44.99"/>
    <n v="89.98"/>
    <s v="UPI"/>
    <x v="0"/>
    <n v="4"/>
    <n v="61"/>
    <s v="Philadelphia"/>
    <x v="3"/>
    <s v="Male"/>
  </r>
  <r>
    <s v="ORD-21278"/>
    <s v="CUST-5157"/>
    <d v="2023-02-02T00:00:00"/>
    <x v="2"/>
    <s v="Coffee Maker"/>
    <n v="59.99"/>
    <n v="4"/>
    <n v="0"/>
    <n v="59.99"/>
    <n v="239.96"/>
    <s v="PayPal"/>
    <x v="0"/>
    <m/>
    <n v="61"/>
    <s v="Philadelphia"/>
    <x v="3"/>
    <s v="Male"/>
  </r>
  <r>
    <s v="ORD-21279"/>
    <s v="CUST-5157"/>
    <d v="2023-03-16T00:00:00"/>
    <x v="4"/>
    <s v="Jump Rope"/>
    <n v="14.99"/>
    <n v="3"/>
    <n v="20"/>
    <n v="11.99"/>
    <n v="35.97"/>
    <s v="UPI"/>
    <x v="0"/>
    <n v="5"/>
    <n v="61"/>
    <s v="Philadelphia"/>
    <x v="3"/>
    <s v="Male"/>
  </r>
  <r>
    <s v="ORD-21280"/>
    <s v="CUST-5157"/>
    <d v="2022-09-07T00:00:00"/>
    <x v="4"/>
    <s v="Water Bottle"/>
    <n v="24.99"/>
    <n v="3"/>
    <n v="0"/>
    <n v="24.99"/>
    <n v="74.97"/>
    <s v="Credit Card"/>
    <x v="0"/>
    <n v="3"/>
    <n v="61"/>
    <s v="Philadelphia"/>
    <x v="3"/>
    <s v="Male"/>
  </r>
  <r>
    <s v="ORD-21281"/>
    <s v="CUST-5157"/>
    <d v="2024-10-20T00:00:00"/>
    <x v="6"/>
    <s v="Face Serum"/>
    <n v="39.99"/>
    <n v="1"/>
    <n v="0"/>
    <n v="39.99"/>
    <n v="39.99"/>
    <s v="UPI"/>
    <x v="2"/>
    <n v="5"/>
    <n v="61"/>
    <s v="Philadelphia"/>
    <x v="3"/>
    <s v="Male"/>
  </r>
  <r>
    <s v="ORD-21282"/>
    <s v="CUST-5157"/>
    <d v="2023-10-26T00:00:00"/>
    <x v="5"/>
    <s v="Smart Watch"/>
    <n v="199.99"/>
    <n v="1"/>
    <n v="15"/>
    <n v="169.99"/>
    <n v="169.99"/>
    <s v="Wallet"/>
    <x v="0"/>
    <n v="5"/>
    <n v="61"/>
    <s v="Philadelphia"/>
    <x v="3"/>
    <s v="Male"/>
  </r>
  <r>
    <s v="ORD-21283"/>
    <s v="CUST-5157"/>
    <d v="2022-08-25T00:00:00"/>
    <x v="0"/>
    <s v="Business Analytics"/>
    <n v="39.99"/>
    <n v="4"/>
    <n v="0"/>
    <n v="39.99"/>
    <n v="159.96"/>
    <s v="Credit Card"/>
    <x v="1"/>
    <n v="5"/>
    <n v="61"/>
    <s v="Philadelphia"/>
    <x v="3"/>
    <s v="Male"/>
  </r>
  <r>
    <s v="ORD-21284"/>
    <s v="CUST-5157"/>
    <d v="2024-07-08T00:00:00"/>
    <x v="4"/>
    <s v="Resistance Bands"/>
    <n v="19.989999999999998"/>
    <n v="3"/>
    <n v="0"/>
    <n v="19.989999999999998"/>
    <n v="59.97"/>
    <s v="Credit Card"/>
    <x v="0"/>
    <n v="3"/>
    <n v="61"/>
    <s v="Philadelphia"/>
    <x v="3"/>
    <s v="Male"/>
  </r>
  <r>
    <s v="ORD-21285"/>
    <s v="CUST-5157"/>
    <d v="2024-01-03T00:00:00"/>
    <x v="6"/>
    <s v="Face Serum"/>
    <n v="39.99"/>
    <n v="1"/>
    <n v="15"/>
    <n v="33.99"/>
    <n v="33.99"/>
    <s v="Debit Card"/>
    <x v="0"/>
    <n v="4"/>
    <n v="61"/>
    <s v="Philadelphia"/>
    <x v="3"/>
    <s v="Male"/>
  </r>
  <r>
    <s v="ORD-21286"/>
    <s v="CUST-5157"/>
    <d v="2022-04-09T00:00:00"/>
    <x v="1"/>
    <s v="LEGO Classic Set"/>
    <n v="49.99"/>
    <n v="3"/>
    <n v="0"/>
    <n v="49.99"/>
    <n v="149.97"/>
    <s v="Wallet"/>
    <x v="0"/>
    <n v="3"/>
    <n v="61"/>
    <s v="Philadelphia"/>
    <x v="3"/>
    <s v="Male"/>
  </r>
  <r>
    <s v="ORD-21287"/>
    <s v="CUST-5157"/>
    <d v="2023-04-25T00:00:00"/>
    <x v="4"/>
    <s v="Yoga Mat"/>
    <n v="29.99"/>
    <n v="4"/>
    <n v="5"/>
    <n v="28.49"/>
    <n v="113.96"/>
    <s v="Wallet"/>
    <x v="0"/>
    <m/>
    <n v="61"/>
    <s v="Philadelphia"/>
    <x v="3"/>
    <s v="Male"/>
  </r>
  <r>
    <s v="ORD-21288"/>
    <s v="CUST-5157"/>
    <d v="2023-11-10T00:00:00"/>
    <x v="2"/>
    <s v="Non-stick Pan Set"/>
    <n v="44.99"/>
    <n v="2"/>
    <n v="10"/>
    <n v="40.49"/>
    <n v="80.98"/>
    <s v="Wallet"/>
    <x v="0"/>
    <n v="4"/>
    <n v="61"/>
    <s v="Philadelphia"/>
    <x v="3"/>
    <s v="Male"/>
  </r>
  <r>
    <s v="ORD-21289"/>
    <s v="CUST-5158"/>
    <d v="2024-05-28T00:00:00"/>
    <x v="3"/>
    <s v="Running Shoes"/>
    <n v="89.99"/>
    <n v="4"/>
    <n v="0"/>
    <n v="89.99"/>
    <n v="359.96"/>
    <s v="PayPal"/>
    <x v="4"/>
    <n v="4"/>
    <n v="34"/>
    <s v="Chicago"/>
    <x v="0"/>
    <s v="Male"/>
  </r>
  <r>
    <s v="ORD-21290"/>
    <s v="CUST-5158"/>
    <d v="2022-10-10T00:00:00"/>
    <x v="3"/>
    <s v="Yoga Pants"/>
    <n v="44.99"/>
    <n v="3"/>
    <n v="0"/>
    <n v="44.99"/>
    <n v="134.97"/>
    <s v="Wallet"/>
    <x v="4"/>
    <m/>
    <n v="34"/>
    <s v="Chicago"/>
    <x v="0"/>
    <s v="Male"/>
  </r>
  <r>
    <s v="ORD-21291"/>
    <s v="CUST-5158"/>
    <d v="2023-06-01T00:00:00"/>
    <x v="1"/>
    <s v="Remote Control Car"/>
    <n v="39.99"/>
    <n v="4"/>
    <n v="20"/>
    <n v="31.99"/>
    <n v="127.96"/>
    <s v="Debit Card"/>
    <x v="0"/>
    <m/>
    <n v="34"/>
    <s v="Chicago"/>
    <x v="0"/>
    <s v="Male"/>
  </r>
  <r>
    <s v="ORD-21292"/>
    <s v="CUST-5158"/>
    <d v="2023-03-17T00:00:00"/>
    <x v="3"/>
    <s v="Yoga Pants"/>
    <n v="44.99"/>
    <n v="1"/>
    <n v="5"/>
    <n v="42.74"/>
    <n v="42.74"/>
    <s v="Debit Card"/>
    <x v="0"/>
    <n v="4"/>
    <n v="34"/>
    <s v="Chicago"/>
    <x v="0"/>
    <s v="Male"/>
  </r>
  <r>
    <s v="ORD-21293"/>
    <s v="CUST-5158"/>
    <d v="2022-05-12T00:00:00"/>
    <x v="4"/>
    <s v="Jump Rope"/>
    <n v="14.99"/>
    <n v="4"/>
    <n v="5"/>
    <n v="14.24"/>
    <n v="56.96"/>
    <s v="PayPal"/>
    <x v="0"/>
    <n v="4"/>
    <n v="34"/>
    <s v="Chicago"/>
    <x v="0"/>
    <s v="Male"/>
  </r>
  <r>
    <s v="ORD-21294"/>
    <s v="CUST-5158"/>
    <d v="2023-12-03T00:00:00"/>
    <x v="6"/>
    <s v="Moisturizer SPF 50"/>
    <n v="29.99"/>
    <n v="4"/>
    <n v="15"/>
    <n v="25.49"/>
    <n v="101.96"/>
    <s v="Credit Card"/>
    <x v="3"/>
    <m/>
    <n v="34"/>
    <s v="Chicago"/>
    <x v="0"/>
    <s v="Male"/>
  </r>
  <r>
    <s v="ORD-21295"/>
    <s v="CUST-5158"/>
    <d v="2024-09-01T00:00:00"/>
    <x v="0"/>
    <s v="Business Analytics"/>
    <n v="39.99"/>
    <n v="4"/>
    <n v="10"/>
    <n v="35.99"/>
    <n v="143.96"/>
    <s v="UPI"/>
    <x v="0"/>
    <n v="5"/>
    <n v="34"/>
    <s v="Chicago"/>
    <x v="0"/>
    <s v="Male"/>
  </r>
  <r>
    <s v="ORD-21296"/>
    <s v="CUST-5158"/>
    <d v="2023-02-13T00:00:00"/>
    <x v="0"/>
    <s v="Data Science Handbook"/>
    <n v="49.99"/>
    <n v="3"/>
    <n v="0"/>
    <n v="49.99"/>
    <n v="149.97"/>
    <s v="PayPal"/>
    <x v="0"/>
    <n v="5"/>
    <n v="34"/>
    <s v="Chicago"/>
    <x v="0"/>
    <s v="Male"/>
  </r>
  <r>
    <s v="ORD-21297"/>
    <s v="CUST-5158"/>
    <d v="2022-01-27T00:00:00"/>
    <x v="1"/>
    <s v="Puzzle 1000pcs"/>
    <n v="24.99"/>
    <n v="2"/>
    <n v="0"/>
    <n v="24.99"/>
    <n v="49.98"/>
    <s v="Wallet"/>
    <x v="2"/>
    <n v="3"/>
    <n v="34"/>
    <s v="Chicago"/>
    <x v="0"/>
    <s v="Male"/>
  </r>
  <r>
    <s v="ORD-21298"/>
    <s v="CUST-5158"/>
    <d v="2023-08-11T00:00:00"/>
    <x v="1"/>
    <s v="Action Figure"/>
    <n v="19.989999999999998"/>
    <n v="3"/>
    <n v="0"/>
    <n v="19.989999999999998"/>
    <n v="59.97"/>
    <s v="UPI"/>
    <x v="0"/>
    <n v="4"/>
    <n v="34"/>
    <s v="Chicago"/>
    <x v="0"/>
    <s v="Male"/>
  </r>
  <r>
    <s v="ORD-21299"/>
    <s v="CUST-5158"/>
    <d v="2024-06-12T00:00:00"/>
    <x v="3"/>
    <s v="Yoga Pants"/>
    <n v="44.99"/>
    <n v="4"/>
    <n v="0"/>
    <n v="44.99"/>
    <n v="179.96"/>
    <s v="Debit Card"/>
    <x v="0"/>
    <n v="5"/>
    <n v="34"/>
    <s v="Chicago"/>
    <x v="0"/>
    <s v="Male"/>
  </r>
  <r>
    <s v="ORD-21300"/>
    <s v="CUST-5158"/>
    <d v="2023-04-13T00:00:00"/>
    <x v="4"/>
    <s v="Jump Rope"/>
    <n v="14.99"/>
    <n v="4"/>
    <n v="5"/>
    <n v="14.24"/>
    <n v="56.96"/>
    <s v="Wallet"/>
    <x v="0"/>
    <n v="5"/>
    <n v="34"/>
    <s v="Chicago"/>
    <x v="0"/>
    <s v="Male"/>
  </r>
  <r>
    <s v="ORD-21301"/>
    <s v="CUST-5159"/>
    <d v="2024-01-24T00:00:00"/>
    <x v="5"/>
    <s v="Wireless Earbuds"/>
    <n v="79.989999999999995"/>
    <n v="2"/>
    <n v="0"/>
    <n v="79.989999999999995"/>
    <n v="159.97999999999999"/>
    <s v="Credit Card"/>
    <x v="0"/>
    <n v="2"/>
    <n v="59"/>
    <s v="Austin"/>
    <x v="3"/>
    <s v="Female"/>
  </r>
  <r>
    <s v="ORD-21302"/>
    <s v="CUST-5159"/>
    <d v="2023-04-20T00:00:00"/>
    <x v="5"/>
    <s v="USB-C Hub"/>
    <n v="34.99"/>
    <n v="4"/>
    <n v="15"/>
    <n v="29.74"/>
    <n v="118.96"/>
    <s v="Credit Card"/>
    <x v="0"/>
    <m/>
    <n v="59"/>
    <s v="Austin"/>
    <x v="3"/>
    <s v="Female"/>
  </r>
  <r>
    <s v="ORD-21303"/>
    <s v="CUST-5159"/>
    <d v="2023-12-25T00:00:00"/>
    <x v="0"/>
    <s v="Fiction Novel"/>
    <n v="14.99"/>
    <n v="2"/>
    <n v="0"/>
    <n v="14.99"/>
    <n v="29.98"/>
    <s v="Credit Card"/>
    <x v="0"/>
    <m/>
    <n v="59"/>
    <s v="Austin"/>
    <x v="3"/>
    <s v="Female"/>
  </r>
  <r>
    <s v="ORD-21304"/>
    <s v="CUST-5159"/>
    <d v="2023-07-06T00:00:00"/>
    <x v="3"/>
    <s v="Denim Jacket"/>
    <n v="69.989999999999995"/>
    <n v="1"/>
    <n v="0"/>
    <n v="69.989999999999995"/>
    <n v="69.989999999999995"/>
    <s v="PayPal"/>
    <x v="3"/>
    <m/>
    <n v="59"/>
    <s v="Austin"/>
    <x v="3"/>
    <s v="Female"/>
  </r>
  <r>
    <s v="ORD-21305"/>
    <s v="CUST-5159"/>
    <d v="2022-10-26T00:00:00"/>
    <x v="5"/>
    <s v="USB-C Hub"/>
    <n v="34.99"/>
    <n v="3"/>
    <n v="20"/>
    <n v="27.99"/>
    <n v="83.97"/>
    <s v="UPI"/>
    <x v="0"/>
    <n v="2"/>
    <n v="59"/>
    <s v="Austin"/>
    <x v="3"/>
    <s v="Female"/>
  </r>
  <r>
    <s v="ORD-21306"/>
    <s v="CUST-5159"/>
    <d v="2024-02-12T00:00:00"/>
    <x v="4"/>
    <s v="Water Bottle"/>
    <n v="24.99"/>
    <n v="2"/>
    <n v="15"/>
    <n v="21.24"/>
    <n v="42.48"/>
    <s v="Debit Card"/>
    <x v="2"/>
    <n v="4"/>
    <n v="59"/>
    <s v="Austin"/>
    <x v="3"/>
    <s v="Female"/>
  </r>
  <r>
    <s v="ORD-21307"/>
    <s v="CUST-5159"/>
    <d v="2024-03-17T00:00:00"/>
    <x v="0"/>
    <s v="Data Science Handbook"/>
    <n v="49.99"/>
    <n v="3"/>
    <n v="15"/>
    <n v="42.49"/>
    <n v="127.47"/>
    <s v="UPI"/>
    <x v="0"/>
    <n v="5"/>
    <n v="59"/>
    <s v="Austin"/>
    <x v="3"/>
    <s v="Female"/>
  </r>
  <r>
    <s v="ORD-21308"/>
    <s v="CUST-5159"/>
    <d v="2024-06-23T00:00:00"/>
    <x v="6"/>
    <s v="Lip Balm Set"/>
    <n v="14.99"/>
    <n v="2"/>
    <n v="0"/>
    <n v="14.99"/>
    <n v="29.98"/>
    <s v="Debit Card"/>
    <x v="0"/>
    <m/>
    <n v="59"/>
    <s v="Austin"/>
    <x v="3"/>
    <s v="Female"/>
  </r>
  <r>
    <s v="ORD-21309"/>
    <s v="CUST-5159"/>
    <d v="2024-03-28T00:00:00"/>
    <x v="2"/>
    <s v="Blender"/>
    <n v="64.989999999999995"/>
    <n v="3"/>
    <n v="5"/>
    <n v="61.74"/>
    <n v="185.22"/>
    <s v="UPI"/>
    <x v="0"/>
    <n v="4"/>
    <n v="59"/>
    <s v="Austin"/>
    <x v="3"/>
    <s v="Female"/>
  </r>
  <r>
    <s v="ORD-21310"/>
    <s v="CUST-5160"/>
    <d v="2024-09-25T00:00:00"/>
    <x v="5"/>
    <s v="USB-C Hub"/>
    <n v="34.99"/>
    <n v="1"/>
    <n v="5"/>
    <n v="33.24"/>
    <n v="33.24"/>
    <s v="Wallet"/>
    <x v="0"/>
    <n v="4"/>
    <n v="47"/>
    <s v="Los Angeles"/>
    <x v="3"/>
    <s v="Female"/>
  </r>
  <r>
    <s v="ORD-21311"/>
    <s v="CUST-5160"/>
    <d v="2024-12-05T00:00:00"/>
    <x v="1"/>
    <s v="Puzzle 1000pcs"/>
    <n v="24.99"/>
    <n v="2"/>
    <n v="0"/>
    <n v="24.99"/>
    <n v="49.98"/>
    <s v="Credit Card"/>
    <x v="2"/>
    <n v="3"/>
    <n v="47"/>
    <s v="Los Angeles"/>
    <x v="3"/>
    <s v="Female"/>
  </r>
  <r>
    <s v="ORD-21312"/>
    <s v="CUST-5160"/>
    <d v="2023-12-07T00:00:00"/>
    <x v="0"/>
    <s v="Fiction Novel"/>
    <n v="14.99"/>
    <n v="2"/>
    <n v="15"/>
    <n v="12.74"/>
    <n v="25.48"/>
    <s v="UPI"/>
    <x v="0"/>
    <n v="4"/>
    <n v="47"/>
    <s v="Los Angeles"/>
    <x v="3"/>
    <s v="Female"/>
  </r>
  <r>
    <s v="ORD-21313"/>
    <s v="CUST-5160"/>
    <d v="2023-12-24T00:00:00"/>
    <x v="4"/>
    <s v="Resistance Bands"/>
    <n v="19.989999999999998"/>
    <n v="4"/>
    <n v="20"/>
    <n v="15.99"/>
    <n v="63.96"/>
    <s v="UPI"/>
    <x v="0"/>
    <n v="3"/>
    <n v="47"/>
    <s v="Los Angeles"/>
    <x v="3"/>
    <s v="Female"/>
  </r>
  <r>
    <s v="ORD-21314"/>
    <s v="CUST-5160"/>
    <d v="2024-11-17T00:00:00"/>
    <x v="5"/>
    <s v="Wireless Earbuds"/>
    <n v="79.989999999999995"/>
    <n v="3"/>
    <n v="10"/>
    <n v="71.989999999999995"/>
    <n v="215.97"/>
    <s v="Wallet"/>
    <x v="0"/>
    <n v="4"/>
    <n v="47"/>
    <s v="Los Angeles"/>
    <x v="3"/>
    <s v="Female"/>
  </r>
  <r>
    <s v="ORD-21315"/>
    <s v="CUST-5160"/>
    <d v="2022-06-12T00:00:00"/>
    <x v="1"/>
    <s v="LEGO Classic Set"/>
    <n v="49.99"/>
    <n v="3"/>
    <n v="5"/>
    <n v="47.49"/>
    <n v="142.47"/>
    <s v="Debit Card"/>
    <x v="3"/>
    <n v="5"/>
    <n v="47"/>
    <s v="Los Angeles"/>
    <x v="3"/>
    <s v="Female"/>
  </r>
  <r>
    <s v="ORD-21316"/>
    <s v="CUST-5160"/>
    <d v="2022-04-23T00:00:00"/>
    <x v="3"/>
    <s v="Denim Jacket"/>
    <n v="69.989999999999995"/>
    <n v="2"/>
    <n v="0"/>
    <n v="69.989999999999995"/>
    <n v="139.97999999999999"/>
    <s v="Debit Card"/>
    <x v="0"/>
    <m/>
    <n v="47"/>
    <s v="Los Angeles"/>
    <x v="3"/>
    <s v="Female"/>
  </r>
  <r>
    <s v="ORD-21317"/>
    <s v="CUST-5160"/>
    <d v="2024-11-28T00:00:00"/>
    <x v="2"/>
    <s v="Non-stick Pan Set"/>
    <n v="44.99"/>
    <n v="2"/>
    <n v="0"/>
    <n v="44.99"/>
    <n v="89.98"/>
    <s v="UPI"/>
    <x v="0"/>
    <n v="5"/>
    <n v="47"/>
    <s v="Los Angeles"/>
    <x v="3"/>
    <s v="Female"/>
  </r>
  <r>
    <s v="ORD-21318"/>
    <s v="CUST-5161"/>
    <d v="2022-11-08T00:00:00"/>
    <x v="2"/>
    <s v="Blender"/>
    <n v="64.989999999999995"/>
    <n v="4"/>
    <n v="0"/>
    <n v="64.989999999999995"/>
    <n v="259.95999999999998"/>
    <s v="UPI"/>
    <x v="0"/>
    <n v="4"/>
    <n v="36"/>
    <s v="Los Angeles"/>
    <x v="2"/>
    <s v="Male"/>
  </r>
  <r>
    <s v="ORD-21319"/>
    <s v="CUST-5161"/>
    <d v="2022-12-07T00:00:00"/>
    <x v="1"/>
    <s v="LEGO Classic Set"/>
    <n v="49.99"/>
    <n v="1"/>
    <n v="0"/>
    <n v="49.99"/>
    <n v="49.99"/>
    <s v="PayPal"/>
    <x v="0"/>
    <n v="3"/>
    <n v="36"/>
    <s v="Los Angeles"/>
    <x v="2"/>
    <s v="Male"/>
  </r>
  <r>
    <s v="ORD-21320"/>
    <s v="CUST-5161"/>
    <d v="2023-09-24T00:00:00"/>
    <x v="0"/>
    <s v="Data Science Handbook"/>
    <n v="49.99"/>
    <n v="2"/>
    <n v="0"/>
    <n v="49.99"/>
    <n v="99.98"/>
    <s v="Debit Card"/>
    <x v="0"/>
    <n v="5"/>
    <n v="36"/>
    <s v="Los Angeles"/>
    <x v="2"/>
    <s v="Male"/>
  </r>
  <r>
    <s v="ORD-21321"/>
    <s v="CUST-5161"/>
    <d v="2023-10-28T00:00:00"/>
    <x v="0"/>
    <s v="Data Science Handbook"/>
    <n v="49.99"/>
    <n v="2"/>
    <n v="15"/>
    <n v="42.49"/>
    <n v="84.98"/>
    <s v="PayPal"/>
    <x v="0"/>
    <n v="2"/>
    <n v="36"/>
    <s v="Los Angeles"/>
    <x v="2"/>
    <s v="Male"/>
  </r>
  <r>
    <s v="ORD-21322"/>
    <s v="CUST-5161"/>
    <d v="2022-02-10T00:00:00"/>
    <x v="6"/>
    <s v="Hair Mask"/>
    <n v="24.99"/>
    <n v="1"/>
    <n v="0"/>
    <n v="24.99"/>
    <n v="24.99"/>
    <s v="Wallet"/>
    <x v="0"/>
    <n v="4"/>
    <n v="36"/>
    <s v="Los Angeles"/>
    <x v="2"/>
    <s v="Male"/>
  </r>
  <r>
    <s v="ORD-21323"/>
    <s v="CUST-5161"/>
    <d v="2022-11-21T00:00:00"/>
    <x v="5"/>
    <s v="Bluetooth Speaker"/>
    <n v="49.99"/>
    <n v="1"/>
    <n v="0"/>
    <n v="49.99"/>
    <n v="49.99"/>
    <s v="Credit Card"/>
    <x v="0"/>
    <n v="5"/>
    <n v="36"/>
    <s v="Los Angeles"/>
    <x v="2"/>
    <s v="Male"/>
  </r>
  <r>
    <s v="ORD-21324"/>
    <s v="CUST-5161"/>
    <d v="2024-01-09T00:00:00"/>
    <x v="3"/>
    <s v="Denim Jacket"/>
    <n v="69.989999999999995"/>
    <n v="2"/>
    <n v="10"/>
    <n v="62.99"/>
    <n v="125.98"/>
    <s v="UPI"/>
    <x v="0"/>
    <n v="4"/>
    <n v="36"/>
    <s v="Los Angeles"/>
    <x v="2"/>
    <s v="Male"/>
  </r>
  <r>
    <s v="ORD-21325"/>
    <s v="CUST-5161"/>
    <d v="2023-05-06T00:00:00"/>
    <x v="6"/>
    <s v="Face Serum"/>
    <n v="39.99"/>
    <n v="3"/>
    <n v="5"/>
    <n v="37.99"/>
    <n v="113.97"/>
    <s v="UPI"/>
    <x v="0"/>
    <n v="5"/>
    <n v="36"/>
    <s v="Los Angeles"/>
    <x v="2"/>
    <s v="Male"/>
  </r>
  <r>
    <s v="ORD-21326"/>
    <s v="CUST-5161"/>
    <d v="2022-06-15T00:00:00"/>
    <x v="4"/>
    <s v="Jump Rope"/>
    <n v="14.99"/>
    <n v="1"/>
    <n v="0"/>
    <n v="14.99"/>
    <n v="14.99"/>
    <s v="Credit Card"/>
    <x v="0"/>
    <m/>
    <n v="36"/>
    <s v="Los Angeles"/>
    <x v="2"/>
    <s v="Male"/>
  </r>
  <r>
    <s v="ORD-21327"/>
    <s v="CUST-5161"/>
    <d v="2022-04-20T00:00:00"/>
    <x v="2"/>
    <s v="Coffee Maker"/>
    <n v="59.99"/>
    <n v="3"/>
    <n v="5"/>
    <n v="56.99"/>
    <n v="170.97"/>
    <s v="Credit Card"/>
    <x v="0"/>
    <m/>
    <n v="36"/>
    <s v="Los Angeles"/>
    <x v="2"/>
    <s v="Male"/>
  </r>
  <r>
    <s v="ORD-21328"/>
    <s v="CUST-5161"/>
    <d v="2022-12-13T00:00:00"/>
    <x v="2"/>
    <s v="Blender"/>
    <n v="64.989999999999995"/>
    <n v="1"/>
    <n v="20"/>
    <n v="51.99"/>
    <n v="51.99"/>
    <s v="Credit Card"/>
    <x v="0"/>
    <n v="4"/>
    <n v="36"/>
    <s v="Los Angeles"/>
    <x v="2"/>
    <s v="Male"/>
  </r>
  <r>
    <s v="ORD-21329"/>
    <s v="CUST-5161"/>
    <d v="2022-03-12T00:00:00"/>
    <x v="1"/>
    <s v="Action Figure"/>
    <n v="19.989999999999998"/>
    <n v="1"/>
    <n v="20"/>
    <n v="15.99"/>
    <n v="15.99"/>
    <s v="Debit Card"/>
    <x v="0"/>
    <n v="4"/>
    <n v="36"/>
    <s v="Los Angeles"/>
    <x v="2"/>
    <s v="Male"/>
  </r>
  <r>
    <s v="ORD-21330"/>
    <s v="CUST-5161"/>
    <d v="2023-09-12T00:00:00"/>
    <x v="6"/>
    <s v="Hair Mask"/>
    <n v="24.99"/>
    <n v="1"/>
    <n v="5"/>
    <n v="23.74"/>
    <n v="23.74"/>
    <s v="Wallet"/>
    <x v="3"/>
    <n v="5"/>
    <n v="36"/>
    <s v="Los Angeles"/>
    <x v="2"/>
    <s v="Male"/>
  </r>
  <r>
    <s v="ORD-21331"/>
    <s v="CUST-5162"/>
    <d v="2023-08-10T00:00:00"/>
    <x v="6"/>
    <s v="Face Serum"/>
    <n v="39.99"/>
    <n v="3"/>
    <n v="0"/>
    <n v="39.99"/>
    <n v="119.97"/>
    <s v="Wallet"/>
    <x v="0"/>
    <m/>
    <n v="51"/>
    <s v="San Antonio"/>
    <x v="0"/>
    <s v="Male"/>
  </r>
  <r>
    <s v="ORD-21332"/>
    <s v="CUST-5162"/>
    <d v="2024-03-05T00:00:00"/>
    <x v="0"/>
    <s v="Fiction Novel"/>
    <n v="14.99"/>
    <n v="4"/>
    <n v="0"/>
    <n v="14.99"/>
    <n v="59.96"/>
    <s v="Debit Card"/>
    <x v="0"/>
    <n v="4"/>
    <n v="51"/>
    <s v="San Antonio"/>
    <x v="0"/>
    <s v="Male"/>
  </r>
  <r>
    <s v="ORD-21333"/>
    <s v="CUST-5162"/>
    <d v="2024-02-27T00:00:00"/>
    <x v="6"/>
    <s v="Lip Balm Set"/>
    <n v="14.99"/>
    <n v="4"/>
    <n v="0"/>
    <n v="14.99"/>
    <n v="59.96"/>
    <s v="Wallet"/>
    <x v="0"/>
    <n v="4"/>
    <n v="51"/>
    <s v="San Antonio"/>
    <x v="0"/>
    <s v="Male"/>
  </r>
  <r>
    <s v="ORD-21334"/>
    <s v="CUST-5162"/>
    <d v="2022-08-05T00:00:00"/>
    <x v="5"/>
    <s v="Wireless Earbuds"/>
    <n v="79.989999999999995"/>
    <n v="4"/>
    <n v="0"/>
    <n v="79.989999999999995"/>
    <n v="319.95999999999998"/>
    <s v="Debit Card"/>
    <x v="2"/>
    <m/>
    <n v="51"/>
    <s v="San Antonio"/>
    <x v="0"/>
    <s v="Male"/>
  </r>
  <r>
    <s v="ORD-21335"/>
    <s v="CUST-5162"/>
    <d v="2023-03-20T00:00:00"/>
    <x v="3"/>
    <s v="Yoga Pants"/>
    <n v="44.99"/>
    <n v="4"/>
    <n v="15"/>
    <n v="38.24"/>
    <n v="152.96"/>
    <s v="Debit Card"/>
    <x v="0"/>
    <m/>
    <n v="51"/>
    <s v="San Antonio"/>
    <x v="0"/>
    <s v="Male"/>
  </r>
  <r>
    <s v="ORD-21336"/>
    <s v="CUST-5162"/>
    <d v="2023-02-11T00:00:00"/>
    <x v="0"/>
    <s v="Business Analytics"/>
    <n v="39.99"/>
    <n v="4"/>
    <n v="15"/>
    <n v="33.99"/>
    <n v="135.96"/>
    <s v="PayPal"/>
    <x v="0"/>
    <m/>
    <n v="51"/>
    <s v="San Antonio"/>
    <x v="0"/>
    <s v="Male"/>
  </r>
  <r>
    <s v="ORD-21337"/>
    <s v="CUST-5162"/>
    <d v="2023-03-15T00:00:00"/>
    <x v="1"/>
    <s v="Action Figure"/>
    <n v="19.989999999999998"/>
    <n v="1"/>
    <n v="5"/>
    <n v="18.989999999999998"/>
    <n v="18.989999999999998"/>
    <s v="Wallet"/>
    <x v="0"/>
    <n v="4"/>
    <n v="51"/>
    <s v="San Antonio"/>
    <x v="0"/>
    <s v="Male"/>
  </r>
  <r>
    <s v="ORD-21338"/>
    <s v="CUST-5162"/>
    <d v="2023-09-02T00:00:00"/>
    <x v="0"/>
    <s v="Data Science Handbook"/>
    <n v="49.99"/>
    <n v="4"/>
    <n v="10"/>
    <n v="44.99"/>
    <n v="179.96"/>
    <s v="PayPal"/>
    <x v="0"/>
    <n v="4"/>
    <n v="51"/>
    <s v="San Antonio"/>
    <x v="0"/>
    <s v="Male"/>
  </r>
  <r>
    <s v="ORD-21339"/>
    <s v="CUST-5162"/>
    <d v="2023-01-07T00:00:00"/>
    <x v="0"/>
    <s v="Python for Beginners"/>
    <n v="29.99"/>
    <n v="4"/>
    <n v="0"/>
    <n v="29.99"/>
    <n v="119.96"/>
    <s v="PayPal"/>
    <x v="0"/>
    <m/>
    <n v="51"/>
    <s v="San Antonio"/>
    <x v="0"/>
    <s v="Male"/>
  </r>
  <r>
    <s v="ORD-21340"/>
    <s v="CUST-5162"/>
    <d v="2023-11-12T00:00:00"/>
    <x v="1"/>
    <s v="Remote Control Car"/>
    <n v="39.99"/>
    <n v="1"/>
    <n v="5"/>
    <n v="37.99"/>
    <n v="37.99"/>
    <s v="Debit Card"/>
    <x v="0"/>
    <n v="4"/>
    <n v="51"/>
    <s v="San Antonio"/>
    <x v="0"/>
    <s v="Male"/>
  </r>
  <r>
    <s v="ORD-21341"/>
    <s v="CUST-5162"/>
    <d v="2022-10-09T00:00:00"/>
    <x v="3"/>
    <s v="Yoga Pants"/>
    <n v="44.99"/>
    <n v="1"/>
    <n v="0"/>
    <n v="44.99"/>
    <n v="44.99"/>
    <s v="Debit Card"/>
    <x v="0"/>
    <n v="4"/>
    <n v="51"/>
    <s v="San Antonio"/>
    <x v="0"/>
    <s v="Male"/>
  </r>
  <r>
    <s v="ORD-21342"/>
    <s v="CUST-5163"/>
    <d v="2024-02-25T00:00:00"/>
    <x v="5"/>
    <s v="Wireless Earbuds"/>
    <n v="79.989999999999995"/>
    <n v="1"/>
    <n v="10"/>
    <n v="71.989999999999995"/>
    <n v="71.989999999999995"/>
    <s v="Debit Card"/>
    <x v="0"/>
    <m/>
    <n v="50"/>
    <s v="San Diego"/>
    <x v="3"/>
    <s v="Female"/>
  </r>
  <r>
    <s v="ORD-21343"/>
    <s v="CUST-5163"/>
    <d v="2024-10-14T00:00:00"/>
    <x v="3"/>
    <s v="Yoga Pants"/>
    <n v="44.99"/>
    <n v="3"/>
    <n v="15"/>
    <n v="38.24"/>
    <n v="114.72"/>
    <s v="UPI"/>
    <x v="4"/>
    <n v="4"/>
    <n v="50"/>
    <s v="San Diego"/>
    <x v="3"/>
    <s v="Female"/>
  </r>
  <r>
    <s v="ORD-21344"/>
    <s v="CUST-5163"/>
    <d v="2022-05-07T00:00:00"/>
    <x v="4"/>
    <s v="Yoga Mat"/>
    <n v="29.99"/>
    <n v="2"/>
    <n v="0"/>
    <n v="29.99"/>
    <n v="59.98"/>
    <s v="Wallet"/>
    <x v="0"/>
    <m/>
    <n v="50"/>
    <s v="San Diego"/>
    <x v="3"/>
    <s v="Female"/>
  </r>
  <r>
    <s v="ORD-21345"/>
    <s v="CUST-5163"/>
    <d v="2023-05-12T00:00:00"/>
    <x v="6"/>
    <s v="Hair Mask"/>
    <n v="24.99"/>
    <n v="3"/>
    <n v="0"/>
    <n v="24.99"/>
    <n v="74.97"/>
    <s v="UPI"/>
    <x v="0"/>
    <n v="5"/>
    <n v="50"/>
    <s v="San Diego"/>
    <x v="3"/>
    <s v="Female"/>
  </r>
  <r>
    <s v="ORD-21346"/>
    <s v="CUST-5163"/>
    <d v="2022-04-20T00:00:00"/>
    <x v="5"/>
    <s v="Wireless Earbuds"/>
    <n v="79.989999999999995"/>
    <n v="1"/>
    <n v="10"/>
    <n v="71.989999999999995"/>
    <n v="71.989999999999995"/>
    <s v="Wallet"/>
    <x v="0"/>
    <n v="5"/>
    <n v="50"/>
    <s v="San Diego"/>
    <x v="3"/>
    <s v="Female"/>
  </r>
  <r>
    <s v="ORD-21347"/>
    <s v="CUST-5163"/>
    <d v="2023-09-15T00:00:00"/>
    <x v="1"/>
    <s v="Puzzle 1000pcs"/>
    <n v="24.99"/>
    <n v="4"/>
    <n v="0"/>
    <n v="24.99"/>
    <n v="99.96"/>
    <s v="Wallet"/>
    <x v="0"/>
    <n v="2"/>
    <n v="50"/>
    <s v="San Diego"/>
    <x v="3"/>
    <s v="Female"/>
  </r>
  <r>
    <s v="ORD-21348"/>
    <s v="CUST-5163"/>
    <d v="2023-02-07T00:00:00"/>
    <x v="4"/>
    <s v="Water Bottle"/>
    <n v="24.99"/>
    <n v="4"/>
    <n v="0"/>
    <n v="24.99"/>
    <n v="99.96"/>
    <s v="Debit Card"/>
    <x v="0"/>
    <n v="5"/>
    <n v="50"/>
    <s v="San Diego"/>
    <x v="3"/>
    <s v="Female"/>
  </r>
  <r>
    <s v="ORD-21349"/>
    <s v="CUST-5163"/>
    <d v="2023-07-11T00:00:00"/>
    <x v="3"/>
    <s v="Running Shoes"/>
    <n v="89.99"/>
    <n v="4"/>
    <n v="0"/>
    <n v="89.99"/>
    <n v="359.96"/>
    <s v="UPI"/>
    <x v="0"/>
    <n v="4"/>
    <n v="50"/>
    <s v="San Diego"/>
    <x v="3"/>
    <s v="Female"/>
  </r>
  <r>
    <s v="ORD-21350"/>
    <s v="CUST-5163"/>
    <d v="2022-11-27T00:00:00"/>
    <x v="6"/>
    <s v="Hair Mask"/>
    <n v="24.99"/>
    <n v="4"/>
    <n v="5"/>
    <n v="23.74"/>
    <n v="94.96"/>
    <s v="Credit Card"/>
    <x v="0"/>
    <n v="3"/>
    <n v="50"/>
    <s v="San Diego"/>
    <x v="3"/>
    <s v="Female"/>
  </r>
  <r>
    <s v="ORD-21351"/>
    <s v="CUST-5163"/>
    <d v="2022-01-11T00:00:00"/>
    <x v="1"/>
    <s v="Action Figure"/>
    <n v="19.989999999999998"/>
    <n v="4"/>
    <n v="20"/>
    <n v="15.99"/>
    <n v="63.96"/>
    <s v="Credit Card"/>
    <x v="0"/>
    <n v="4"/>
    <n v="50"/>
    <s v="San Diego"/>
    <x v="3"/>
    <s v="Female"/>
  </r>
  <r>
    <s v="ORD-21352"/>
    <s v="CUST-5164"/>
    <d v="2023-03-09T00:00:00"/>
    <x v="6"/>
    <s v="Lip Balm Set"/>
    <n v="14.99"/>
    <n v="2"/>
    <n v="15"/>
    <n v="12.74"/>
    <n v="25.48"/>
    <s v="UPI"/>
    <x v="0"/>
    <n v="3"/>
    <n v="41"/>
    <s v="Dallas"/>
    <x v="1"/>
    <s v="Male"/>
  </r>
  <r>
    <s v="ORD-21353"/>
    <s v="CUST-5164"/>
    <d v="2023-05-05T00:00:00"/>
    <x v="0"/>
    <s v="Data Science Handbook"/>
    <n v="49.99"/>
    <n v="1"/>
    <n v="0"/>
    <n v="49.99"/>
    <n v="49.99"/>
    <s v="PayPal"/>
    <x v="0"/>
    <m/>
    <n v="41"/>
    <s v="Dallas"/>
    <x v="1"/>
    <s v="Male"/>
  </r>
  <r>
    <s v="ORD-21354"/>
    <s v="CUST-5164"/>
    <d v="2024-11-24T00:00:00"/>
    <x v="0"/>
    <s v="Business Analytics"/>
    <n v="39.99"/>
    <n v="4"/>
    <n v="0"/>
    <n v="39.99"/>
    <n v="159.96"/>
    <s v="Debit Card"/>
    <x v="4"/>
    <n v="5"/>
    <n v="41"/>
    <s v="Dallas"/>
    <x v="1"/>
    <s v="Male"/>
  </r>
  <r>
    <s v="ORD-21355"/>
    <s v="CUST-5164"/>
    <d v="2024-04-22T00:00:00"/>
    <x v="1"/>
    <s v="LEGO Classic Set"/>
    <n v="49.99"/>
    <n v="3"/>
    <n v="15"/>
    <n v="42.49"/>
    <n v="127.47"/>
    <s v="PayPal"/>
    <x v="2"/>
    <m/>
    <n v="41"/>
    <s v="Dallas"/>
    <x v="1"/>
    <s v="Male"/>
  </r>
  <r>
    <s v="ORD-21356"/>
    <s v="CUST-5165"/>
    <d v="2024-01-03T00:00:00"/>
    <x v="5"/>
    <s v="Bluetooth Speaker"/>
    <n v="49.99"/>
    <n v="4"/>
    <n v="5"/>
    <n v="47.49"/>
    <n v="189.96"/>
    <s v="Debit Card"/>
    <x v="0"/>
    <n v="5"/>
    <n v="54"/>
    <s v="Jacksonville"/>
    <x v="2"/>
    <s v="Female"/>
  </r>
  <r>
    <s v="ORD-21357"/>
    <s v="CUST-5165"/>
    <d v="2024-10-07T00:00:00"/>
    <x v="5"/>
    <s v="USB-C Hub"/>
    <n v="34.99"/>
    <n v="1"/>
    <n v="10"/>
    <n v="31.49"/>
    <n v="31.49"/>
    <s v="Credit Card"/>
    <x v="0"/>
    <n v="5"/>
    <n v="54"/>
    <s v="Jacksonville"/>
    <x v="2"/>
    <s v="Female"/>
  </r>
  <r>
    <s v="ORD-21358"/>
    <s v="CUST-5165"/>
    <d v="2022-07-05T00:00:00"/>
    <x v="3"/>
    <s v="Cotton T-Shirt"/>
    <n v="24.99"/>
    <n v="1"/>
    <n v="0"/>
    <n v="24.99"/>
    <n v="24.99"/>
    <s v="Wallet"/>
    <x v="0"/>
    <n v="5"/>
    <n v="54"/>
    <s v="Jacksonville"/>
    <x v="2"/>
    <s v="Female"/>
  </r>
  <r>
    <s v="ORD-21359"/>
    <s v="CUST-5165"/>
    <d v="2024-10-12T00:00:00"/>
    <x v="6"/>
    <s v="Face Serum"/>
    <n v="39.99"/>
    <n v="1"/>
    <n v="15"/>
    <n v="33.99"/>
    <n v="33.99"/>
    <s v="Wallet"/>
    <x v="0"/>
    <n v="2"/>
    <n v="54"/>
    <s v="Jacksonville"/>
    <x v="2"/>
    <s v="Female"/>
  </r>
  <r>
    <s v="ORD-21360"/>
    <s v="CUST-5166"/>
    <d v="2023-07-05T00:00:00"/>
    <x v="4"/>
    <s v="Water Bottle"/>
    <n v="24.99"/>
    <n v="1"/>
    <n v="0"/>
    <n v="24.99"/>
    <n v="24.99"/>
    <s v="Debit Card"/>
    <x v="0"/>
    <n v="5"/>
    <n v="20"/>
    <s v="Chicago"/>
    <x v="3"/>
    <s v="Female"/>
  </r>
  <r>
    <s v="ORD-21361"/>
    <s v="CUST-5166"/>
    <d v="2024-01-05T00:00:00"/>
    <x v="4"/>
    <s v="Jump Rope"/>
    <n v="14.99"/>
    <n v="2"/>
    <n v="5"/>
    <n v="14.24"/>
    <n v="28.48"/>
    <s v="Wallet"/>
    <x v="2"/>
    <n v="1"/>
    <n v="20"/>
    <s v="Chicago"/>
    <x v="3"/>
    <s v="Female"/>
  </r>
  <r>
    <s v="ORD-21362"/>
    <s v="CUST-5166"/>
    <d v="2022-08-02T00:00:00"/>
    <x v="6"/>
    <s v="Hair Mask"/>
    <n v="24.99"/>
    <n v="3"/>
    <n v="10"/>
    <n v="22.49"/>
    <n v="67.47"/>
    <s v="Debit Card"/>
    <x v="0"/>
    <n v="5"/>
    <n v="20"/>
    <s v="Chicago"/>
    <x v="3"/>
    <s v="Female"/>
  </r>
  <r>
    <s v="ORD-21363"/>
    <s v="CUST-5166"/>
    <d v="2023-02-18T00:00:00"/>
    <x v="4"/>
    <s v="Resistance Bands"/>
    <n v="19.989999999999998"/>
    <n v="1"/>
    <n v="0"/>
    <n v="19.989999999999998"/>
    <n v="19.989999999999998"/>
    <s v="PayPal"/>
    <x v="0"/>
    <m/>
    <n v="20"/>
    <s v="Chicago"/>
    <x v="3"/>
    <s v="Female"/>
  </r>
  <r>
    <s v="ORD-21364"/>
    <s v="CUST-5166"/>
    <d v="2023-06-03T00:00:00"/>
    <x v="5"/>
    <s v="Smart Watch"/>
    <n v="199.99"/>
    <n v="1"/>
    <n v="0"/>
    <n v="199.99"/>
    <n v="199.99"/>
    <s v="Credit Card"/>
    <x v="0"/>
    <n v="4"/>
    <n v="20"/>
    <s v="Chicago"/>
    <x v="3"/>
    <s v="Female"/>
  </r>
  <r>
    <s v="ORD-21365"/>
    <s v="CUST-5166"/>
    <d v="2023-10-13T00:00:00"/>
    <x v="0"/>
    <s v="Business Analytics"/>
    <n v="39.99"/>
    <n v="1"/>
    <n v="10"/>
    <n v="35.99"/>
    <n v="35.99"/>
    <s v="UPI"/>
    <x v="0"/>
    <n v="5"/>
    <n v="20"/>
    <s v="Chicago"/>
    <x v="3"/>
    <s v="Female"/>
  </r>
  <r>
    <s v="ORD-21366"/>
    <s v="CUST-5166"/>
    <d v="2022-03-12T00:00:00"/>
    <x v="1"/>
    <s v="Action Figure"/>
    <n v="19.989999999999998"/>
    <n v="3"/>
    <n v="5"/>
    <n v="18.989999999999998"/>
    <n v="56.97"/>
    <s v="UPI"/>
    <x v="0"/>
    <m/>
    <n v="20"/>
    <s v="Chicago"/>
    <x v="3"/>
    <s v="Female"/>
  </r>
  <r>
    <s v="ORD-21367"/>
    <s v="CUST-5166"/>
    <d v="2023-11-23T00:00:00"/>
    <x v="4"/>
    <s v="Jump Rope"/>
    <n v="14.99"/>
    <n v="1"/>
    <n v="5"/>
    <n v="14.24"/>
    <n v="14.24"/>
    <s v="UPI"/>
    <x v="0"/>
    <n v="4"/>
    <n v="20"/>
    <s v="Chicago"/>
    <x v="3"/>
    <s v="Female"/>
  </r>
  <r>
    <s v="ORD-21368"/>
    <s v="CUST-5167"/>
    <d v="2022-12-01T00:00:00"/>
    <x v="5"/>
    <s v="Wireless Earbuds"/>
    <n v="79.989999999999995"/>
    <n v="2"/>
    <n v="10"/>
    <n v="71.989999999999995"/>
    <n v="143.97999999999999"/>
    <s v="UPI"/>
    <x v="0"/>
    <n v="4"/>
    <n v="25"/>
    <s v="Phoenix"/>
    <x v="3"/>
    <s v="Female"/>
  </r>
  <r>
    <s v="ORD-21369"/>
    <s v="CUST-5167"/>
    <d v="2023-08-06T00:00:00"/>
    <x v="1"/>
    <s v="Action Figure"/>
    <n v="19.989999999999998"/>
    <n v="1"/>
    <n v="15"/>
    <n v="16.989999999999998"/>
    <n v="16.989999999999998"/>
    <s v="UPI"/>
    <x v="0"/>
    <m/>
    <n v="25"/>
    <s v="Phoenix"/>
    <x v="3"/>
    <s v="Female"/>
  </r>
  <r>
    <s v="ORD-21370"/>
    <s v="CUST-5167"/>
    <d v="2024-09-03T00:00:00"/>
    <x v="0"/>
    <s v="Business Analytics"/>
    <n v="39.99"/>
    <n v="4"/>
    <n v="0"/>
    <n v="39.99"/>
    <n v="159.96"/>
    <s v="Debit Card"/>
    <x v="0"/>
    <n v="5"/>
    <n v="25"/>
    <s v="Phoenix"/>
    <x v="3"/>
    <s v="Female"/>
  </r>
  <r>
    <s v="ORD-21371"/>
    <s v="CUST-5167"/>
    <d v="2023-09-09T00:00:00"/>
    <x v="3"/>
    <s v="Yoga Pants"/>
    <n v="44.99"/>
    <n v="1"/>
    <n v="20"/>
    <n v="35.99"/>
    <n v="35.99"/>
    <s v="Debit Card"/>
    <x v="0"/>
    <n v="5"/>
    <n v="25"/>
    <s v="Phoenix"/>
    <x v="3"/>
    <s v="Female"/>
  </r>
  <r>
    <s v="ORD-21372"/>
    <s v="CUST-5167"/>
    <d v="2022-02-17T00:00:00"/>
    <x v="1"/>
    <s v="Puzzle 1000pcs"/>
    <n v="24.99"/>
    <n v="3"/>
    <n v="5"/>
    <n v="23.74"/>
    <n v="71.22"/>
    <s v="Debit Card"/>
    <x v="0"/>
    <n v="5"/>
    <n v="25"/>
    <s v="Phoenix"/>
    <x v="3"/>
    <s v="Female"/>
  </r>
  <r>
    <s v="ORD-21373"/>
    <s v="CUST-5167"/>
    <d v="2023-11-22T00:00:00"/>
    <x v="2"/>
    <s v="Non-stick Pan Set"/>
    <n v="44.99"/>
    <n v="4"/>
    <n v="20"/>
    <n v="35.99"/>
    <n v="143.96"/>
    <s v="Wallet"/>
    <x v="0"/>
    <n v="5"/>
    <n v="25"/>
    <s v="Phoenix"/>
    <x v="3"/>
    <s v="Female"/>
  </r>
  <r>
    <s v="ORD-21374"/>
    <s v="CUST-5167"/>
    <d v="2022-03-11T00:00:00"/>
    <x v="0"/>
    <s v="Business Analytics"/>
    <n v="39.99"/>
    <n v="3"/>
    <n v="15"/>
    <n v="33.99"/>
    <n v="101.97"/>
    <s v="Wallet"/>
    <x v="0"/>
    <n v="3"/>
    <n v="25"/>
    <s v="Phoenix"/>
    <x v="3"/>
    <s v="Female"/>
  </r>
  <r>
    <s v="ORD-21375"/>
    <s v="CUST-5168"/>
    <d v="2024-06-26T00:00:00"/>
    <x v="6"/>
    <s v="Moisturizer SPF 50"/>
    <n v="29.99"/>
    <n v="1"/>
    <n v="10"/>
    <n v="26.99"/>
    <n v="26.99"/>
    <s v="Debit Card"/>
    <x v="0"/>
    <n v="5"/>
    <n v="46"/>
    <s v="Phoenix"/>
    <x v="2"/>
    <s v="Male"/>
  </r>
  <r>
    <s v="ORD-21376"/>
    <s v="CUST-5168"/>
    <d v="2024-12-05T00:00:00"/>
    <x v="2"/>
    <s v="Air Fryer"/>
    <n v="89.99"/>
    <n v="3"/>
    <n v="0"/>
    <n v="89.99"/>
    <n v="269.97000000000003"/>
    <s v="Credit Card"/>
    <x v="0"/>
    <m/>
    <n v="46"/>
    <s v="Phoenix"/>
    <x v="2"/>
    <s v="Male"/>
  </r>
  <r>
    <s v="ORD-21377"/>
    <s v="CUST-5168"/>
    <d v="2023-01-08T00:00:00"/>
    <x v="1"/>
    <s v="LEGO Classic Set"/>
    <n v="49.99"/>
    <n v="3"/>
    <n v="0"/>
    <n v="49.99"/>
    <n v="149.97"/>
    <s v="PayPal"/>
    <x v="0"/>
    <n v="5"/>
    <n v="46"/>
    <s v="Phoenix"/>
    <x v="2"/>
    <s v="Male"/>
  </r>
  <r>
    <s v="ORD-21378"/>
    <s v="CUST-5168"/>
    <d v="2024-03-26T00:00:00"/>
    <x v="5"/>
    <s v="Bluetooth Speaker"/>
    <n v="49.99"/>
    <n v="2"/>
    <n v="0"/>
    <n v="49.99"/>
    <n v="99.98"/>
    <s v="UPI"/>
    <x v="0"/>
    <m/>
    <n v="46"/>
    <s v="Phoenix"/>
    <x v="2"/>
    <s v="Male"/>
  </r>
  <r>
    <s v="ORD-21379"/>
    <s v="CUST-5168"/>
    <d v="2023-05-11T00:00:00"/>
    <x v="0"/>
    <s v="Data Science Handbook"/>
    <n v="49.99"/>
    <n v="4"/>
    <n v="5"/>
    <n v="47.49"/>
    <n v="189.96"/>
    <s v="PayPal"/>
    <x v="0"/>
    <m/>
    <n v="46"/>
    <s v="Phoenix"/>
    <x v="2"/>
    <s v="Male"/>
  </r>
  <r>
    <s v="ORD-21380"/>
    <s v="CUST-5168"/>
    <d v="2022-08-03T00:00:00"/>
    <x v="0"/>
    <s v="Python for Beginners"/>
    <n v="29.99"/>
    <n v="4"/>
    <n v="10"/>
    <n v="26.99"/>
    <n v="107.96"/>
    <s v="PayPal"/>
    <x v="0"/>
    <m/>
    <n v="46"/>
    <s v="Phoenix"/>
    <x v="2"/>
    <s v="Male"/>
  </r>
  <r>
    <s v="ORD-21381"/>
    <s v="CUST-5168"/>
    <d v="2022-07-05T00:00:00"/>
    <x v="5"/>
    <s v="Wireless Earbuds"/>
    <n v="79.989999999999995"/>
    <n v="3"/>
    <n v="0"/>
    <n v="79.989999999999995"/>
    <n v="239.97"/>
    <s v="Credit Card"/>
    <x v="2"/>
    <n v="4"/>
    <n v="46"/>
    <s v="Phoenix"/>
    <x v="2"/>
    <s v="Male"/>
  </r>
  <r>
    <s v="ORD-21382"/>
    <s v="CUST-5169"/>
    <d v="2024-08-01T00:00:00"/>
    <x v="1"/>
    <s v="Puzzle 1000pcs"/>
    <n v="24.99"/>
    <n v="2"/>
    <n v="0"/>
    <n v="24.99"/>
    <n v="49.98"/>
    <s v="Credit Card"/>
    <x v="0"/>
    <m/>
    <n v="19"/>
    <s v="Jacksonville"/>
    <x v="2"/>
    <s v="Male"/>
  </r>
  <r>
    <s v="ORD-21383"/>
    <s v="CUST-5169"/>
    <d v="2023-04-26T00:00:00"/>
    <x v="1"/>
    <s v="Puzzle 1000pcs"/>
    <n v="24.99"/>
    <n v="3"/>
    <n v="0"/>
    <n v="24.99"/>
    <n v="74.97"/>
    <s v="Wallet"/>
    <x v="4"/>
    <n v="5"/>
    <n v="19"/>
    <s v="Jacksonville"/>
    <x v="2"/>
    <s v="Male"/>
  </r>
  <r>
    <s v="ORD-21384"/>
    <s v="CUST-5169"/>
    <d v="2023-05-25T00:00:00"/>
    <x v="1"/>
    <s v="Remote Control Car"/>
    <n v="39.99"/>
    <n v="1"/>
    <n v="0"/>
    <n v="39.99"/>
    <n v="39.99"/>
    <s v="Wallet"/>
    <x v="2"/>
    <m/>
    <n v="19"/>
    <s v="Jacksonville"/>
    <x v="2"/>
    <s v="Male"/>
  </r>
  <r>
    <s v="ORD-21385"/>
    <s v="CUST-5169"/>
    <d v="2023-03-14T00:00:00"/>
    <x v="3"/>
    <s v="Yoga Pants"/>
    <n v="44.99"/>
    <n v="4"/>
    <n v="0"/>
    <n v="44.99"/>
    <n v="179.96"/>
    <s v="UPI"/>
    <x v="0"/>
    <n v="4"/>
    <n v="19"/>
    <s v="Jacksonville"/>
    <x v="2"/>
    <s v="Male"/>
  </r>
  <r>
    <s v="ORD-21386"/>
    <s v="CUST-5169"/>
    <d v="2023-12-02T00:00:00"/>
    <x v="4"/>
    <s v="Jump Rope"/>
    <n v="14.99"/>
    <n v="2"/>
    <n v="15"/>
    <n v="12.74"/>
    <n v="25.48"/>
    <s v="Credit Card"/>
    <x v="0"/>
    <m/>
    <n v="19"/>
    <s v="Jacksonville"/>
    <x v="2"/>
    <s v="Male"/>
  </r>
  <r>
    <s v="ORD-21387"/>
    <s v="CUST-5169"/>
    <d v="2022-07-17T00:00:00"/>
    <x v="5"/>
    <s v="Wireless Earbuds"/>
    <n v="79.989999999999995"/>
    <n v="4"/>
    <n v="15"/>
    <n v="67.989999999999995"/>
    <n v="271.95999999999998"/>
    <s v="Wallet"/>
    <x v="0"/>
    <n v="4"/>
    <n v="19"/>
    <s v="Jacksonville"/>
    <x v="2"/>
    <s v="Male"/>
  </r>
  <r>
    <s v="ORD-21388"/>
    <s v="CUST-5170"/>
    <d v="2023-12-17T00:00:00"/>
    <x v="2"/>
    <s v="Air Fryer"/>
    <n v="89.99"/>
    <n v="2"/>
    <n v="15"/>
    <n v="76.489999999999995"/>
    <n v="152.97999999999999"/>
    <s v="PayPal"/>
    <x v="0"/>
    <n v="5"/>
    <n v="28"/>
    <s v="Chicago"/>
    <x v="2"/>
    <s v="Female"/>
  </r>
  <r>
    <s v="ORD-21389"/>
    <s v="CUST-5170"/>
    <d v="2022-09-25T00:00:00"/>
    <x v="3"/>
    <s v="Denim Jacket"/>
    <n v="69.989999999999995"/>
    <n v="1"/>
    <n v="0"/>
    <n v="69.989999999999995"/>
    <n v="69.989999999999995"/>
    <s v="Credit Card"/>
    <x v="0"/>
    <n v="5"/>
    <n v="28"/>
    <s v="Chicago"/>
    <x v="2"/>
    <s v="Female"/>
  </r>
  <r>
    <s v="ORD-21390"/>
    <s v="CUST-5170"/>
    <d v="2022-01-02T00:00:00"/>
    <x v="3"/>
    <s v="Denim Jacket"/>
    <n v="69.989999999999995"/>
    <n v="4"/>
    <n v="0"/>
    <n v="69.989999999999995"/>
    <n v="279.95999999999998"/>
    <s v="PayPal"/>
    <x v="0"/>
    <n v="4"/>
    <n v="28"/>
    <s v="Chicago"/>
    <x v="2"/>
    <s v="Female"/>
  </r>
  <r>
    <s v="ORD-21391"/>
    <s v="CUST-5170"/>
    <d v="2024-07-28T00:00:00"/>
    <x v="5"/>
    <s v="USB-C Hub"/>
    <n v="34.99"/>
    <n v="2"/>
    <n v="0"/>
    <n v="34.99"/>
    <n v="69.98"/>
    <s v="Wallet"/>
    <x v="0"/>
    <n v="4"/>
    <n v="28"/>
    <s v="Chicago"/>
    <x v="2"/>
    <s v="Female"/>
  </r>
  <r>
    <s v="ORD-21392"/>
    <s v="CUST-5170"/>
    <d v="2023-12-25T00:00:00"/>
    <x v="5"/>
    <s v="USB-C Hub"/>
    <n v="34.99"/>
    <n v="3"/>
    <n v="15"/>
    <n v="29.74"/>
    <n v="89.22"/>
    <s v="Wallet"/>
    <x v="0"/>
    <n v="2"/>
    <n v="28"/>
    <s v="Chicago"/>
    <x v="2"/>
    <s v="Female"/>
  </r>
  <r>
    <s v="ORD-21393"/>
    <s v="CUST-5170"/>
    <d v="2022-09-05T00:00:00"/>
    <x v="4"/>
    <s v="Resistance Bands"/>
    <n v="19.989999999999998"/>
    <n v="4"/>
    <n v="20"/>
    <n v="15.99"/>
    <n v="63.96"/>
    <s v="Debit Card"/>
    <x v="0"/>
    <n v="4"/>
    <n v="28"/>
    <s v="Chicago"/>
    <x v="2"/>
    <s v="Female"/>
  </r>
  <r>
    <s v="ORD-21394"/>
    <s v="CUST-5170"/>
    <d v="2022-02-01T00:00:00"/>
    <x v="1"/>
    <s v="Puzzle 1000pcs"/>
    <n v="24.99"/>
    <n v="4"/>
    <n v="15"/>
    <n v="21.24"/>
    <n v="84.96"/>
    <s v="PayPal"/>
    <x v="4"/>
    <n v="5"/>
    <n v="28"/>
    <s v="Chicago"/>
    <x v="2"/>
    <s v="Female"/>
  </r>
  <r>
    <s v="ORD-21395"/>
    <s v="CUST-5171"/>
    <d v="2022-11-20T00:00:00"/>
    <x v="2"/>
    <s v="Air Fryer"/>
    <n v="89.99"/>
    <n v="1"/>
    <n v="5"/>
    <n v="85.49"/>
    <n v="85.49"/>
    <s v="UPI"/>
    <x v="0"/>
    <n v="3"/>
    <n v="61"/>
    <s v="Los Angeles"/>
    <x v="2"/>
    <s v="Male"/>
  </r>
  <r>
    <s v="ORD-21396"/>
    <s v="CUST-5171"/>
    <d v="2023-04-11T00:00:00"/>
    <x v="2"/>
    <s v="Non-stick Pan Set"/>
    <n v="44.99"/>
    <n v="4"/>
    <n v="15"/>
    <n v="38.24"/>
    <n v="152.96"/>
    <s v="Debit Card"/>
    <x v="0"/>
    <n v="3"/>
    <n v="61"/>
    <s v="Los Angeles"/>
    <x v="2"/>
    <s v="Male"/>
  </r>
  <r>
    <s v="ORD-21397"/>
    <s v="CUST-5171"/>
    <d v="2024-08-25T00:00:00"/>
    <x v="0"/>
    <s v="Python for Beginners"/>
    <n v="29.99"/>
    <n v="4"/>
    <n v="5"/>
    <n v="28.49"/>
    <n v="113.96"/>
    <s v="UPI"/>
    <x v="0"/>
    <n v="4"/>
    <n v="61"/>
    <s v="Los Angeles"/>
    <x v="2"/>
    <s v="Male"/>
  </r>
  <r>
    <s v="ORD-21398"/>
    <s v="CUST-5171"/>
    <d v="2023-04-24T00:00:00"/>
    <x v="0"/>
    <s v="Python for Beginners"/>
    <n v="29.99"/>
    <n v="4"/>
    <n v="0"/>
    <n v="29.99"/>
    <n v="119.96"/>
    <s v="PayPal"/>
    <x v="4"/>
    <n v="3"/>
    <n v="61"/>
    <s v="Los Angeles"/>
    <x v="2"/>
    <s v="Male"/>
  </r>
  <r>
    <s v="ORD-21399"/>
    <s v="CUST-5171"/>
    <d v="2023-07-14T00:00:00"/>
    <x v="5"/>
    <s v="Bluetooth Speaker"/>
    <n v="49.99"/>
    <n v="3"/>
    <n v="5"/>
    <n v="47.49"/>
    <n v="142.47"/>
    <s v="Wallet"/>
    <x v="0"/>
    <m/>
    <n v="61"/>
    <s v="Los Angeles"/>
    <x v="2"/>
    <s v="Male"/>
  </r>
  <r>
    <s v="ORD-21400"/>
    <s v="CUST-5171"/>
    <d v="2023-08-16T00:00:00"/>
    <x v="5"/>
    <s v="Smart Watch"/>
    <n v="199.99"/>
    <n v="3"/>
    <n v="0"/>
    <n v="199.99"/>
    <n v="599.97"/>
    <s v="Debit Card"/>
    <x v="0"/>
    <n v="1"/>
    <n v="61"/>
    <s v="Los Angeles"/>
    <x v="2"/>
    <s v="Male"/>
  </r>
  <r>
    <s v="ORD-21401"/>
    <s v="CUST-5171"/>
    <d v="2022-02-05T00:00:00"/>
    <x v="3"/>
    <s v="Denim Jacket"/>
    <n v="69.989999999999995"/>
    <n v="1"/>
    <n v="15"/>
    <n v="59.49"/>
    <n v="59.49"/>
    <s v="Debit Card"/>
    <x v="0"/>
    <n v="5"/>
    <n v="61"/>
    <s v="Los Angeles"/>
    <x v="2"/>
    <s v="Male"/>
  </r>
  <r>
    <s v="ORD-21402"/>
    <s v="CUST-5171"/>
    <d v="2024-01-25T00:00:00"/>
    <x v="3"/>
    <s v="Cotton T-Shirt"/>
    <n v="24.99"/>
    <n v="4"/>
    <n v="0"/>
    <n v="24.99"/>
    <n v="99.96"/>
    <s v="Wallet"/>
    <x v="0"/>
    <n v="3"/>
    <n v="61"/>
    <s v="Los Angeles"/>
    <x v="2"/>
    <s v="Male"/>
  </r>
  <r>
    <s v="ORD-21403"/>
    <s v="CUST-5171"/>
    <d v="2024-11-24T00:00:00"/>
    <x v="2"/>
    <s v="Air Fryer"/>
    <n v="89.99"/>
    <n v="3"/>
    <n v="0"/>
    <n v="89.99"/>
    <n v="269.97000000000003"/>
    <s v="Credit Card"/>
    <x v="0"/>
    <n v="4"/>
    <n v="61"/>
    <s v="Los Angeles"/>
    <x v="2"/>
    <s v="Male"/>
  </r>
  <r>
    <s v="ORD-21404"/>
    <s v="CUST-5171"/>
    <d v="2023-04-27T00:00:00"/>
    <x v="1"/>
    <s v="Puzzle 1000pcs"/>
    <n v="24.99"/>
    <n v="1"/>
    <n v="0"/>
    <n v="24.99"/>
    <n v="24.99"/>
    <s v="Debit Card"/>
    <x v="3"/>
    <n v="5"/>
    <n v="61"/>
    <s v="Los Angeles"/>
    <x v="2"/>
    <s v="Male"/>
  </r>
  <r>
    <s v="ORD-21405"/>
    <s v="CUST-5171"/>
    <d v="2024-07-03T00:00:00"/>
    <x v="5"/>
    <s v="USB-C Hub"/>
    <n v="34.99"/>
    <n v="1"/>
    <n v="5"/>
    <n v="33.24"/>
    <n v="33.24"/>
    <s v="Wallet"/>
    <x v="0"/>
    <n v="3"/>
    <n v="61"/>
    <s v="Los Angeles"/>
    <x v="2"/>
    <s v="Male"/>
  </r>
  <r>
    <s v="ORD-21406"/>
    <s v="CUST-5171"/>
    <d v="2022-03-12T00:00:00"/>
    <x v="5"/>
    <s v="USB-C Hub"/>
    <n v="34.99"/>
    <n v="3"/>
    <n v="0"/>
    <n v="34.99"/>
    <n v="104.97"/>
    <s v="UPI"/>
    <x v="2"/>
    <m/>
    <n v="61"/>
    <s v="Los Angeles"/>
    <x v="2"/>
    <s v="Male"/>
  </r>
  <r>
    <s v="ORD-21407"/>
    <s v="CUST-5171"/>
    <d v="2023-08-26T00:00:00"/>
    <x v="6"/>
    <s v="Lip Balm Set"/>
    <n v="14.99"/>
    <n v="1"/>
    <n v="15"/>
    <n v="12.74"/>
    <n v="12.74"/>
    <s v="UPI"/>
    <x v="0"/>
    <n v="4"/>
    <n v="61"/>
    <s v="Los Angeles"/>
    <x v="2"/>
    <s v="Male"/>
  </r>
  <r>
    <s v="ORD-21408"/>
    <s v="CUST-5172"/>
    <d v="2022-07-21T00:00:00"/>
    <x v="1"/>
    <s v="Puzzle 1000pcs"/>
    <n v="24.99"/>
    <n v="1"/>
    <n v="10"/>
    <n v="22.49"/>
    <n v="22.49"/>
    <s v="UPI"/>
    <x v="0"/>
    <n v="5"/>
    <n v="40"/>
    <s v="New York"/>
    <x v="2"/>
    <s v="Male"/>
  </r>
  <r>
    <s v="ORD-21409"/>
    <s v="CUST-5173"/>
    <d v="2022-10-10T00:00:00"/>
    <x v="4"/>
    <s v="Yoga Mat"/>
    <n v="29.99"/>
    <n v="1"/>
    <n v="20"/>
    <n v="23.99"/>
    <n v="23.99"/>
    <s v="Wallet"/>
    <x v="0"/>
    <n v="2"/>
    <n v="50"/>
    <s v="San Diego"/>
    <x v="2"/>
    <s v="Male"/>
  </r>
  <r>
    <s v="ORD-21410"/>
    <s v="CUST-5173"/>
    <d v="2022-01-28T00:00:00"/>
    <x v="6"/>
    <s v="Moisturizer SPF 50"/>
    <n v="29.99"/>
    <n v="2"/>
    <n v="15"/>
    <n v="25.49"/>
    <n v="50.98"/>
    <s v="UPI"/>
    <x v="0"/>
    <n v="4"/>
    <n v="50"/>
    <s v="San Diego"/>
    <x v="2"/>
    <s v="Male"/>
  </r>
  <r>
    <s v="ORD-21411"/>
    <s v="CUST-5173"/>
    <d v="2023-05-02T00:00:00"/>
    <x v="2"/>
    <s v="Non-stick Pan Set"/>
    <n v="44.99"/>
    <n v="1"/>
    <n v="15"/>
    <n v="38.24"/>
    <n v="38.24"/>
    <s v="Credit Card"/>
    <x v="0"/>
    <n v="4"/>
    <n v="50"/>
    <s v="San Diego"/>
    <x v="2"/>
    <s v="Male"/>
  </r>
  <r>
    <s v="ORD-21412"/>
    <s v="CUST-5173"/>
    <d v="2023-02-20T00:00:00"/>
    <x v="6"/>
    <s v="Moisturizer SPF 50"/>
    <n v="29.99"/>
    <n v="3"/>
    <n v="0"/>
    <n v="29.99"/>
    <n v="89.97"/>
    <s v="UPI"/>
    <x v="0"/>
    <n v="3"/>
    <n v="50"/>
    <s v="San Diego"/>
    <x v="2"/>
    <s v="Male"/>
  </r>
  <r>
    <s v="ORD-21413"/>
    <s v="CUST-5173"/>
    <d v="2022-12-05T00:00:00"/>
    <x v="4"/>
    <s v="Yoga Mat"/>
    <n v="29.99"/>
    <n v="2"/>
    <n v="5"/>
    <n v="28.49"/>
    <n v="56.98"/>
    <s v="UPI"/>
    <x v="0"/>
    <n v="4"/>
    <n v="50"/>
    <s v="San Diego"/>
    <x v="2"/>
    <s v="Male"/>
  </r>
  <r>
    <s v="ORD-21414"/>
    <s v="CUST-5173"/>
    <d v="2022-03-02T00:00:00"/>
    <x v="6"/>
    <s v="Hair Mask"/>
    <n v="24.99"/>
    <n v="2"/>
    <n v="15"/>
    <n v="21.24"/>
    <n v="42.48"/>
    <s v="Credit Card"/>
    <x v="0"/>
    <m/>
    <n v="50"/>
    <s v="San Diego"/>
    <x v="2"/>
    <s v="Male"/>
  </r>
  <r>
    <s v="ORD-21415"/>
    <s v="CUST-5173"/>
    <d v="2024-08-27T00:00:00"/>
    <x v="5"/>
    <s v="Bluetooth Speaker"/>
    <n v="49.99"/>
    <n v="4"/>
    <n v="0"/>
    <n v="49.99"/>
    <n v="199.96"/>
    <s v="Credit Card"/>
    <x v="0"/>
    <m/>
    <n v="50"/>
    <s v="San Diego"/>
    <x v="2"/>
    <s v="Male"/>
  </r>
  <r>
    <s v="ORD-21416"/>
    <s v="CUST-5173"/>
    <d v="2024-07-17T00:00:00"/>
    <x v="3"/>
    <s v="Denim Jacket"/>
    <n v="69.989999999999995"/>
    <n v="1"/>
    <n v="5"/>
    <n v="66.489999999999995"/>
    <n v="66.489999999999995"/>
    <s v="UPI"/>
    <x v="0"/>
    <m/>
    <n v="50"/>
    <s v="San Diego"/>
    <x v="2"/>
    <s v="Male"/>
  </r>
  <r>
    <s v="ORD-21417"/>
    <s v="CUST-5173"/>
    <d v="2023-02-01T00:00:00"/>
    <x v="5"/>
    <s v="Smart Watch"/>
    <n v="199.99"/>
    <n v="4"/>
    <n v="0"/>
    <n v="199.99"/>
    <n v="799.96"/>
    <s v="Credit Card"/>
    <x v="0"/>
    <m/>
    <n v="50"/>
    <s v="San Diego"/>
    <x v="2"/>
    <s v="Male"/>
  </r>
  <r>
    <s v="ORD-21418"/>
    <s v="CUST-5174"/>
    <d v="2024-01-10T00:00:00"/>
    <x v="6"/>
    <s v="Lip Balm Set"/>
    <n v="14.99"/>
    <n v="3"/>
    <n v="5"/>
    <n v="14.24"/>
    <n v="42.72"/>
    <s v="PayPal"/>
    <x v="0"/>
    <n v="5"/>
    <n v="37"/>
    <s v="Los Angeles"/>
    <x v="2"/>
    <s v="Female"/>
  </r>
  <r>
    <s v="ORD-21419"/>
    <s v="CUST-5174"/>
    <d v="2022-02-24T00:00:00"/>
    <x v="1"/>
    <s v="Action Figure"/>
    <n v="19.989999999999998"/>
    <n v="1"/>
    <n v="20"/>
    <n v="15.99"/>
    <n v="15.99"/>
    <s v="PayPal"/>
    <x v="0"/>
    <m/>
    <n v="37"/>
    <s v="Los Angeles"/>
    <x v="2"/>
    <s v="Female"/>
  </r>
  <r>
    <s v="ORD-21420"/>
    <s v="CUST-5174"/>
    <d v="2023-12-07T00:00:00"/>
    <x v="6"/>
    <s v="Moisturizer SPF 50"/>
    <n v="29.99"/>
    <n v="3"/>
    <n v="0"/>
    <n v="29.99"/>
    <n v="89.97"/>
    <s v="UPI"/>
    <x v="4"/>
    <n v="4"/>
    <n v="37"/>
    <s v="Los Angeles"/>
    <x v="2"/>
    <s v="Female"/>
  </r>
  <r>
    <s v="ORD-21421"/>
    <s v="CUST-5174"/>
    <d v="2022-06-19T00:00:00"/>
    <x v="3"/>
    <s v="Yoga Pants"/>
    <n v="44.99"/>
    <n v="3"/>
    <n v="0"/>
    <n v="44.99"/>
    <n v="134.97"/>
    <s v="Wallet"/>
    <x v="0"/>
    <n v="5"/>
    <n v="37"/>
    <s v="Los Angeles"/>
    <x v="2"/>
    <s v="Female"/>
  </r>
  <r>
    <s v="ORD-21422"/>
    <s v="CUST-5174"/>
    <d v="2024-04-07T00:00:00"/>
    <x v="0"/>
    <s v="Fiction Novel"/>
    <n v="14.99"/>
    <n v="1"/>
    <n v="0"/>
    <n v="14.99"/>
    <n v="14.99"/>
    <s v="PayPal"/>
    <x v="0"/>
    <n v="3"/>
    <n v="37"/>
    <s v="Los Angeles"/>
    <x v="2"/>
    <s v="Female"/>
  </r>
  <r>
    <s v="ORD-21423"/>
    <s v="CUST-5174"/>
    <d v="2024-11-28T00:00:00"/>
    <x v="5"/>
    <s v="Bluetooth Speaker"/>
    <n v="49.99"/>
    <n v="1"/>
    <n v="15"/>
    <n v="42.49"/>
    <n v="42.49"/>
    <s v="PayPal"/>
    <x v="0"/>
    <m/>
    <n v="37"/>
    <s v="Los Angeles"/>
    <x v="2"/>
    <s v="Female"/>
  </r>
  <r>
    <s v="ORD-21424"/>
    <s v="CUST-5175"/>
    <d v="2024-09-28T00:00:00"/>
    <x v="3"/>
    <s v="Yoga Pants"/>
    <n v="44.99"/>
    <n v="4"/>
    <n v="15"/>
    <n v="38.24"/>
    <n v="152.96"/>
    <s v="Wallet"/>
    <x v="0"/>
    <n v="5"/>
    <n v="65"/>
    <s v="New York"/>
    <x v="2"/>
    <s v="Male"/>
  </r>
  <r>
    <s v="ORD-21425"/>
    <s v="CUST-5175"/>
    <d v="2022-11-24T00:00:00"/>
    <x v="2"/>
    <s v="Air Fryer"/>
    <n v="89.99"/>
    <n v="4"/>
    <n v="0"/>
    <n v="89.99"/>
    <n v="359.96"/>
    <s v="Debit Card"/>
    <x v="0"/>
    <n v="4"/>
    <n v="65"/>
    <s v="New York"/>
    <x v="2"/>
    <s v="Male"/>
  </r>
  <r>
    <s v="ORD-21426"/>
    <s v="CUST-5175"/>
    <d v="2023-08-09T00:00:00"/>
    <x v="1"/>
    <s v="LEGO Classic Set"/>
    <n v="49.99"/>
    <n v="1"/>
    <n v="0"/>
    <n v="49.99"/>
    <n v="49.99"/>
    <s v="Credit Card"/>
    <x v="0"/>
    <n v="5"/>
    <n v="65"/>
    <s v="New York"/>
    <x v="2"/>
    <s v="Male"/>
  </r>
  <r>
    <s v="ORD-21427"/>
    <s v="CUST-5175"/>
    <d v="2023-09-10T00:00:00"/>
    <x v="5"/>
    <s v="Bluetooth Speaker"/>
    <n v="49.99"/>
    <n v="2"/>
    <n v="0"/>
    <n v="49.99"/>
    <n v="99.98"/>
    <s v="UPI"/>
    <x v="0"/>
    <n v="4"/>
    <n v="65"/>
    <s v="New York"/>
    <x v="2"/>
    <s v="Male"/>
  </r>
  <r>
    <s v="ORD-21428"/>
    <s v="CUST-5175"/>
    <d v="2022-05-10T00:00:00"/>
    <x v="0"/>
    <s v="Python for Beginners"/>
    <n v="29.99"/>
    <n v="1"/>
    <n v="20"/>
    <n v="23.99"/>
    <n v="23.99"/>
    <s v="Debit Card"/>
    <x v="0"/>
    <n v="5"/>
    <n v="65"/>
    <s v="New York"/>
    <x v="2"/>
    <s v="Male"/>
  </r>
  <r>
    <s v="ORD-21429"/>
    <s v="CUST-5175"/>
    <d v="2024-03-28T00:00:00"/>
    <x v="3"/>
    <s v="Denim Jacket"/>
    <n v="69.989999999999995"/>
    <n v="2"/>
    <n v="15"/>
    <n v="59.49"/>
    <n v="118.98"/>
    <s v="PayPal"/>
    <x v="0"/>
    <n v="3"/>
    <n v="65"/>
    <s v="New York"/>
    <x v="2"/>
    <s v="Male"/>
  </r>
  <r>
    <s v="ORD-21430"/>
    <s v="CUST-5175"/>
    <d v="2024-03-28T00:00:00"/>
    <x v="2"/>
    <s v="Non-stick Pan Set"/>
    <n v="44.99"/>
    <n v="3"/>
    <n v="20"/>
    <n v="35.99"/>
    <n v="107.97"/>
    <s v="Wallet"/>
    <x v="0"/>
    <n v="5"/>
    <n v="65"/>
    <s v="New York"/>
    <x v="2"/>
    <s v="Male"/>
  </r>
  <r>
    <s v="ORD-21431"/>
    <s v="CUST-5175"/>
    <d v="2024-10-08T00:00:00"/>
    <x v="1"/>
    <s v="LEGO Classic Set"/>
    <n v="49.99"/>
    <n v="4"/>
    <n v="10"/>
    <n v="44.99"/>
    <n v="179.96"/>
    <s v="PayPal"/>
    <x v="0"/>
    <n v="5"/>
    <n v="65"/>
    <s v="New York"/>
    <x v="2"/>
    <s v="Male"/>
  </r>
  <r>
    <s v="ORD-21432"/>
    <s v="CUST-5175"/>
    <d v="2024-11-04T00:00:00"/>
    <x v="5"/>
    <s v="USB-C Hub"/>
    <n v="34.99"/>
    <n v="4"/>
    <n v="15"/>
    <n v="29.74"/>
    <n v="118.96"/>
    <s v="Wallet"/>
    <x v="4"/>
    <n v="3"/>
    <n v="65"/>
    <s v="New York"/>
    <x v="2"/>
    <s v="Male"/>
  </r>
  <r>
    <s v="ORD-21433"/>
    <s v="CUST-5175"/>
    <d v="2023-07-15T00:00:00"/>
    <x v="6"/>
    <s v="Moisturizer SPF 50"/>
    <n v="29.99"/>
    <n v="3"/>
    <n v="0"/>
    <n v="29.99"/>
    <n v="89.97"/>
    <s v="Debit Card"/>
    <x v="0"/>
    <m/>
    <n v="65"/>
    <s v="New York"/>
    <x v="2"/>
    <s v="Male"/>
  </r>
  <r>
    <s v="ORD-21434"/>
    <s v="CUST-5175"/>
    <d v="2023-09-18T00:00:00"/>
    <x v="3"/>
    <s v="Yoga Pants"/>
    <n v="44.99"/>
    <n v="2"/>
    <n v="10"/>
    <n v="40.49"/>
    <n v="80.98"/>
    <s v="UPI"/>
    <x v="0"/>
    <n v="5"/>
    <n v="65"/>
    <s v="New York"/>
    <x v="2"/>
    <s v="Male"/>
  </r>
  <r>
    <s v="ORD-21435"/>
    <s v="CUST-5175"/>
    <d v="2024-02-21T00:00:00"/>
    <x v="3"/>
    <s v="Cotton T-Shirt"/>
    <n v="24.99"/>
    <n v="4"/>
    <n v="0"/>
    <n v="24.99"/>
    <n v="99.96"/>
    <s v="Credit Card"/>
    <x v="0"/>
    <n v="4"/>
    <n v="65"/>
    <s v="New York"/>
    <x v="2"/>
    <s v="Male"/>
  </r>
  <r>
    <s v="ORD-21436"/>
    <s v="CUST-5175"/>
    <d v="2023-02-09T00:00:00"/>
    <x v="2"/>
    <s v="Air Fryer"/>
    <n v="89.99"/>
    <n v="4"/>
    <n v="5"/>
    <n v="85.49"/>
    <n v="341.96"/>
    <s v="Wallet"/>
    <x v="0"/>
    <n v="1"/>
    <n v="65"/>
    <s v="New York"/>
    <x v="2"/>
    <s v="Male"/>
  </r>
  <r>
    <s v="ORD-21437"/>
    <s v="CUST-5175"/>
    <d v="2023-05-27T00:00:00"/>
    <x v="2"/>
    <s v="Blender"/>
    <n v="64.989999999999995"/>
    <n v="3"/>
    <n v="15"/>
    <n v="55.24"/>
    <n v="165.72"/>
    <s v="Debit Card"/>
    <x v="0"/>
    <n v="4"/>
    <n v="65"/>
    <s v="New York"/>
    <x v="2"/>
    <s v="Male"/>
  </r>
  <r>
    <s v="ORD-21438"/>
    <s v="CUST-5176"/>
    <d v="2022-09-25T00:00:00"/>
    <x v="0"/>
    <s v="Data Science Handbook"/>
    <n v="49.99"/>
    <n v="2"/>
    <n v="0"/>
    <n v="49.99"/>
    <n v="99.98"/>
    <s v="Debit Card"/>
    <x v="0"/>
    <n v="4"/>
    <n v="22"/>
    <s v="San Antonio"/>
    <x v="2"/>
    <s v="Male"/>
  </r>
  <r>
    <s v="ORD-21439"/>
    <s v="CUST-5176"/>
    <d v="2022-10-01T00:00:00"/>
    <x v="6"/>
    <s v="Lip Balm Set"/>
    <n v="14.99"/>
    <n v="2"/>
    <n v="5"/>
    <n v="14.24"/>
    <n v="28.48"/>
    <s v="Wallet"/>
    <x v="0"/>
    <n v="5"/>
    <n v="22"/>
    <s v="San Antonio"/>
    <x v="2"/>
    <s v="Male"/>
  </r>
  <r>
    <s v="ORD-21440"/>
    <s v="CUST-5176"/>
    <d v="2022-04-05T00:00:00"/>
    <x v="0"/>
    <s v="Fiction Novel"/>
    <n v="14.99"/>
    <n v="1"/>
    <n v="20"/>
    <n v="11.99"/>
    <n v="11.99"/>
    <s v="PayPal"/>
    <x v="0"/>
    <n v="3"/>
    <n v="22"/>
    <s v="San Antonio"/>
    <x v="2"/>
    <s v="Male"/>
  </r>
  <r>
    <s v="ORD-21441"/>
    <s v="CUST-5176"/>
    <d v="2022-06-12T00:00:00"/>
    <x v="0"/>
    <s v="Python for Beginners"/>
    <n v="29.99"/>
    <n v="4"/>
    <n v="0"/>
    <n v="29.99"/>
    <n v="119.96"/>
    <s v="Debit Card"/>
    <x v="0"/>
    <n v="4"/>
    <n v="22"/>
    <s v="San Antonio"/>
    <x v="2"/>
    <s v="Male"/>
  </r>
  <r>
    <s v="ORD-21442"/>
    <s v="CUST-5176"/>
    <d v="2022-11-21T00:00:00"/>
    <x v="0"/>
    <s v="Python for Beginners"/>
    <n v="29.99"/>
    <n v="3"/>
    <n v="0"/>
    <n v="29.99"/>
    <n v="89.97"/>
    <s v="Debit Card"/>
    <x v="0"/>
    <n v="5"/>
    <n v="22"/>
    <s v="San Antonio"/>
    <x v="2"/>
    <s v="Male"/>
  </r>
  <r>
    <s v="ORD-21443"/>
    <s v="CUST-5176"/>
    <d v="2022-08-20T00:00:00"/>
    <x v="2"/>
    <s v="Air Fryer"/>
    <n v="89.99"/>
    <n v="1"/>
    <n v="0"/>
    <n v="89.99"/>
    <n v="89.99"/>
    <s v="Debit Card"/>
    <x v="0"/>
    <m/>
    <n v="22"/>
    <s v="San Antonio"/>
    <x v="2"/>
    <s v="Male"/>
  </r>
  <r>
    <s v="ORD-21444"/>
    <s v="CUST-5176"/>
    <d v="2022-12-15T00:00:00"/>
    <x v="5"/>
    <s v="Wireless Earbuds"/>
    <n v="79.989999999999995"/>
    <n v="2"/>
    <n v="0"/>
    <n v="79.989999999999995"/>
    <n v="159.97999999999999"/>
    <s v="Debit Card"/>
    <x v="0"/>
    <m/>
    <n v="22"/>
    <s v="San Antonio"/>
    <x v="2"/>
    <s v="Male"/>
  </r>
  <r>
    <s v="ORD-21445"/>
    <s v="CUST-5176"/>
    <d v="2023-08-18T00:00:00"/>
    <x v="6"/>
    <s v="Face Serum"/>
    <n v="39.99"/>
    <n v="2"/>
    <n v="15"/>
    <n v="33.99"/>
    <n v="67.98"/>
    <s v="Credit Card"/>
    <x v="0"/>
    <n v="3"/>
    <n v="22"/>
    <s v="San Antonio"/>
    <x v="2"/>
    <s v="Male"/>
  </r>
  <r>
    <s v="ORD-21446"/>
    <s v="CUST-5176"/>
    <d v="2022-07-09T00:00:00"/>
    <x v="1"/>
    <s v="Action Figure"/>
    <n v="19.989999999999998"/>
    <n v="3"/>
    <n v="5"/>
    <n v="18.989999999999998"/>
    <n v="56.97"/>
    <s v="Debit Card"/>
    <x v="0"/>
    <n v="5"/>
    <n v="22"/>
    <s v="San Antonio"/>
    <x v="2"/>
    <s v="Male"/>
  </r>
  <r>
    <s v="ORD-21447"/>
    <s v="CUST-5176"/>
    <d v="2022-03-16T00:00:00"/>
    <x v="1"/>
    <s v="LEGO Classic Set"/>
    <n v="49.99"/>
    <n v="4"/>
    <n v="0"/>
    <n v="49.99"/>
    <n v="199.96"/>
    <s v="Debit Card"/>
    <x v="0"/>
    <n v="4"/>
    <n v="22"/>
    <s v="San Antonio"/>
    <x v="2"/>
    <s v="Male"/>
  </r>
  <r>
    <s v="ORD-21448"/>
    <s v="CUST-5176"/>
    <d v="2022-01-08T00:00:00"/>
    <x v="5"/>
    <s v="USB-C Hub"/>
    <n v="34.99"/>
    <n v="2"/>
    <n v="5"/>
    <n v="33.24"/>
    <n v="66.48"/>
    <s v="Wallet"/>
    <x v="0"/>
    <m/>
    <n v="22"/>
    <s v="San Antonio"/>
    <x v="2"/>
    <s v="Male"/>
  </r>
  <r>
    <s v="ORD-21449"/>
    <s v="CUST-5176"/>
    <d v="2024-04-17T00:00:00"/>
    <x v="1"/>
    <s v="Action Figure"/>
    <n v="19.989999999999998"/>
    <n v="4"/>
    <n v="5"/>
    <n v="18.989999999999998"/>
    <n v="75.959999999999994"/>
    <s v="Credit Card"/>
    <x v="0"/>
    <n v="5"/>
    <n v="22"/>
    <s v="San Antonio"/>
    <x v="2"/>
    <s v="Male"/>
  </r>
  <r>
    <s v="ORD-21450"/>
    <s v="CUST-5177"/>
    <d v="2024-02-26T00:00:00"/>
    <x v="0"/>
    <s v="Fiction Novel"/>
    <n v="14.99"/>
    <n v="3"/>
    <n v="10"/>
    <n v="13.49"/>
    <n v="40.47"/>
    <s v="Wallet"/>
    <x v="0"/>
    <m/>
    <n v="55"/>
    <s v="Jacksonville"/>
    <x v="2"/>
    <s v="Female"/>
  </r>
  <r>
    <s v="ORD-21451"/>
    <s v="CUST-5177"/>
    <d v="2022-06-20T00:00:00"/>
    <x v="4"/>
    <s v="Jump Rope"/>
    <n v="14.99"/>
    <n v="3"/>
    <n v="10"/>
    <n v="13.49"/>
    <n v="40.47"/>
    <s v="Credit Card"/>
    <x v="0"/>
    <n v="3"/>
    <n v="55"/>
    <s v="Jacksonville"/>
    <x v="2"/>
    <s v="Female"/>
  </r>
  <r>
    <s v="ORD-21452"/>
    <s v="CUST-5177"/>
    <d v="2023-10-24T00:00:00"/>
    <x v="5"/>
    <s v="Smart Watch"/>
    <n v="199.99"/>
    <n v="3"/>
    <n v="5"/>
    <n v="189.99"/>
    <n v="569.97"/>
    <s v="Credit Card"/>
    <x v="0"/>
    <n v="5"/>
    <n v="55"/>
    <s v="Jacksonville"/>
    <x v="2"/>
    <s v="Female"/>
  </r>
  <r>
    <s v="ORD-21453"/>
    <s v="CUST-5177"/>
    <d v="2024-07-04T00:00:00"/>
    <x v="4"/>
    <s v="Jump Rope"/>
    <n v="14.99"/>
    <n v="4"/>
    <n v="0"/>
    <n v="14.99"/>
    <n v="59.96"/>
    <s v="Credit Card"/>
    <x v="0"/>
    <n v="4"/>
    <n v="55"/>
    <s v="Jacksonville"/>
    <x v="2"/>
    <s v="Female"/>
  </r>
  <r>
    <s v="ORD-21454"/>
    <s v="CUST-5177"/>
    <d v="2024-02-05T00:00:00"/>
    <x v="3"/>
    <s v="Running Shoes"/>
    <n v="89.99"/>
    <n v="1"/>
    <n v="0"/>
    <n v="89.99"/>
    <n v="89.99"/>
    <s v="PayPal"/>
    <x v="0"/>
    <n v="3"/>
    <n v="55"/>
    <s v="Jacksonville"/>
    <x v="2"/>
    <s v="Female"/>
  </r>
  <r>
    <s v="ORD-21455"/>
    <s v="CUST-5177"/>
    <d v="2024-11-12T00:00:00"/>
    <x v="2"/>
    <s v="Coffee Maker"/>
    <n v="59.99"/>
    <n v="1"/>
    <n v="0"/>
    <n v="59.99"/>
    <n v="59.99"/>
    <s v="Debit Card"/>
    <x v="0"/>
    <m/>
    <n v="55"/>
    <s v="Jacksonville"/>
    <x v="2"/>
    <s v="Female"/>
  </r>
  <r>
    <s v="ORD-21456"/>
    <s v="CUST-5177"/>
    <d v="2024-07-17T00:00:00"/>
    <x v="1"/>
    <s v="Action Figure"/>
    <n v="19.989999999999998"/>
    <n v="2"/>
    <n v="0"/>
    <n v="19.989999999999998"/>
    <n v="39.979999999999997"/>
    <s v="UPI"/>
    <x v="0"/>
    <n v="5"/>
    <n v="55"/>
    <s v="Jacksonville"/>
    <x v="2"/>
    <s v="Female"/>
  </r>
  <r>
    <s v="ORD-21457"/>
    <s v="CUST-5177"/>
    <d v="2022-04-07T00:00:00"/>
    <x v="2"/>
    <s v="Coffee Maker"/>
    <n v="59.99"/>
    <n v="4"/>
    <n v="0"/>
    <n v="59.99"/>
    <n v="239.96"/>
    <s v="PayPal"/>
    <x v="3"/>
    <n v="5"/>
    <n v="55"/>
    <s v="Jacksonville"/>
    <x v="2"/>
    <s v="Female"/>
  </r>
  <r>
    <s v="ORD-21458"/>
    <s v="CUST-5177"/>
    <d v="2022-11-11T00:00:00"/>
    <x v="1"/>
    <s v="Puzzle 1000pcs"/>
    <n v="24.99"/>
    <n v="1"/>
    <n v="0"/>
    <n v="24.99"/>
    <n v="24.99"/>
    <s v="Debit Card"/>
    <x v="0"/>
    <n v="3"/>
    <n v="55"/>
    <s v="Jacksonville"/>
    <x v="2"/>
    <s v="Female"/>
  </r>
  <r>
    <s v="ORD-21459"/>
    <s v="CUST-5177"/>
    <d v="2022-12-25T00:00:00"/>
    <x v="0"/>
    <s v="Python for Beginners"/>
    <n v="29.99"/>
    <n v="2"/>
    <n v="0"/>
    <n v="29.99"/>
    <n v="59.98"/>
    <s v="Wallet"/>
    <x v="1"/>
    <n v="5"/>
    <n v="55"/>
    <s v="Jacksonville"/>
    <x v="2"/>
    <s v="Female"/>
  </r>
  <r>
    <s v="ORD-21460"/>
    <s v="CUST-5177"/>
    <d v="2022-09-04T00:00:00"/>
    <x v="1"/>
    <s v="Remote Control Car"/>
    <n v="39.99"/>
    <n v="4"/>
    <n v="5"/>
    <n v="37.99"/>
    <n v="151.96"/>
    <s v="Debit Card"/>
    <x v="2"/>
    <n v="3"/>
    <n v="55"/>
    <s v="Jacksonville"/>
    <x v="2"/>
    <s v="Female"/>
  </r>
  <r>
    <s v="ORD-21461"/>
    <s v="CUST-5177"/>
    <d v="2024-11-05T00:00:00"/>
    <x v="4"/>
    <s v="Water Bottle"/>
    <n v="24.99"/>
    <n v="1"/>
    <n v="15"/>
    <n v="21.24"/>
    <n v="21.24"/>
    <s v="PayPal"/>
    <x v="2"/>
    <n v="5"/>
    <n v="55"/>
    <s v="Jacksonville"/>
    <x v="2"/>
    <s v="Female"/>
  </r>
  <r>
    <s v="ORD-21462"/>
    <s v="CUST-5177"/>
    <d v="2024-04-27T00:00:00"/>
    <x v="1"/>
    <s v="Action Figure"/>
    <n v="19.989999999999998"/>
    <n v="1"/>
    <n v="15"/>
    <n v="16.989999999999998"/>
    <n v="16.989999999999998"/>
    <s v="Debit Card"/>
    <x v="0"/>
    <n v="4"/>
    <n v="55"/>
    <s v="Jacksonville"/>
    <x v="2"/>
    <s v="Female"/>
  </r>
  <r>
    <s v="ORD-21463"/>
    <s v="CUST-5177"/>
    <d v="2024-10-09T00:00:00"/>
    <x v="4"/>
    <s v="Resistance Bands"/>
    <n v="19.989999999999998"/>
    <n v="1"/>
    <n v="0"/>
    <n v="19.989999999999998"/>
    <n v="19.989999999999998"/>
    <s v="Credit Card"/>
    <x v="0"/>
    <n v="3"/>
    <n v="55"/>
    <s v="Jacksonville"/>
    <x v="2"/>
    <s v="Female"/>
  </r>
  <r>
    <s v="ORD-21464"/>
    <s v="CUST-5178"/>
    <d v="2022-06-14T00:00:00"/>
    <x v="3"/>
    <s v="Yoga Pants"/>
    <n v="44.99"/>
    <n v="2"/>
    <n v="0"/>
    <n v="44.99"/>
    <n v="89.98"/>
    <s v="UPI"/>
    <x v="0"/>
    <n v="5"/>
    <n v="30"/>
    <s v="San Antonio"/>
    <x v="3"/>
    <s v="Male"/>
  </r>
  <r>
    <s v="ORD-21465"/>
    <s v="CUST-5178"/>
    <d v="2024-10-05T00:00:00"/>
    <x v="0"/>
    <s v="Business Analytics"/>
    <n v="39.99"/>
    <n v="3"/>
    <n v="10"/>
    <n v="35.99"/>
    <n v="107.97"/>
    <s v="Debit Card"/>
    <x v="0"/>
    <n v="4"/>
    <n v="30"/>
    <s v="San Antonio"/>
    <x v="3"/>
    <s v="Male"/>
  </r>
  <r>
    <s v="ORD-21466"/>
    <s v="CUST-5178"/>
    <d v="2022-04-18T00:00:00"/>
    <x v="1"/>
    <s v="LEGO Classic Set"/>
    <n v="49.99"/>
    <n v="3"/>
    <n v="0"/>
    <n v="49.99"/>
    <n v="149.97"/>
    <s v="PayPal"/>
    <x v="0"/>
    <m/>
    <n v="30"/>
    <s v="San Antonio"/>
    <x v="3"/>
    <s v="Male"/>
  </r>
  <r>
    <s v="ORD-21467"/>
    <s v="CUST-5178"/>
    <d v="2024-10-28T00:00:00"/>
    <x v="5"/>
    <s v="Smart Watch"/>
    <n v="199.99"/>
    <n v="2"/>
    <n v="10"/>
    <n v="179.99"/>
    <n v="359.98"/>
    <s v="Credit Card"/>
    <x v="0"/>
    <n v="5"/>
    <n v="30"/>
    <s v="San Antonio"/>
    <x v="3"/>
    <s v="Male"/>
  </r>
  <r>
    <s v="ORD-21468"/>
    <s v="CUST-5178"/>
    <d v="2024-11-19T00:00:00"/>
    <x v="5"/>
    <s v="Smart Watch"/>
    <n v="199.99"/>
    <n v="2"/>
    <n v="0"/>
    <n v="199.99"/>
    <n v="399.98"/>
    <s v="PayPal"/>
    <x v="0"/>
    <n v="4"/>
    <n v="30"/>
    <s v="San Antonio"/>
    <x v="3"/>
    <s v="Male"/>
  </r>
  <r>
    <s v="ORD-21469"/>
    <s v="CUST-5179"/>
    <d v="2024-09-04T00:00:00"/>
    <x v="1"/>
    <s v="Puzzle 1000pcs"/>
    <n v="24.99"/>
    <n v="2"/>
    <n v="5"/>
    <n v="23.74"/>
    <n v="47.48"/>
    <s v="UPI"/>
    <x v="0"/>
    <n v="5"/>
    <n v="46"/>
    <s v="Houston"/>
    <x v="2"/>
    <s v="Female"/>
  </r>
  <r>
    <s v="ORD-21470"/>
    <s v="CUST-5179"/>
    <d v="2023-05-24T00:00:00"/>
    <x v="4"/>
    <s v="Resistance Bands"/>
    <n v="19.989999999999998"/>
    <n v="1"/>
    <n v="20"/>
    <n v="15.99"/>
    <n v="15.99"/>
    <s v="UPI"/>
    <x v="0"/>
    <n v="5"/>
    <n v="46"/>
    <s v="Houston"/>
    <x v="2"/>
    <s v="Female"/>
  </r>
  <r>
    <s v="ORD-21471"/>
    <s v="CUST-5179"/>
    <d v="2022-01-12T00:00:00"/>
    <x v="5"/>
    <s v="Smart Watch"/>
    <n v="199.99"/>
    <n v="4"/>
    <n v="20"/>
    <n v="159.99"/>
    <n v="639.96"/>
    <s v="PayPal"/>
    <x v="0"/>
    <n v="5"/>
    <n v="46"/>
    <s v="Houston"/>
    <x v="2"/>
    <s v="Female"/>
  </r>
  <r>
    <s v="ORD-21472"/>
    <s v="CUST-5179"/>
    <d v="2023-10-15T00:00:00"/>
    <x v="6"/>
    <s v="Lip Balm Set"/>
    <n v="14.99"/>
    <n v="1"/>
    <n v="0"/>
    <n v="14.99"/>
    <n v="14.99"/>
    <s v="UPI"/>
    <x v="0"/>
    <m/>
    <n v="46"/>
    <s v="Houston"/>
    <x v="2"/>
    <s v="Female"/>
  </r>
  <r>
    <s v="ORD-21473"/>
    <s v="CUST-5179"/>
    <d v="2022-10-06T00:00:00"/>
    <x v="5"/>
    <s v="Bluetooth Speaker"/>
    <n v="49.99"/>
    <n v="4"/>
    <n v="0"/>
    <n v="49.99"/>
    <n v="199.96"/>
    <s v="UPI"/>
    <x v="2"/>
    <n v="3"/>
    <n v="46"/>
    <s v="Houston"/>
    <x v="2"/>
    <s v="Female"/>
  </r>
  <r>
    <s v="ORD-21474"/>
    <s v="CUST-5179"/>
    <d v="2022-01-16T00:00:00"/>
    <x v="1"/>
    <s v="Puzzle 1000pcs"/>
    <n v="24.99"/>
    <n v="2"/>
    <n v="0"/>
    <n v="24.99"/>
    <n v="49.98"/>
    <s v="Wallet"/>
    <x v="4"/>
    <m/>
    <n v="46"/>
    <s v="Houston"/>
    <x v="2"/>
    <s v="Female"/>
  </r>
  <r>
    <s v="ORD-21475"/>
    <s v="CUST-5180"/>
    <d v="2024-11-06T00:00:00"/>
    <x v="5"/>
    <s v="Smart Watch"/>
    <n v="199.99"/>
    <n v="4"/>
    <n v="5"/>
    <n v="189.99"/>
    <n v="759.96"/>
    <s v="PayPal"/>
    <x v="0"/>
    <n v="5"/>
    <n v="43"/>
    <s v="Philadelphia"/>
    <x v="1"/>
    <s v="Female"/>
  </r>
  <r>
    <s v="ORD-21476"/>
    <s v="CUST-5180"/>
    <d v="2022-11-17T00:00:00"/>
    <x v="3"/>
    <s v="Cotton T-Shirt"/>
    <n v="24.99"/>
    <n v="3"/>
    <n v="5"/>
    <n v="23.74"/>
    <n v="71.22"/>
    <s v="Credit Card"/>
    <x v="0"/>
    <n v="5"/>
    <n v="43"/>
    <s v="Philadelphia"/>
    <x v="1"/>
    <s v="Female"/>
  </r>
  <r>
    <s v="ORD-21477"/>
    <s v="CUST-5180"/>
    <d v="2024-10-06T00:00:00"/>
    <x v="5"/>
    <s v="USB-C Hub"/>
    <n v="34.99"/>
    <n v="4"/>
    <n v="0"/>
    <n v="34.99"/>
    <n v="139.96"/>
    <s v="Debit Card"/>
    <x v="0"/>
    <n v="2"/>
    <n v="43"/>
    <s v="Philadelphia"/>
    <x v="1"/>
    <s v="Female"/>
  </r>
  <r>
    <s v="ORD-21478"/>
    <s v="CUST-5180"/>
    <d v="2022-02-16T00:00:00"/>
    <x v="2"/>
    <s v="Non-stick Pan Set"/>
    <n v="44.99"/>
    <n v="2"/>
    <n v="20"/>
    <n v="35.99"/>
    <n v="71.98"/>
    <s v="UPI"/>
    <x v="0"/>
    <n v="4"/>
    <n v="43"/>
    <s v="Philadelphia"/>
    <x v="1"/>
    <s v="Female"/>
  </r>
  <r>
    <s v="ORD-21479"/>
    <s v="CUST-5180"/>
    <d v="2023-05-11T00:00:00"/>
    <x v="0"/>
    <s v="Fiction Novel"/>
    <n v="14.99"/>
    <n v="1"/>
    <n v="10"/>
    <n v="13.49"/>
    <n v="13.49"/>
    <s v="UPI"/>
    <x v="0"/>
    <n v="5"/>
    <n v="43"/>
    <s v="Philadelphia"/>
    <x v="1"/>
    <s v="Female"/>
  </r>
  <r>
    <s v="ORD-21480"/>
    <s v="CUST-5180"/>
    <d v="2023-09-26T00:00:00"/>
    <x v="0"/>
    <s v="Business Analytics"/>
    <n v="39.99"/>
    <n v="2"/>
    <n v="0"/>
    <n v="39.99"/>
    <n v="79.98"/>
    <s v="Debit Card"/>
    <x v="0"/>
    <n v="5"/>
    <n v="43"/>
    <s v="Philadelphia"/>
    <x v="1"/>
    <s v="Female"/>
  </r>
  <r>
    <s v="ORD-21481"/>
    <s v="CUST-5180"/>
    <d v="2022-12-13T00:00:00"/>
    <x v="0"/>
    <s v="Data Science Handbook"/>
    <n v="49.99"/>
    <n v="4"/>
    <n v="20"/>
    <n v="39.99"/>
    <n v="159.96"/>
    <s v="Debit Card"/>
    <x v="0"/>
    <n v="5"/>
    <n v="43"/>
    <s v="Philadelphia"/>
    <x v="1"/>
    <s v="Female"/>
  </r>
  <r>
    <s v="ORD-21482"/>
    <s v="CUST-5181"/>
    <d v="2022-01-27T00:00:00"/>
    <x v="2"/>
    <s v="Non-stick Pan Set"/>
    <n v="44.99"/>
    <n v="1"/>
    <n v="10"/>
    <n v="40.49"/>
    <n v="40.49"/>
    <s v="PayPal"/>
    <x v="0"/>
    <n v="2"/>
    <n v="21"/>
    <s v="Phoenix"/>
    <x v="2"/>
    <s v="Male"/>
  </r>
  <r>
    <s v="ORD-21483"/>
    <s v="CUST-5181"/>
    <d v="2024-06-16T00:00:00"/>
    <x v="0"/>
    <s v="Fiction Novel"/>
    <n v="14.99"/>
    <n v="1"/>
    <n v="20"/>
    <n v="11.99"/>
    <n v="11.99"/>
    <s v="UPI"/>
    <x v="0"/>
    <m/>
    <n v="21"/>
    <s v="Phoenix"/>
    <x v="2"/>
    <s v="Male"/>
  </r>
  <r>
    <s v="ORD-21484"/>
    <s v="CUST-5181"/>
    <d v="2022-08-13T00:00:00"/>
    <x v="4"/>
    <s v="Jump Rope"/>
    <n v="14.99"/>
    <n v="3"/>
    <n v="10"/>
    <n v="13.49"/>
    <n v="40.47"/>
    <s v="Debit Card"/>
    <x v="0"/>
    <n v="3"/>
    <n v="21"/>
    <s v="Phoenix"/>
    <x v="2"/>
    <s v="Male"/>
  </r>
  <r>
    <s v="ORD-21485"/>
    <s v="CUST-5181"/>
    <d v="2023-03-01T00:00:00"/>
    <x v="4"/>
    <s v="Water Bottle"/>
    <n v="24.99"/>
    <n v="1"/>
    <n v="20"/>
    <n v="19.989999999999998"/>
    <n v="19.989999999999998"/>
    <s v="Wallet"/>
    <x v="0"/>
    <m/>
    <n v="21"/>
    <s v="Phoenix"/>
    <x v="2"/>
    <s v="Male"/>
  </r>
  <r>
    <s v="ORD-21486"/>
    <s v="CUST-5181"/>
    <d v="2023-04-21T00:00:00"/>
    <x v="3"/>
    <s v="Denim Jacket"/>
    <n v="69.989999999999995"/>
    <n v="1"/>
    <n v="15"/>
    <n v="59.49"/>
    <n v="59.49"/>
    <s v="Debit Card"/>
    <x v="0"/>
    <n v="4"/>
    <n v="21"/>
    <s v="Phoenix"/>
    <x v="2"/>
    <s v="Male"/>
  </r>
  <r>
    <s v="ORD-21487"/>
    <s v="CUST-5181"/>
    <d v="2023-11-26T00:00:00"/>
    <x v="6"/>
    <s v="Face Serum"/>
    <n v="39.99"/>
    <n v="4"/>
    <n v="5"/>
    <n v="37.99"/>
    <n v="151.96"/>
    <s v="Debit Card"/>
    <x v="0"/>
    <n v="5"/>
    <n v="21"/>
    <s v="Phoenix"/>
    <x v="2"/>
    <s v="Male"/>
  </r>
  <r>
    <s v="ORD-21488"/>
    <s v="CUST-5181"/>
    <d v="2023-08-14T00:00:00"/>
    <x v="5"/>
    <s v="USB-C Hub"/>
    <n v="34.99"/>
    <n v="2"/>
    <n v="10"/>
    <n v="31.49"/>
    <n v="62.98"/>
    <s v="Wallet"/>
    <x v="0"/>
    <m/>
    <n v="21"/>
    <s v="Phoenix"/>
    <x v="2"/>
    <s v="Male"/>
  </r>
  <r>
    <s v="ORD-21489"/>
    <s v="CUST-5181"/>
    <d v="2024-07-06T00:00:00"/>
    <x v="4"/>
    <s v="Jump Rope"/>
    <n v="14.99"/>
    <n v="4"/>
    <n v="15"/>
    <n v="12.74"/>
    <n v="50.96"/>
    <s v="Debit Card"/>
    <x v="0"/>
    <n v="4"/>
    <n v="21"/>
    <s v="Phoenix"/>
    <x v="2"/>
    <s v="Male"/>
  </r>
  <r>
    <s v="ORD-21490"/>
    <s v="CUST-5181"/>
    <d v="2024-01-09T00:00:00"/>
    <x v="2"/>
    <s v="Blender"/>
    <n v="64.989999999999995"/>
    <n v="1"/>
    <n v="0"/>
    <n v="64.989999999999995"/>
    <n v="64.989999999999995"/>
    <s v="Wallet"/>
    <x v="0"/>
    <n v="5"/>
    <n v="21"/>
    <s v="Phoenix"/>
    <x v="2"/>
    <s v="Male"/>
  </r>
  <r>
    <s v="ORD-21491"/>
    <s v="CUST-5181"/>
    <d v="2022-12-14T00:00:00"/>
    <x v="4"/>
    <s v="Yoga Mat"/>
    <n v="29.99"/>
    <n v="2"/>
    <n v="0"/>
    <n v="29.99"/>
    <n v="59.98"/>
    <s v="Credit Card"/>
    <x v="0"/>
    <n v="2"/>
    <n v="21"/>
    <s v="Phoenix"/>
    <x v="2"/>
    <s v="Male"/>
  </r>
  <r>
    <s v="ORD-21492"/>
    <s v="CUST-5181"/>
    <d v="2022-11-25T00:00:00"/>
    <x v="2"/>
    <s v="Blender"/>
    <n v="64.989999999999995"/>
    <n v="4"/>
    <n v="15"/>
    <n v="55.24"/>
    <n v="220.96"/>
    <s v="Credit Card"/>
    <x v="2"/>
    <n v="4"/>
    <n v="21"/>
    <s v="Phoenix"/>
    <x v="2"/>
    <s v="Male"/>
  </r>
  <r>
    <s v="ORD-21493"/>
    <s v="CUST-5181"/>
    <d v="2024-03-23T00:00:00"/>
    <x v="6"/>
    <s v="Face Serum"/>
    <n v="39.99"/>
    <n v="1"/>
    <n v="0"/>
    <n v="39.99"/>
    <n v="39.99"/>
    <s v="Wallet"/>
    <x v="0"/>
    <m/>
    <n v="21"/>
    <s v="Phoenix"/>
    <x v="2"/>
    <s v="Male"/>
  </r>
  <r>
    <s v="ORD-21494"/>
    <s v="CUST-5181"/>
    <d v="2023-11-13T00:00:00"/>
    <x v="6"/>
    <s v="Face Serum"/>
    <n v="39.99"/>
    <n v="4"/>
    <n v="0"/>
    <n v="39.99"/>
    <n v="159.96"/>
    <s v="PayPal"/>
    <x v="2"/>
    <n v="1"/>
    <n v="21"/>
    <s v="Phoenix"/>
    <x v="2"/>
    <s v="Male"/>
  </r>
  <r>
    <s v="ORD-21495"/>
    <s v="CUST-5181"/>
    <d v="2022-12-01T00:00:00"/>
    <x v="4"/>
    <s v="Jump Rope"/>
    <n v="14.99"/>
    <n v="1"/>
    <n v="15"/>
    <n v="12.74"/>
    <n v="12.74"/>
    <s v="Credit Card"/>
    <x v="0"/>
    <m/>
    <n v="21"/>
    <s v="Phoenix"/>
    <x v="2"/>
    <s v="Male"/>
  </r>
  <r>
    <s v="ORD-21496"/>
    <s v="CUST-5182"/>
    <d v="2023-10-25T00:00:00"/>
    <x v="3"/>
    <s v="Yoga Pants"/>
    <n v="44.99"/>
    <n v="4"/>
    <n v="0"/>
    <n v="44.99"/>
    <n v="179.96"/>
    <s v="Wallet"/>
    <x v="0"/>
    <n v="4"/>
    <n v="41"/>
    <s v="Austin"/>
    <x v="2"/>
    <s v="Male"/>
  </r>
  <r>
    <s v="ORD-21497"/>
    <s v="CUST-5182"/>
    <d v="2022-08-01T00:00:00"/>
    <x v="2"/>
    <s v="Non-stick Pan Set"/>
    <n v="44.99"/>
    <n v="3"/>
    <n v="5"/>
    <n v="42.74"/>
    <n v="128.22"/>
    <s v="Credit Card"/>
    <x v="0"/>
    <n v="4"/>
    <n v="41"/>
    <s v="Austin"/>
    <x v="2"/>
    <s v="Male"/>
  </r>
  <r>
    <s v="ORD-21498"/>
    <s v="CUST-5182"/>
    <d v="2022-10-19T00:00:00"/>
    <x v="4"/>
    <s v="Yoga Mat"/>
    <n v="29.99"/>
    <n v="2"/>
    <n v="0"/>
    <n v="29.99"/>
    <n v="59.98"/>
    <s v="Credit Card"/>
    <x v="0"/>
    <n v="5"/>
    <n v="41"/>
    <s v="Austin"/>
    <x v="2"/>
    <s v="Male"/>
  </r>
  <r>
    <s v="ORD-21499"/>
    <s v="CUST-5182"/>
    <d v="2024-01-12T00:00:00"/>
    <x v="5"/>
    <s v="Smart Watch"/>
    <n v="199.99"/>
    <n v="4"/>
    <n v="0"/>
    <n v="199.99"/>
    <n v="799.96"/>
    <s v="Debit Card"/>
    <x v="0"/>
    <m/>
    <n v="41"/>
    <s v="Austin"/>
    <x v="2"/>
    <s v="Male"/>
  </r>
  <r>
    <s v="ORD-21500"/>
    <s v="CUST-5182"/>
    <d v="2024-03-21T00:00:00"/>
    <x v="3"/>
    <s v="Denim Jacket"/>
    <n v="69.989999999999995"/>
    <n v="1"/>
    <n v="15"/>
    <n v="59.49"/>
    <n v="59.49"/>
    <s v="Debit Card"/>
    <x v="0"/>
    <n v="4"/>
    <n v="41"/>
    <s v="Austin"/>
    <x v="2"/>
    <s v="Male"/>
  </r>
  <r>
    <s v="ORD-21501"/>
    <s v="CUST-5182"/>
    <d v="2022-11-06T00:00:00"/>
    <x v="3"/>
    <s v="Denim Jacket"/>
    <n v="69.989999999999995"/>
    <n v="1"/>
    <n v="10"/>
    <n v="62.99"/>
    <n v="62.99"/>
    <s v="Credit Card"/>
    <x v="0"/>
    <m/>
    <n v="41"/>
    <s v="Austin"/>
    <x v="2"/>
    <s v="Male"/>
  </r>
  <r>
    <s v="ORD-21502"/>
    <s v="CUST-5182"/>
    <d v="2024-06-21T00:00:00"/>
    <x v="3"/>
    <s v="Running Shoes"/>
    <n v="89.99"/>
    <n v="1"/>
    <n v="5"/>
    <n v="85.49"/>
    <n v="85.49"/>
    <s v="UPI"/>
    <x v="4"/>
    <m/>
    <n v="41"/>
    <s v="Austin"/>
    <x v="2"/>
    <s v="Male"/>
  </r>
  <r>
    <s v="ORD-21503"/>
    <s v="CUST-5182"/>
    <d v="2022-10-16T00:00:00"/>
    <x v="2"/>
    <s v="Air Fryer"/>
    <n v="89.99"/>
    <n v="2"/>
    <n v="15"/>
    <n v="76.489999999999995"/>
    <n v="152.97999999999999"/>
    <s v="PayPal"/>
    <x v="0"/>
    <m/>
    <n v="41"/>
    <s v="Austin"/>
    <x v="2"/>
    <s v="Male"/>
  </r>
  <r>
    <s v="ORD-21504"/>
    <s v="CUST-5182"/>
    <d v="2022-01-14T00:00:00"/>
    <x v="0"/>
    <s v="Python for Beginners"/>
    <n v="29.99"/>
    <n v="1"/>
    <n v="0"/>
    <n v="29.99"/>
    <n v="29.99"/>
    <s v="PayPal"/>
    <x v="0"/>
    <m/>
    <n v="41"/>
    <s v="Austin"/>
    <x v="2"/>
    <s v="Male"/>
  </r>
  <r>
    <s v="ORD-21505"/>
    <s v="CUST-5182"/>
    <d v="2024-12-24T00:00:00"/>
    <x v="3"/>
    <s v="Cotton T-Shirt"/>
    <n v="24.99"/>
    <n v="2"/>
    <n v="10"/>
    <n v="22.49"/>
    <n v="44.98"/>
    <s v="Debit Card"/>
    <x v="4"/>
    <m/>
    <n v="41"/>
    <s v="Austin"/>
    <x v="2"/>
    <s v="Male"/>
  </r>
  <r>
    <s v="ORD-21506"/>
    <s v="CUST-5182"/>
    <d v="2023-06-27T00:00:00"/>
    <x v="0"/>
    <s v="Business Analytics"/>
    <n v="39.99"/>
    <n v="4"/>
    <n v="20"/>
    <n v="31.99"/>
    <n v="127.96"/>
    <s v="Credit Card"/>
    <x v="3"/>
    <n v="4"/>
    <n v="41"/>
    <s v="Austin"/>
    <x v="2"/>
    <s v="Male"/>
  </r>
  <r>
    <s v="ORD-21507"/>
    <s v="CUST-5182"/>
    <d v="2022-12-27T00:00:00"/>
    <x v="3"/>
    <s v="Denim Jacket"/>
    <n v="69.989999999999995"/>
    <n v="3"/>
    <n v="15"/>
    <n v="59.49"/>
    <n v="178.47"/>
    <s v="Debit Card"/>
    <x v="0"/>
    <m/>
    <n v="41"/>
    <s v="Austin"/>
    <x v="2"/>
    <s v="Male"/>
  </r>
  <r>
    <s v="ORD-21508"/>
    <s v="CUST-5182"/>
    <d v="2023-06-25T00:00:00"/>
    <x v="6"/>
    <s v="Moisturizer SPF 50"/>
    <n v="29.99"/>
    <n v="3"/>
    <n v="0"/>
    <n v="29.99"/>
    <n v="89.97"/>
    <s v="PayPal"/>
    <x v="0"/>
    <n v="5"/>
    <n v="41"/>
    <s v="Austin"/>
    <x v="2"/>
    <s v="Male"/>
  </r>
  <r>
    <s v="ORD-21509"/>
    <s v="CUST-5182"/>
    <d v="2023-08-14T00:00:00"/>
    <x v="0"/>
    <s v="Python for Beginners"/>
    <n v="29.99"/>
    <n v="1"/>
    <n v="0"/>
    <n v="29.99"/>
    <n v="29.99"/>
    <s v="UPI"/>
    <x v="0"/>
    <n v="3"/>
    <n v="41"/>
    <s v="Austin"/>
    <x v="2"/>
    <s v="Male"/>
  </r>
  <r>
    <s v="ORD-21510"/>
    <s v="CUST-5182"/>
    <d v="2022-10-01T00:00:00"/>
    <x v="1"/>
    <s v="Action Figure"/>
    <n v="19.989999999999998"/>
    <n v="4"/>
    <n v="0"/>
    <n v="19.989999999999998"/>
    <n v="79.959999999999994"/>
    <s v="Wallet"/>
    <x v="0"/>
    <n v="5"/>
    <n v="41"/>
    <s v="Austin"/>
    <x v="2"/>
    <s v="Male"/>
  </r>
  <r>
    <s v="ORD-21511"/>
    <s v="CUST-5183"/>
    <d v="2023-03-10T00:00:00"/>
    <x v="6"/>
    <s v="Hair Mask"/>
    <n v="24.99"/>
    <n v="2"/>
    <n v="0"/>
    <n v="24.99"/>
    <n v="49.98"/>
    <s v="UPI"/>
    <x v="0"/>
    <n v="3"/>
    <n v="60"/>
    <s v="Jacksonville"/>
    <x v="0"/>
    <s v="Female"/>
  </r>
  <r>
    <s v="ORD-21512"/>
    <s v="CUST-5183"/>
    <d v="2023-12-12T00:00:00"/>
    <x v="5"/>
    <s v="Smart Watch"/>
    <n v="199.99"/>
    <n v="1"/>
    <n v="10"/>
    <n v="179.99"/>
    <n v="179.99"/>
    <s v="Wallet"/>
    <x v="0"/>
    <n v="4"/>
    <n v="60"/>
    <s v="Jacksonville"/>
    <x v="0"/>
    <s v="Female"/>
  </r>
  <r>
    <s v="ORD-21513"/>
    <s v="CUST-5183"/>
    <d v="2022-10-22T00:00:00"/>
    <x v="1"/>
    <s v="Puzzle 1000pcs"/>
    <n v="24.99"/>
    <n v="4"/>
    <n v="5"/>
    <n v="23.74"/>
    <n v="94.96"/>
    <s v="UPI"/>
    <x v="0"/>
    <n v="4"/>
    <n v="60"/>
    <s v="Jacksonville"/>
    <x v="0"/>
    <s v="Female"/>
  </r>
  <r>
    <s v="ORD-21514"/>
    <s v="CUST-5183"/>
    <d v="2023-02-14T00:00:00"/>
    <x v="3"/>
    <s v="Cotton T-Shirt"/>
    <n v="24.99"/>
    <n v="2"/>
    <n v="0"/>
    <n v="24.99"/>
    <n v="49.98"/>
    <s v="UPI"/>
    <x v="0"/>
    <m/>
    <n v="60"/>
    <s v="Jacksonville"/>
    <x v="0"/>
    <s v="Female"/>
  </r>
  <r>
    <s v="ORD-21515"/>
    <s v="CUST-5183"/>
    <d v="2023-02-23T00:00:00"/>
    <x v="1"/>
    <s v="Remote Control Car"/>
    <n v="39.99"/>
    <n v="3"/>
    <n v="15"/>
    <n v="33.99"/>
    <n v="101.97"/>
    <s v="Wallet"/>
    <x v="0"/>
    <n v="4"/>
    <n v="60"/>
    <s v="Jacksonville"/>
    <x v="0"/>
    <s v="Female"/>
  </r>
  <r>
    <s v="ORD-21516"/>
    <s v="CUST-5183"/>
    <d v="2024-04-23T00:00:00"/>
    <x v="6"/>
    <s v="Face Serum"/>
    <n v="39.99"/>
    <n v="1"/>
    <n v="0"/>
    <n v="39.99"/>
    <n v="39.99"/>
    <s v="Credit Card"/>
    <x v="0"/>
    <n v="5"/>
    <n v="60"/>
    <s v="Jacksonville"/>
    <x v="0"/>
    <s v="Female"/>
  </r>
  <r>
    <s v="ORD-21517"/>
    <s v="CUST-5184"/>
    <d v="2022-02-15T00:00:00"/>
    <x v="2"/>
    <s v="Non-stick Pan Set"/>
    <n v="44.99"/>
    <n v="4"/>
    <n v="20"/>
    <n v="35.99"/>
    <n v="143.96"/>
    <s v="Debit Card"/>
    <x v="0"/>
    <n v="4"/>
    <n v="28"/>
    <s v="Los Angeles"/>
    <x v="2"/>
    <s v="Female"/>
  </r>
  <r>
    <s v="ORD-21518"/>
    <s v="CUST-5184"/>
    <d v="2023-02-12T00:00:00"/>
    <x v="2"/>
    <s v="Coffee Maker"/>
    <n v="59.99"/>
    <n v="3"/>
    <n v="5"/>
    <n v="56.99"/>
    <n v="170.97"/>
    <s v="Wallet"/>
    <x v="4"/>
    <n v="5"/>
    <n v="28"/>
    <s v="Los Angeles"/>
    <x v="2"/>
    <s v="Female"/>
  </r>
  <r>
    <s v="ORD-21519"/>
    <s v="CUST-5184"/>
    <d v="2022-03-03T00:00:00"/>
    <x v="5"/>
    <s v="Wireless Earbuds"/>
    <n v="79.989999999999995"/>
    <n v="1"/>
    <n v="10"/>
    <n v="71.989999999999995"/>
    <n v="71.989999999999995"/>
    <s v="PayPal"/>
    <x v="0"/>
    <n v="4"/>
    <n v="28"/>
    <s v="Los Angeles"/>
    <x v="2"/>
    <s v="Female"/>
  </r>
  <r>
    <s v="ORD-21520"/>
    <s v="CUST-5184"/>
    <d v="2024-04-19T00:00:00"/>
    <x v="2"/>
    <s v="Non-stick Pan Set"/>
    <n v="44.99"/>
    <n v="2"/>
    <n v="20"/>
    <n v="35.99"/>
    <n v="71.98"/>
    <s v="Credit Card"/>
    <x v="0"/>
    <m/>
    <n v="28"/>
    <s v="Los Angeles"/>
    <x v="2"/>
    <s v="Female"/>
  </r>
  <r>
    <s v="ORD-21521"/>
    <s v="CUST-5185"/>
    <d v="2024-02-19T00:00:00"/>
    <x v="6"/>
    <s v="Lip Balm Set"/>
    <n v="14.99"/>
    <n v="3"/>
    <n v="15"/>
    <n v="12.74"/>
    <n v="38.22"/>
    <s v="Wallet"/>
    <x v="0"/>
    <m/>
    <n v="21"/>
    <s v="San Jose"/>
    <x v="1"/>
    <s v="Female"/>
  </r>
  <r>
    <s v="ORD-21522"/>
    <s v="CUST-5185"/>
    <d v="2023-04-19T00:00:00"/>
    <x v="0"/>
    <s v="Data Science Handbook"/>
    <n v="49.99"/>
    <n v="3"/>
    <n v="0"/>
    <n v="49.99"/>
    <n v="149.97"/>
    <s v="Debit Card"/>
    <x v="0"/>
    <n v="3"/>
    <n v="21"/>
    <s v="San Jose"/>
    <x v="1"/>
    <s v="Female"/>
  </r>
  <r>
    <s v="ORD-21523"/>
    <s v="CUST-5185"/>
    <d v="2022-01-15T00:00:00"/>
    <x v="2"/>
    <s v="Non-stick Pan Set"/>
    <n v="44.99"/>
    <n v="1"/>
    <n v="20"/>
    <n v="35.99"/>
    <n v="35.99"/>
    <s v="Wallet"/>
    <x v="0"/>
    <m/>
    <n v="21"/>
    <s v="San Jose"/>
    <x v="1"/>
    <s v="Female"/>
  </r>
  <r>
    <s v="ORD-21524"/>
    <s v="CUST-5185"/>
    <d v="2022-09-10T00:00:00"/>
    <x v="1"/>
    <s v="Action Figure"/>
    <n v="19.989999999999998"/>
    <n v="3"/>
    <n v="5"/>
    <n v="18.989999999999998"/>
    <n v="56.97"/>
    <s v="Wallet"/>
    <x v="0"/>
    <m/>
    <n v="21"/>
    <s v="San Jose"/>
    <x v="1"/>
    <s v="Female"/>
  </r>
  <r>
    <s v="ORD-21525"/>
    <s v="CUST-5185"/>
    <d v="2022-05-22T00:00:00"/>
    <x v="5"/>
    <s v="Wireless Earbuds"/>
    <n v="79.989999999999995"/>
    <n v="4"/>
    <n v="0"/>
    <n v="79.989999999999995"/>
    <n v="319.95999999999998"/>
    <s v="UPI"/>
    <x v="0"/>
    <m/>
    <n v="21"/>
    <s v="San Jose"/>
    <x v="1"/>
    <s v="Female"/>
  </r>
  <r>
    <s v="ORD-21526"/>
    <s v="CUST-5185"/>
    <d v="2022-04-25T00:00:00"/>
    <x v="4"/>
    <s v="Jump Rope"/>
    <n v="14.99"/>
    <n v="3"/>
    <n v="5"/>
    <n v="14.24"/>
    <n v="42.72"/>
    <s v="Credit Card"/>
    <x v="0"/>
    <n v="4"/>
    <n v="21"/>
    <s v="San Jose"/>
    <x v="1"/>
    <s v="Female"/>
  </r>
  <r>
    <s v="ORD-21527"/>
    <s v="CUST-5185"/>
    <d v="2023-09-15T00:00:00"/>
    <x v="0"/>
    <s v="Python for Beginners"/>
    <n v="29.99"/>
    <n v="4"/>
    <n v="5"/>
    <n v="28.49"/>
    <n v="113.96"/>
    <s v="UPI"/>
    <x v="0"/>
    <n v="4"/>
    <n v="21"/>
    <s v="San Jose"/>
    <x v="1"/>
    <s v="Female"/>
  </r>
  <r>
    <s v="ORD-21528"/>
    <s v="CUST-5185"/>
    <d v="2022-06-19T00:00:00"/>
    <x v="1"/>
    <s v="Remote Control Car"/>
    <n v="39.99"/>
    <n v="2"/>
    <n v="20"/>
    <n v="31.99"/>
    <n v="63.98"/>
    <s v="Wallet"/>
    <x v="0"/>
    <n v="5"/>
    <n v="21"/>
    <s v="San Jose"/>
    <x v="1"/>
    <s v="Female"/>
  </r>
  <r>
    <s v="ORD-21529"/>
    <s v="CUST-5185"/>
    <d v="2022-12-23T00:00:00"/>
    <x v="2"/>
    <s v="Blender"/>
    <n v="64.989999999999995"/>
    <n v="1"/>
    <n v="10"/>
    <n v="58.49"/>
    <n v="58.49"/>
    <s v="Wallet"/>
    <x v="0"/>
    <m/>
    <n v="21"/>
    <s v="San Jose"/>
    <x v="1"/>
    <s v="Female"/>
  </r>
  <r>
    <s v="ORD-21530"/>
    <s v="CUST-5185"/>
    <d v="2024-08-18T00:00:00"/>
    <x v="4"/>
    <s v="Yoga Mat"/>
    <n v="29.99"/>
    <n v="4"/>
    <n v="0"/>
    <n v="29.99"/>
    <n v="119.96"/>
    <s v="Debit Card"/>
    <x v="4"/>
    <n v="4"/>
    <n v="21"/>
    <s v="San Jose"/>
    <x v="1"/>
    <s v="Female"/>
  </r>
  <r>
    <s v="ORD-21531"/>
    <s v="CUST-5185"/>
    <d v="2022-08-24T00:00:00"/>
    <x v="4"/>
    <s v="Jump Rope"/>
    <n v="14.99"/>
    <n v="2"/>
    <n v="5"/>
    <n v="14.24"/>
    <n v="28.48"/>
    <s v="Credit Card"/>
    <x v="0"/>
    <n v="5"/>
    <n v="21"/>
    <s v="San Jose"/>
    <x v="1"/>
    <s v="Female"/>
  </r>
  <r>
    <s v="ORD-21532"/>
    <s v="CUST-5185"/>
    <d v="2022-07-17T00:00:00"/>
    <x v="2"/>
    <s v="Blender"/>
    <n v="64.989999999999995"/>
    <n v="1"/>
    <n v="0"/>
    <n v="64.989999999999995"/>
    <n v="64.989999999999995"/>
    <s v="Debit Card"/>
    <x v="0"/>
    <n v="3"/>
    <n v="21"/>
    <s v="San Jose"/>
    <x v="1"/>
    <s v="Female"/>
  </r>
  <r>
    <s v="ORD-21533"/>
    <s v="CUST-5185"/>
    <d v="2022-08-20T00:00:00"/>
    <x v="3"/>
    <s v="Running Shoes"/>
    <n v="89.99"/>
    <n v="4"/>
    <n v="10"/>
    <n v="80.989999999999995"/>
    <n v="323.95999999999998"/>
    <s v="UPI"/>
    <x v="0"/>
    <m/>
    <n v="21"/>
    <s v="San Jose"/>
    <x v="1"/>
    <s v="Female"/>
  </r>
  <r>
    <s v="ORD-21534"/>
    <s v="CUST-5186"/>
    <d v="2024-09-11T00:00:00"/>
    <x v="0"/>
    <s v="Data Science Handbook"/>
    <n v="49.99"/>
    <n v="3"/>
    <n v="0"/>
    <n v="49.99"/>
    <n v="149.97"/>
    <s v="Wallet"/>
    <x v="2"/>
    <n v="5"/>
    <n v="33"/>
    <s v="Phoenix"/>
    <x v="3"/>
    <s v="Male"/>
  </r>
  <r>
    <s v="ORD-21535"/>
    <s v="CUST-5186"/>
    <d v="2023-05-18T00:00:00"/>
    <x v="0"/>
    <s v="Python for Beginners"/>
    <n v="29.99"/>
    <n v="2"/>
    <n v="0"/>
    <n v="29.99"/>
    <n v="59.98"/>
    <s v="PayPal"/>
    <x v="0"/>
    <n v="5"/>
    <n v="33"/>
    <s v="Phoenix"/>
    <x v="3"/>
    <s v="Male"/>
  </r>
  <r>
    <s v="ORD-21536"/>
    <s v="CUST-5186"/>
    <d v="2023-03-13T00:00:00"/>
    <x v="2"/>
    <s v="Non-stick Pan Set"/>
    <n v="44.99"/>
    <n v="1"/>
    <n v="5"/>
    <n v="42.74"/>
    <n v="42.74"/>
    <s v="Credit Card"/>
    <x v="0"/>
    <n v="4"/>
    <n v="33"/>
    <s v="Phoenix"/>
    <x v="3"/>
    <s v="Male"/>
  </r>
  <r>
    <s v="ORD-21537"/>
    <s v="CUST-5186"/>
    <d v="2022-04-27T00:00:00"/>
    <x v="1"/>
    <s v="Action Figure"/>
    <n v="19.989999999999998"/>
    <n v="2"/>
    <n v="0"/>
    <n v="19.989999999999998"/>
    <n v="39.979999999999997"/>
    <s v="PayPal"/>
    <x v="0"/>
    <n v="5"/>
    <n v="33"/>
    <s v="Phoenix"/>
    <x v="3"/>
    <s v="Male"/>
  </r>
  <r>
    <s v="ORD-21538"/>
    <s v="CUST-5186"/>
    <d v="2024-07-17T00:00:00"/>
    <x v="0"/>
    <s v="Python for Beginners"/>
    <n v="29.99"/>
    <n v="4"/>
    <n v="10"/>
    <n v="26.99"/>
    <n v="107.96"/>
    <s v="PayPal"/>
    <x v="0"/>
    <m/>
    <n v="33"/>
    <s v="Phoenix"/>
    <x v="3"/>
    <s v="Male"/>
  </r>
  <r>
    <s v="ORD-21539"/>
    <s v="CUST-5186"/>
    <d v="2024-05-14T00:00:00"/>
    <x v="0"/>
    <s v="Fiction Novel"/>
    <n v="14.99"/>
    <n v="3"/>
    <n v="20"/>
    <n v="11.99"/>
    <n v="35.97"/>
    <s v="Credit Card"/>
    <x v="0"/>
    <n v="4"/>
    <n v="33"/>
    <s v="Phoenix"/>
    <x v="3"/>
    <s v="Male"/>
  </r>
  <r>
    <s v="ORD-21540"/>
    <s v="CUST-5187"/>
    <d v="2024-04-05T00:00:00"/>
    <x v="3"/>
    <s v="Cotton T-Shirt"/>
    <n v="24.99"/>
    <n v="4"/>
    <n v="0"/>
    <n v="24.99"/>
    <n v="99.96"/>
    <s v="Wallet"/>
    <x v="0"/>
    <n v="4"/>
    <n v="61"/>
    <s v="San Jose"/>
    <x v="2"/>
    <s v="Female"/>
  </r>
  <r>
    <s v="ORD-21541"/>
    <s v="CUST-5187"/>
    <d v="2023-10-04T00:00:00"/>
    <x v="2"/>
    <s v="Non-stick Pan Set"/>
    <n v="44.99"/>
    <n v="2"/>
    <n v="20"/>
    <n v="35.99"/>
    <n v="71.98"/>
    <s v="PayPal"/>
    <x v="0"/>
    <m/>
    <n v="61"/>
    <s v="San Jose"/>
    <x v="2"/>
    <s v="Female"/>
  </r>
  <r>
    <s v="ORD-21542"/>
    <s v="CUST-5187"/>
    <d v="2022-12-01T00:00:00"/>
    <x v="5"/>
    <s v="Bluetooth Speaker"/>
    <n v="49.99"/>
    <n v="4"/>
    <n v="20"/>
    <n v="39.99"/>
    <n v="159.96"/>
    <s v="Wallet"/>
    <x v="0"/>
    <n v="3"/>
    <n v="61"/>
    <s v="San Jose"/>
    <x v="2"/>
    <s v="Female"/>
  </r>
  <r>
    <s v="ORD-21543"/>
    <s v="CUST-5187"/>
    <d v="2022-07-01T00:00:00"/>
    <x v="6"/>
    <s v="Face Serum"/>
    <n v="39.99"/>
    <n v="2"/>
    <n v="15"/>
    <n v="33.99"/>
    <n v="67.98"/>
    <s v="PayPal"/>
    <x v="0"/>
    <m/>
    <n v="61"/>
    <s v="San Jose"/>
    <x v="2"/>
    <s v="Female"/>
  </r>
  <r>
    <s v="ORD-21544"/>
    <s v="CUST-5187"/>
    <d v="2023-08-23T00:00:00"/>
    <x v="2"/>
    <s v="Non-stick Pan Set"/>
    <n v="44.99"/>
    <n v="4"/>
    <n v="0"/>
    <n v="44.99"/>
    <n v="179.96"/>
    <s v="UPI"/>
    <x v="2"/>
    <m/>
    <n v="61"/>
    <s v="San Jose"/>
    <x v="2"/>
    <s v="Female"/>
  </r>
  <r>
    <s v="ORD-21545"/>
    <s v="CUST-5187"/>
    <d v="2024-07-10T00:00:00"/>
    <x v="1"/>
    <s v="Puzzle 1000pcs"/>
    <n v="24.99"/>
    <n v="1"/>
    <n v="5"/>
    <n v="23.74"/>
    <n v="23.74"/>
    <s v="Debit Card"/>
    <x v="0"/>
    <n v="5"/>
    <n v="61"/>
    <s v="San Jose"/>
    <x v="2"/>
    <s v="Female"/>
  </r>
  <r>
    <s v="ORD-21546"/>
    <s v="CUST-5187"/>
    <d v="2023-03-09T00:00:00"/>
    <x v="0"/>
    <s v="Fiction Novel"/>
    <n v="14.99"/>
    <n v="3"/>
    <n v="0"/>
    <n v="14.99"/>
    <n v="44.97"/>
    <s v="UPI"/>
    <x v="0"/>
    <n v="5"/>
    <n v="61"/>
    <s v="San Jose"/>
    <x v="2"/>
    <s v="Female"/>
  </r>
  <r>
    <s v="ORD-21547"/>
    <s v="CUST-5187"/>
    <d v="2024-06-03T00:00:00"/>
    <x v="5"/>
    <s v="USB-C Hub"/>
    <n v="34.99"/>
    <n v="3"/>
    <n v="20"/>
    <n v="27.99"/>
    <n v="83.97"/>
    <s v="Wallet"/>
    <x v="0"/>
    <n v="5"/>
    <n v="61"/>
    <s v="San Jose"/>
    <x v="2"/>
    <s v="Female"/>
  </r>
  <r>
    <s v="ORD-21548"/>
    <s v="CUST-5187"/>
    <d v="2023-03-15T00:00:00"/>
    <x v="5"/>
    <s v="Smart Watch"/>
    <n v="199.99"/>
    <n v="3"/>
    <n v="10"/>
    <n v="179.99"/>
    <n v="539.97"/>
    <s v="Credit Card"/>
    <x v="0"/>
    <m/>
    <n v="61"/>
    <s v="San Jose"/>
    <x v="2"/>
    <s v="Female"/>
  </r>
  <r>
    <s v="ORD-21549"/>
    <s v="CUST-5187"/>
    <d v="2022-05-01T00:00:00"/>
    <x v="2"/>
    <s v="Blender"/>
    <n v="64.989999999999995"/>
    <n v="3"/>
    <n v="10"/>
    <n v="58.49"/>
    <n v="175.47"/>
    <s v="PayPal"/>
    <x v="0"/>
    <n v="5"/>
    <n v="61"/>
    <s v="San Jose"/>
    <x v="2"/>
    <s v="Female"/>
  </r>
  <r>
    <s v="ORD-21550"/>
    <s v="CUST-5187"/>
    <d v="2024-11-20T00:00:00"/>
    <x v="4"/>
    <s v="Yoga Mat"/>
    <n v="29.99"/>
    <n v="4"/>
    <n v="10"/>
    <n v="26.99"/>
    <n v="107.96"/>
    <s v="UPI"/>
    <x v="0"/>
    <m/>
    <n v="61"/>
    <s v="San Jose"/>
    <x v="2"/>
    <s v="Female"/>
  </r>
  <r>
    <s v="ORD-21551"/>
    <s v="CUST-5187"/>
    <d v="2022-02-28T00:00:00"/>
    <x v="6"/>
    <s v="Face Serum"/>
    <n v="39.99"/>
    <n v="4"/>
    <n v="0"/>
    <n v="39.99"/>
    <n v="159.96"/>
    <s v="Wallet"/>
    <x v="0"/>
    <m/>
    <n v="61"/>
    <s v="San Jose"/>
    <x v="2"/>
    <s v="Female"/>
  </r>
  <r>
    <s v="ORD-21552"/>
    <s v="CUST-5187"/>
    <d v="2024-08-15T00:00:00"/>
    <x v="4"/>
    <s v="Yoga Mat"/>
    <n v="29.99"/>
    <n v="4"/>
    <n v="0"/>
    <n v="29.99"/>
    <n v="119.96"/>
    <s v="Credit Card"/>
    <x v="0"/>
    <n v="5"/>
    <n v="61"/>
    <s v="San Jose"/>
    <x v="2"/>
    <s v="Female"/>
  </r>
  <r>
    <s v="ORD-21553"/>
    <s v="CUST-5187"/>
    <d v="2023-10-20T00:00:00"/>
    <x v="4"/>
    <s v="Jump Rope"/>
    <n v="14.99"/>
    <n v="4"/>
    <n v="0"/>
    <n v="14.99"/>
    <n v="59.96"/>
    <s v="Credit Card"/>
    <x v="0"/>
    <n v="5"/>
    <n v="61"/>
    <s v="San Jose"/>
    <x v="2"/>
    <s v="Female"/>
  </r>
  <r>
    <s v="ORD-21554"/>
    <s v="CUST-5188"/>
    <d v="2023-06-10T00:00:00"/>
    <x v="0"/>
    <s v="Python for Beginners"/>
    <n v="29.99"/>
    <n v="1"/>
    <n v="20"/>
    <n v="23.99"/>
    <n v="23.99"/>
    <s v="Wallet"/>
    <x v="0"/>
    <m/>
    <n v="34"/>
    <s v="Austin"/>
    <x v="2"/>
    <s v="Male"/>
  </r>
  <r>
    <s v="ORD-21555"/>
    <s v="CUST-5188"/>
    <d v="2022-12-01T00:00:00"/>
    <x v="6"/>
    <s v="Moisturizer SPF 50"/>
    <n v="29.99"/>
    <n v="2"/>
    <n v="5"/>
    <n v="28.49"/>
    <n v="56.98"/>
    <s v="PayPal"/>
    <x v="0"/>
    <n v="5"/>
    <n v="34"/>
    <s v="Austin"/>
    <x v="2"/>
    <s v="Male"/>
  </r>
  <r>
    <s v="ORD-21556"/>
    <s v="CUST-5188"/>
    <d v="2024-11-12T00:00:00"/>
    <x v="0"/>
    <s v="Business Analytics"/>
    <n v="39.99"/>
    <n v="2"/>
    <n v="20"/>
    <n v="31.99"/>
    <n v="63.98"/>
    <s v="PayPal"/>
    <x v="0"/>
    <n v="4"/>
    <n v="34"/>
    <s v="Austin"/>
    <x v="2"/>
    <s v="Male"/>
  </r>
  <r>
    <s v="ORD-21557"/>
    <s v="CUST-5188"/>
    <d v="2024-05-15T00:00:00"/>
    <x v="0"/>
    <s v="Fiction Novel"/>
    <n v="14.99"/>
    <n v="3"/>
    <n v="0"/>
    <n v="14.99"/>
    <n v="44.97"/>
    <s v="Debit Card"/>
    <x v="0"/>
    <n v="4"/>
    <n v="34"/>
    <s v="Austin"/>
    <x v="2"/>
    <s v="Male"/>
  </r>
  <r>
    <s v="ORD-21558"/>
    <s v="CUST-5188"/>
    <d v="2023-01-07T00:00:00"/>
    <x v="1"/>
    <s v="LEGO Classic Set"/>
    <n v="49.99"/>
    <n v="2"/>
    <n v="20"/>
    <n v="39.99"/>
    <n v="79.98"/>
    <s v="Wallet"/>
    <x v="0"/>
    <m/>
    <n v="34"/>
    <s v="Austin"/>
    <x v="2"/>
    <s v="Male"/>
  </r>
  <r>
    <s v="ORD-21559"/>
    <s v="CUST-5188"/>
    <d v="2023-10-07T00:00:00"/>
    <x v="6"/>
    <s v="Face Serum"/>
    <n v="39.99"/>
    <n v="4"/>
    <n v="0"/>
    <n v="39.99"/>
    <n v="159.96"/>
    <s v="Credit Card"/>
    <x v="0"/>
    <n v="5"/>
    <n v="34"/>
    <s v="Austin"/>
    <x v="2"/>
    <s v="Male"/>
  </r>
  <r>
    <s v="ORD-21560"/>
    <s v="CUST-5188"/>
    <d v="2022-06-14T00:00:00"/>
    <x v="2"/>
    <s v="Blender"/>
    <n v="64.989999999999995"/>
    <n v="3"/>
    <n v="20"/>
    <n v="51.99"/>
    <n v="155.97"/>
    <s v="Wallet"/>
    <x v="0"/>
    <n v="5"/>
    <n v="34"/>
    <s v="Austin"/>
    <x v="2"/>
    <s v="Male"/>
  </r>
  <r>
    <s v="ORD-21561"/>
    <s v="CUST-5188"/>
    <d v="2023-02-14T00:00:00"/>
    <x v="0"/>
    <s v="Python for Beginners"/>
    <n v="29.99"/>
    <n v="2"/>
    <n v="10"/>
    <n v="26.99"/>
    <n v="53.98"/>
    <s v="Wallet"/>
    <x v="0"/>
    <n v="2"/>
    <n v="34"/>
    <s v="Austin"/>
    <x v="2"/>
    <s v="Male"/>
  </r>
  <r>
    <s v="ORD-21562"/>
    <s v="CUST-5188"/>
    <d v="2022-07-02T00:00:00"/>
    <x v="4"/>
    <s v="Yoga Mat"/>
    <n v="29.99"/>
    <n v="3"/>
    <n v="0"/>
    <n v="29.99"/>
    <n v="89.97"/>
    <s v="UPI"/>
    <x v="0"/>
    <n v="5"/>
    <n v="34"/>
    <s v="Austin"/>
    <x v="2"/>
    <s v="Male"/>
  </r>
  <r>
    <s v="ORD-21563"/>
    <s v="CUST-5188"/>
    <d v="2022-06-02T00:00:00"/>
    <x v="0"/>
    <s v="Business Analytics"/>
    <n v="39.99"/>
    <n v="4"/>
    <n v="20"/>
    <n v="31.99"/>
    <n v="127.96"/>
    <s v="Wallet"/>
    <x v="0"/>
    <n v="4"/>
    <n v="34"/>
    <s v="Austin"/>
    <x v="2"/>
    <s v="Male"/>
  </r>
  <r>
    <s v="ORD-21564"/>
    <s v="CUST-5189"/>
    <d v="2022-08-24T00:00:00"/>
    <x v="3"/>
    <s v="Yoga Pants"/>
    <n v="44.99"/>
    <n v="2"/>
    <n v="10"/>
    <n v="40.49"/>
    <n v="80.98"/>
    <s v="PayPal"/>
    <x v="0"/>
    <n v="3"/>
    <n v="35"/>
    <s v="Chicago"/>
    <x v="3"/>
    <s v="Female"/>
  </r>
  <r>
    <s v="ORD-21565"/>
    <s v="CUST-5189"/>
    <d v="2022-09-02T00:00:00"/>
    <x v="2"/>
    <s v="Air Fryer"/>
    <n v="89.99"/>
    <n v="4"/>
    <n v="15"/>
    <n v="76.489999999999995"/>
    <n v="305.95999999999998"/>
    <s v="Credit Card"/>
    <x v="0"/>
    <n v="4"/>
    <n v="35"/>
    <s v="Chicago"/>
    <x v="3"/>
    <s v="Female"/>
  </r>
  <r>
    <s v="ORD-21566"/>
    <s v="CUST-5189"/>
    <d v="2023-09-04T00:00:00"/>
    <x v="1"/>
    <s v="Remote Control Car"/>
    <n v="39.99"/>
    <n v="2"/>
    <n v="10"/>
    <n v="35.99"/>
    <n v="71.98"/>
    <s v="Credit Card"/>
    <x v="0"/>
    <m/>
    <n v="35"/>
    <s v="Chicago"/>
    <x v="3"/>
    <s v="Female"/>
  </r>
  <r>
    <s v="ORD-21567"/>
    <s v="CUST-5189"/>
    <d v="2022-01-22T00:00:00"/>
    <x v="0"/>
    <s v="Python for Beginners"/>
    <n v="29.99"/>
    <n v="2"/>
    <n v="0"/>
    <n v="29.99"/>
    <n v="59.98"/>
    <s v="Debit Card"/>
    <x v="0"/>
    <n v="4"/>
    <n v="35"/>
    <s v="Chicago"/>
    <x v="3"/>
    <s v="Female"/>
  </r>
  <r>
    <s v="ORD-21568"/>
    <s v="CUST-5189"/>
    <d v="2022-05-21T00:00:00"/>
    <x v="5"/>
    <s v="Smart Watch"/>
    <n v="199.99"/>
    <n v="2"/>
    <n v="0"/>
    <n v="199.99"/>
    <n v="399.98"/>
    <s v="Debit Card"/>
    <x v="0"/>
    <n v="5"/>
    <n v="35"/>
    <s v="Chicago"/>
    <x v="3"/>
    <s v="Female"/>
  </r>
  <r>
    <s v="ORD-21569"/>
    <s v="CUST-5189"/>
    <d v="2024-09-09T00:00:00"/>
    <x v="6"/>
    <s v="Moisturizer SPF 50"/>
    <n v="29.99"/>
    <n v="3"/>
    <n v="10"/>
    <n v="26.99"/>
    <n v="80.97"/>
    <s v="UPI"/>
    <x v="0"/>
    <n v="4"/>
    <n v="35"/>
    <s v="Chicago"/>
    <x v="3"/>
    <s v="Female"/>
  </r>
  <r>
    <s v="ORD-21570"/>
    <s v="CUST-5189"/>
    <d v="2023-09-04T00:00:00"/>
    <x v="4"/>
    <s v="Resistance Bands"/>
    <n v="19.989999999999998"/>
    <n v="1"/>
    <n v="0"/>
    <n v="19.989999999999998"/>
    <n v="19.989999999999998"/>
    <s v="Debit Card"/>
    <x v="0"/>
    <n v="5"/>
    <n v="35"/>
    <s v="Chicago"/>
    <x v="3"/>
    <s v="Female"/>
  </r>
  <r>
    <s v="ORD-21571"/>
    <s v="CUST-5189"/>
    <d v="2024-06-11T00:00:00"/>
    <x v="4"/>
    <s v="Water Bottle"/>
    <n v="24.99"/>
    <n v="2"/>
    <n v="20"/>
    <n v="19.989999999999998"/>
    <n v="39.979999999999997"/>
    <s v="Credit Card"/>
    <x v="0"/>
    <m/>
    <n v="35"/>
    <s v="Chicago"/>
    <x v="3"/>
    <s v="Female"/>
  </r>
  <r>
    <s v="ORD-21572"/>
    <s v="CUST-5189"/>
    <d v="2023-08-24T00:00:00"/>
    <x v="6"/>
    <s v="Hair Mask"/>
    <n v="24.99"/>
    <n v="2"/>
    <n v="0"/>
    <n v="24.99"/>
    <n v="49.98"/>
    <s v="Debit Card"/>
    <x v="4"/>
    <n v="4"/>
    <n v="35"/>
    <s v="Chicago"/>
    <x v="3"/>
    <s v="Female"/>
  </r>
  <r>
    <s v="ORD-21573"/>
    <s v="CUST-5190"/>
    <d v="2022-01-05T00:00:00"/>
    <x v="5"/>
    <s v="Wireless Earbuds"/>
    <n v="79.989999999999995"/>
    <n v="1"/>
    <n v="10"/>
    <n v="71.989999999999995"/>
    <n v="71.989999999999995"/>
    <s v="Wallet"/>
    <x v="0"/>
    <n v="5"/>
    <n v="59"/>
    <s v="Dallas"/>
    <x v="3"/>
    <s v="Female"/>
  </r>
  <r>
    <s v="ORD-21574"/>
    <s v="CUST-5190"/>
    <d v="2022-10-28T00:00:00"/>
    <x v="1"/>
    <s v="Puzzle 1000pcs"/>
    <n v="24.99"/>
    <n v="3"/>
    <n v="20"/>
    <n v="19.989999999999998"/>
    <n v="59.97"/>
    <s v="Credit Card"/>
    <x v="4"/>
    <n v="5"/>
    <n v="59"/>
    <s v="Dallas"/>
    <x v="3"/>
    <s v="Female"/>
  </r>
  <r>
    <s v="ORD-21575"/>
    <s v="CUST-5190"/>
    <d v="2022-10-12T00:00:00"/>
    <x v="3"/>
    <s v="Yoga Pants"/>
    <n v="44.99"/>
    <n v="3"/>
    <n v="10"/>
    <n v="40.49"/>
    <n v="121.47"/>
    <s v="Wallet"/>
    <x v="0"/>
    <m/>
    <n v="59"/>
    <s v="Dallas"/>
    <x v="3"/>
    <s v="Female"/>
  </r>
  <r>
    <s v="ORD-21576"/>
    <s v="CUST-5190"/>
    <d v="2023-04-04T00:00:00"/>
    <x v="5"/>
    <s v="USB-C Hub"/>
    <n v="34.99"/>
    <n v="3"/>
    <n v="10"/>
    <n v="31.49"/>
    <n v="94.47"/>
    <s v="Debit Card"/>
    <x v="0"/>
    <m/>
    <n v="59"/>
    <s v="Dallas"/>
    <x v="3"/>
    <s v="Female"/>
  </r>
  <r>
    <s v="ORD-21577"/>
    <s v="CUST-5190"/>
    <d v="2024-08-19T00:00:00"/>
    <x v="1"/>
    <s v="Action Figure"/>
    <n v="19.989999999999998"/>
    <n v="4"/>
    <n v="5"/>
    <n v="18.989999999999998"/>
    <n v="75.959999999999994"/>
    <s v="Credit Card"/>
    <x v="0"/>
    <n v="5"/>
    <n v="59"/>
    <s v="Dallas"/>
    <x v="3"/>
    <s v="Female"/>
  </r>
  <r>
    <s v="ORD-21578"/>
    <s v="CUST-5190"/>
    <d v="2022-02-24T00:00:00"/>
    <x v="6"/>
    <s v="Hair Mask"/>
    <n v="24.99"/>
    <n v="4"/>
    <n v="15"/>
    <n v="21.24"/>
    <n v="84.96"/>
    <s v="Wallet"/>
    <x v="0"/>
    <n v="5"/>
    <n v="59"/>
    <s v="Dallas"/>
    <x v="3"/>
    <s v="Female"/>
  </r>
  <r>
    <s v="ORD-21579"/>
    <s v="CUST-5190"/>
    <d v="2024-07-16T00:00:00"/>
    <x v="6"/>
    <s v="Hair Mask"/>
    <n v="24.99"/>
    <n v="4"/>
    <n v="5"/>
    <n v="23.74"/>
    <n v="94.96"/>
    <s v="PayPal"/>
    <x v="0"/>
    <n v="4"/>
    <n v="59"/>
    <s v="Dallas"/>
    <x v="3"/>
    <s v="Female"/>
  </r>
  <r>
    <s v="ORD-21580"/>
    <s v="CUST-5190"/>
    <d v="2022-12-06T00:00:00"/>
    <x v="5"/>
    <s v="Bluetooth Speaker"/>
    <n v="49.99"/>
    <n v="3"/>
    <n v="20"/>
    <n v="39.99"/>
    <n v="119.97"/>
    <s v="UPI"/>
    <x v="0"/>
    <m/>
    <n v="59"/>
    <s v="Dallas"/>
    <x v="3"/>
    <s v="Female"/>
  </r>
  <r>
    <s v="ORD-21581"/>
    <s v="CUST-5190"/>
    <d v="2024-02-26T00:00:00"/>
    <x v="4"/>
    <s v="Resistance Bands"/>
    <n v="19.989999999999998"/>
    <n v="3"/>
    <n v="0"/>
    <n v="19.989999999999998"/>
    <n v="59.97"/>
    <s v="Credit Card"/>
    <x v="3"/>
    <m/>
    <n v="59"/>
    <s v="Dallas"/>
    <x v="3"/>
    <s v="Female"/>
  </r>
  <r>
    <s v="ORD-21582"/>
    <s v="CUST-5190"/>
    <d v="2023-10-26T00:00:00"/>
    <x v="0"/>
    <s v="Python for Beginners"/>
    <n v="29.99"/>
    <n v="4"/>
    <n v="20"/>
    <n v="23.99"/>
    <n v="95.96"/>
    <s v="Credit Card"/>
    <x v="0"/>
    <n v="4"/>
    <n v="59"/>
    <s v="Dallas"/>
    <x v="3"/>
    <s v="Female"/>
  </r>
  <r>
    <s v="ORD-21583"/>
    <s v="CUST-5190"/>
    <d v="2023-11-11T00:00:00"/>
    <x v="0"/>
    <s v="Business Analytics"/>
    <n v="39.99"/>
    <n v="2"/>
    <n v="0"/>
    <n v="39.99"/>
    <n v="79.98"/>
    <s v="Wallet"/>
    <x v="1"/>
    <m/>
    <n v="59"/>
    <s v="Dallas"/>
    <x v="3"/>
    <s v="Female"/>
  </r>
  <r>
    <s v="ORD-21584"/>
    <s v="CUST-5191"/>
    <d v="2023-02-14T00:00:00"/>
    <x v="0"/>
    <s v="Fiction Novel"/>
    <n v="14.99"/>
    <n v="1"/>
    <n v="10"/>
    <n v="13.49"/>
    <n v="13.49"/>
    <s v="Wallet"/>
    <x v="0"/>
    <n v="5"/>
    <n v="30"/>
    <s v="San Diego"/>
    <x v="2"/>
    <s v="Male"/>
  </r>
  <r>
    <s v="ORD-21585"/>
    <s v="CUST-5191"/>
    <d v="2022-11-22T00:00:00"/>
    <x v="5"/>
    <s v="Smart Watch"/>
    <n v="199.99"/>
    <n v="4"/>
    <n v="20"/>
    <n v="159.99"/>
    <n v="639.96"/>
    <s v="UPI"/>
    <x v="0"/>
    <n v="4"/>
    <n v="30"/>
    <s v="San Diego"/>
    <x v="2"/>
    <s v="Male"/>
  </r>
  <r>
    <s v="ORD-21586"/>
    <s v="CUST-5191"/>
    <d v="2022-06-05T00:00:00"/>
    <x v="1"/>
    <s v="Remote Control Car"/>
    <n v="39.99"/>
    <n v="3"/>
    <n v="0"/>
    <n v="39.99"/>
    <n v="119.97"/>
    <s v="Credit Card"/>
    <x v="0"/>
    <n v="5"/>
    <n v="30"/>
    <s v="San Diego"/>
    <x v="2"/>
    <s v="Male"/>
  </r>
  <r>
    <s v="ORD-21587"/>
    <s v="CUST-5191"/>
    <d v="2024-04-27T00:00:00"/>
    <x v="5"/>
    <s v="USB-C Hub"/>
    <n v="34.99"/>
    <n v="2"/>
    <n v="0"/>
    <n v="34.99"/>
    <n v="69.98"/>
    <s v="UPI"/>
    <x v="0"/>
    <m/>
    <n v="30"/>
    <s v="San Diego"/>
    <x v="2"/>
    <s v="Male"/>
  </r>
  <r>
    <s v="ORD-21588"/>
    <s v="CUST-5192"/>
    <d v="2022-04-08T00:00:00"/>
    <x v="6"/>
    <s v="Hair Mask"/>
    <n v="24.99"/>
    <n v="4"/>
    <n v="0"/>
    <n v="24.99"/>
    <n v="99.96"/>
    <s v="Wallet"/>
    <x v="0"/>
    <n v="4"/>
    <n v="52"/>
    <s v="San Jose"/>
    <x v="2"/>
    <s v="Female"/>
  </r>
  <r>
    <s v="ORD-21589"/>
    <s v="CUST-5192"/>
    <d v="2024-10-21T00:00:00"/>
    <x v="5"/>
    <s v="Bluetooth Speaker"/>
    <n v="49.99"/>
    <n v="1"/>
    <n v="20"/>
    <n v="39.99"/>
    <n v="39.99"/>
    <s v="UPI"/>
    <x v="0"/>
    <n v="3"/>
    <n v="52"/>
    <s v="San Jose"/>
    <x v="2"/>
    <s v="Female"/>
  </r>
  <r>
    <s v="ORD-21590"/>
    <s v="CUST-5192"/>
    <d v="2022-07-26T00:00:00"/>
    <x v="4"/>
    <s v="Yoga Mat"/>
    <n v="29.99"/>
    <n v="2"/>
    <n v="5"/>
    <n v="28.49"/>
    <n v="56.98"/>
    <s v="PayPal"/>
    <x v="0"/>
    <n v="2"/>
    <n v="52"/>
    <s v="San Jose"/>
    <x v="2"/>
    <s v="Female"/>
  </r>
  <r>
    <s v="ORD-21591"/>
    <s v="CUST-5192"/>
    <d v="2023-05-05T00:00:00"/>
    <x v="3"/>
    <s v="Yoga Pants"/>
    <n v="44.99"/>
    <n v="2"/>
    <n v="0"/>
    <n v="44.99"/>
    <n v="89.98"/>
    <s v="Debit Card"/>
    <x v="0"/>
    <n v="4"/>
    <n v="52"/>
    <s v="San Jose"/>
    <x v="2"/>
    <s v="Female"/>
  </r>
  <r>
    <s v="ORD-21592"/>
    <s v="CUST-5192"/>
    <d v="2022-04-17T00:00:00"/>
    <x v="1"/>
    <s v="Remote Control Car"/>
    <n v="39.99"/>
    <n v="4"/>
    <n v="5"/>
    <n v="37.99"/>
    <n v="151.96"/>
    <s v="UPI"/>
    <x v="0"/>
    <n v="1"/>
    <n v="52"/>
    <s v="San Jose"/>
    <x v="2"/>
    <s v="Female"/>
  </r>
  <r>
    <s v="ORD-21593"/>
    <s v="CUST-5192"/>
    <d v="2022-03-12T00:00:00"/>
    <x v="6"/>
    <s v="Lip Balm Set"/>
    <n v="14.99"/>
    <n v="4"/>
    <n v="10"/>
    <n v="13.49"/>
    <n v="53.96"/>
    <s v="Credit Card"/>
    <x v="0"/>
    <n v="5"/>
    <n v="52"/>
    <s v="San Jose"/>
    <x v="2"/>
    <s v="Female"/>
  </r>
  <r>
    <s v="ORD-21594"/>
    <s v="CUST-5192"/>
    <d v="2024-09-09T00:00:00"/>
    <x v="5"/>
    <s v="Smart Watch"/>
    <n v="199.99"/>
    <n v="1"/>
    <n v="10"/>
    <n v="179.99"/>
    <n v="179.99"/>
    <s v="Credit Card"/>
    <x v="2"/>
    <n v="5"/>
    <n v="52"/>
    <s v="San Jose"/>
    <x v="2"/>
    <s v="Female"/>
  </r>
  <r>
    <s v="ORD-21595"/>
    <s v="CUST-5192"/>
    <d v="2023-07-15T00:00:00"/>
    <x v="1"/>
    <s v="Remote Control Car"/>
    <n v="39.99"/>
    <n v="3"/>
    <n v="15"/>
    <n v="33.99"/>
    <n v="101.97"/>
    <s v="UPI"/>
    <x v="0"/>
    <n v="4"/>
    <n v="52"/>
    <s v="San Jose"/>
    <x v="2"/>
    <s v="Female"/>
  </r>
  <r>
    <s v="ORD-21596"/>
    <s v="CUST-5193"/>
    <d v="2022-08-14T00:00:00"/>
    <x v="6"/>
    <s v="Moisturizer SPF 50"/>
    <n v="29.99"/>
    <n v="2"/>
    <n v="0"/>
    <n v="29.99"/>
    <n v="59.98"/>
    <s v="PayPal"/>
    <x v="0"/>
    <m/>
    <n v="27"/>
    <s v="San Diego"/>
    <x v="2"/>
    <s v="Female"/>
  </r>
  <r>
    <s v="ORD-21597"/>
    <s v="CUST-5193"/>
    <d v="2022-05-09T00:00:00"/>
    <x v="4"/>
    <s v="Water Bottle"/>
    <n v="24.99"/>
    <n v="4"/>
    <n v="5"/>
    <n v="23.74"/>
    <n v="94.96"/>
    <s v="PayPal"/>
    <x v="0"/>
    <m/>
    <n v="27"/>
    <s v="San Diego"/>
    <x v="2"/>
    <s v="Female"/>
  </r>
  <r>
    <s v="ORD-21598"/>
    <s v="CUST-5193"/>
    <d v="2022-03-14T00:00:00"/>
    <x v="3"/>
    <s v="Running Shoes"/>
    <n v="89.99"/>
    <n v="2"/>
    <n v="10"/>
    <n v="80.989999999999995"/>
    <n v="161.97999999999999"/>
    <s v="PayPal"/>
    <x v="0"/>
    <m/>
    <n v="27"/>
    <s v="San Diego"/>
    <x v="2"/>
    <s v="Female"/>
  </r>
  <r>
    <s v="ORD-21599"/>
    <s v="CUST-5193"/>
    <d v="2023-10-03T00:00:00"/>
    <x v="5"/>
    <s v="Smart Watch"/>
    <n v="199.99"/>
    <n v="1"/>
    <n v="0"/>
    <n v="199.99"/>
    <n v="199.99"/>
    <s v="Wallet"/>
    <x v="4"/>
    <m/>
    <n v="27"/>
    <s v="San Diego"/>
    <x v="2"/>
    <s v="Female"/>
  </r>
  <r>
    <s v="ORD-21600"/>
    <s v="CUST-5193"/>
    <d v="2023-04-23T00:00:00"/>
    <x v="0"/>
    <s v="Python for Beginners"/>
    <n v="29.99"/>
    <n v="4"/>
    <n v="0"/>
    <n v="29.99"/>
    <n v="119.96"/>
    <s v="Credit Card"/>
    <x v="0"/>
    <n v="5"/>
    <n v="27"/>
    <s v="San Diego"/>
    <x v="2"/>
    <s v="Female"/>
  </r>
  <r>
    <s v="ORD-21601"/>
    <s v="CUST-5193"/>
    <d v="2023-04-25T00:00:00"/>
    <x v="0"/>
    <s v="Python for Beginners"/>
    <n v="29.99"/>
    <n v="3"/>
    <n v="0"/>
    <n v="29.99"/>
    <n v="89.97"/>
    <s v="UPI"/>
    <x v="0"/>
    <m/>
    <n v="27"/>
    <s v="San Diego"/>
    <x v="2"/>
    <s v="Female"/>
  </r>
  <r>
    <s v="ORD-21602"/>
    <s v="CUST-5193"/>
    <d v="2023-11-16T00:00:00"/>
    <x v="2"/>
    <s v="Air Fryer"/>
    <n v="89.99"/>
    <n v="3"/>
    <n v="5"/>
    <n v="85.49"/>
    <n v="256.47000000000003"/>
    <s v="Credit Card"/>
    <x v="0"/>
    <n v="3"/>
    <n v="27"/>
    <s v="San Diego"/>
    <x v="2"/>
    <s v="Female"/>
  </r>
  <r>
    <s v="ORD-21603"/>
    <s v="CUST-5193"/>
    <d v="2022-08-28T00:00:00"/>
    <x v="2"/>
    <s v="Blender"/>
    <n v="64.989999999999995"/>
    <n v="3"/>
    <n v="0"/>
    <n v="64.989999999999995"/>
    <n v="194.97"/>
    <s v="Credit Card"/>
    <x v="0"/>
    <n v="4"/>
    <n v="27"/>
    <s v="San Diego"/>
    <x v="2"/>
    <s v="Female"/>
  </r>
  <r>
    <s v="ORD-21604"/>
    <s v="CUST-5193"/>
    <d v="2022-09-18T00:00:00"/>
    <x v="1"/>
    <s v="Puzzle 1000pcs"/>
    <n v="24.99"/>
    <n v="1"/>
    <n v="0"/>
    <n v="24.99"/>
    <n v="24.99"/>
    <s v="Credit Card"/>
    <x v="4"/>
    <m/>
    <n v="27"/>
    <s v="San Diego"/>
    <x v="2"/>
    <s v="Female"/>
  </r>
  <r>
    <s v="ORD-21605"/>
    <s v="CUST-5193"/>
    <d v="2024-04-07T00:00:00"/>
    <x v="6"/>
    <s v="Hair Mask"/>
    <n v="24.99"/>
    <n v="4"/>
    <n v="10"/>
    <n v="22.49"/>
    <n v="89.96"/>
    <s v="Wallet"/>
    <x v="0"/>
    <n v="5"/>
    <n v="27"/>
    <s v="San Diego"/>
    <x v="2"/>
    <s v="Female"/>
  </r>
  <r>
    <s v="ORD-21606"/>
    <s v="CUST-5193"/>
    <d v="2024-07-11T00:00:00"/>
    <x v="5"/>
    <s v="USB-C Hub"/>
    <n v="34.99"/>
    <n v="2"/>
    <n v="20"/>
    <n v="27.99"/>
    <n v="55.98"/>
    <s v="Credit Card"/>
    <x v="0"/>
    <m/>
    <n v="27"/>
    <s v="San Diego"/>
    <x v="2"/>
    <s v="Female"/>
  </r>
  <r>
    <s v="ORD-21607"/>
    <s v="CUST-5193"/>
    <d v="2023-06-14T00:00:00"/>
    <x v="0"/>
    <s v="Data Science Handbook"/>
    <n v="49.99"/>
    <n v="4"/>
    <n v="0"/>
    <n v="49.99"/>
    <n v="199.96"/>
    <s v="Wallet"/>
    <x v="0"/>
    <n v="5"/>
    <n v="27"/>
    <s v="San Diego"/>
    <x v="2"/>
    <s v="Female"/>
  </r>
  <r>
    <s v="ORD-21608"/>
    <s v="CUST-5193"/>
    <d v="2022-01-19T00:00:00"/>
    <x v="6"/>
    <s v="Face Serum"/>
    <n v="39.99"/>
    <n v="4"/>
    <n v="5"/>
    <n v="37.99"/>
    <n v="151.96"/>
    <s v="Debit Card"/>
    <x v="0"/>
    <n v="5"/>
    <n v="27"/>
    <s v="San Diego"/>
    <x v="2"/>
    <s v="Female"/>
  </r>
  <r>
    <s v="ORD-21609"/>
    <s v="CUST-5193"/>
    <d v="2023-05-13T00:00:00"/>
    <x v="3"/>
    <s v="Cotton T-Shirt"/>
    <n v="24.99"/>
    <n v="4"/>
    <n v="10"/>
    <n v="22.49"/>
    <n v="89.96"/>
    <s v="PayPal"/>
    <x v="0"/>
    <n v="5"/>
    <n v="27"/>
    <s v="San Diego"/>
    <x v="2"/>
    <s v="Female"/>
  </r>
  <r>
    <s v="ORD-21610"/>
    <s v="CUST-5193"/>
    <d v="2024-05-04T00:00:00"/>
    <x v="2"/>
    <s v="Coffee Maker"/>
    <n v="59.99"/>
    <n v="3"/>
    <n v="5"/>
    <n v="56.99"/>
    <n v="170.97"/>
    <s v="UPI"/>
    <x v="0"/>
    <n v="3"/>
    <n v="27"/>
    <s v="San Diego"/>
    <x v="2"/>
    <s v="Female"/>
  </r>
  <r>
    <s v="ORD-21611"/>
    <s v="CUST-5194"/>
    <d v="2022-01-18T00:00:00"/>
    <x v="4"/>
    <s v="Jump Rope"/>
    <n v="14.99"/>
    <n v="3"/>
    <n v="15"/>
    <n v="12.74"/>
    <n v="38.22"/>
    <s v="UPI"/>
    <x v="0"/>
    <n v="4"/>
    <n v="38"/>
    <s v="Philadelphia"/>
    <x v="3"/>
    <s v="Male"/>
  </r>
  <r>
    <s v="ORD-21612"/>
    <s v="CUST-5194"/>
    <d v="2022-03-09T00:00:00"/>
    <x v="2"/>
    <s v="Non-stick Pan Set"/>
    <n v="44.99"/>
    <n v="1"/>
    <n v="5"/>
    <n v="42.74"/>
    <n v="42.74"/>
    <s v="Debit Card"/>
    <x v="0"/>
    <n v="5"/>
    <n v="38"/>
    <s v="Philadelphia"/>
    <x v="3"/>
    <s v="Male"/>
  </r>
  <r>
    <s v="ORD-21613"/>
    <s v="CUST-5194"/>
    <d v="2024-08-10T00:00:00"/>
    <x v="1"/>
    <s v="Remote Control Car"/>
    <n v="39.99"/>
    <n v="4"/>
    <n v="5"/>
    <n v="37.99"/>
    <n v="151.96"/>
    <s v="Debit Card"/>
    <x v="0"/>
    <m/>
    <n v="38"/>
    <s v="Philadelphia"/>
    <x v="3"/>
    <s v="Male"/>
  </r>
  <r>
    <s v="ORD-21614"/>
    <s v="CUST-5194"/>
    <d v="2022-01-01T00:00:00"/>
    <x v="4"/>
    <s v="Resistance Bands"/>
    <n v="19.989999999999998"/>
    <n v="1"/>
    <n v="15"/>
    <n v="16.989999999999998"/>
    <n v="16.989999999999998"/>
    <s v="UPI"/>
    <x v="0"/>
    <n v="5"/>
    <n v="38"/>
    <s v="Philadelphia"/>
    <x v="3"/>
    <s v="Male"/>
  </r>
  <r>
    <s v="ORD-21615"/>
    <s v="CUST-5194"/>
    <d v="2023-05-10T00:00:00"/>
    <x v="1"/>
    <s v="Puzzle 1000pcs"/>
    <n v="24.99"/>
    <n v="4"/>
    <n v="15"/>
    <n v="21.24"/>
    <n v="84.96"/>
    <s v="PayPal"/>
    <x v="0"/>
    <n v="4"/>
    <n v="38"/>
    <s v="Philadelphia"/>
    <x v="3"/>
    <s v="Male"/>
  </r>
  <r>
    <s v="ORD-21616"/>
    <s v="CUST-5194"/>
    <d v="2024-03-24T00:00:00"/>
    <x v="4"/>
    <s v="Jump Rope"/>
    <n v="14.99"/>
    <n v="2"/>
    <n v="5"/>
    <n v="14.24"/>
    <n v="28.48"/>
    <s v="Debit Card"/>
    <x v="0"/>
    <n v="5"/>
    <n v="38"/>
    <s v="Philadelphia"/>
    <x v="3"/>
    <s v="Male"/>
  </r>
  <r>
    <s v="ORD-21617"/>
    <s v="CUST-5194"/>
    <d v="2022-09-14T00:00:00"/>
    <x v="0"/>
    <s v="Business Analytics"/>
    <n v="39.99"/>
    <n v="1"/>
    <n v="5"/>
    <n v="37.99"/>
    <n v="37.99"/>
    <s v="Debit Card"/>
    <x v="0"/>
    <m/>
    <n v="38"/>
    <s v="Philadelphia"/>
    <x v="3"/>
    <s v="Male"/>
  </r>
  <r>
    <s v="ORD-21618"/>
    <s v="CUST-5194"/>
    <d v="2023-04-10T00:00:00"/>
    <x v="1"/>
    <s v="Remote Control Car"/>
    <n v="39.99"/>
    <n v="2"/>
    <n v="15"/>
    <n v="33.99"/>
    <n v="67.98"/>
    <s v="Debit Card"/>
    <x v="0"/>
    <n v="5"/>
    <n v="38"/>
    <s v="Philadelphia"/>
    <x v="3"/>
    <s v="Male"/>
  </r>
  <r>
    <s v="ORD-21619"/>
    <s v="CUST-5194"/>
    <d v="2023-10-02T00:00:00"/>
    <x v="3"/>
    <s v="Running Shoes"/>
    <n v="89.99"/>
    <n v="1"/>
    <n v="15"/>
    <n v="76.489999999999995"/>
    <n v="76.489999999999995"/>
    <s v="PayPal"/>
    <x v="0"/>
    <n v="3"/>
    <n v="38"/>
    <s v="Philadelphia"/>
    <x v="3"/>
    <s v="Male"/>
  </r>
  <r>
    <s v="ORD-21620"/>
    <s v="CUST-5194"/>
    <d v="2024-08-26T00:00:00"/>
    <x v="6"/>
    <s v="Lip Balm Set"/>
    <n v="14.99"/>
    <n v="2"/>
    <n v="0"/>
    <n v="14.99"/>
    <n v="29.98"/>
    <s v="Credit Card"/>
    <x v="4"/>
    <n v="4"/>
    <n v="38"/>
    <s v="Philadelphia"/>
    <x v="3"/>
    <s v="Male"/>
  </r>
  <r>
    <s v="ORD-21621"/>
    <s v="CUST-5195"/>
    <d v="2023-10-21T00:00:00"/>
    <x v="2"/>
    <s v="Air Fryer"/>
    <n v="89.99"/>
    <n v="1"/>
    <n v="0"/>
    <n v="89.99"/>
    <n v="89.99"/>
    <s v="PayPal"/>
    <x v="0"/>
    <n v="3"/>
    <n v="20"/>
    <s v="New York"/>
    <x v="3"/>
    <s v="Male"/>
  </r>
  <r>
    <s v="ORD-21622"/>
    <s v="CUST-5195"/>
    <d v="2022-01-26T00:00:00"/>
    <x v="3"/>
    <s v="Running Shoes"/>
    <n v="89.99"/>
    <n v="3"/>
    <n v="0"/>
    <n v="89.99"/>
    <n v="269.97000000000003"/>
    <s v="Credit Card"/>
    <x v="0"/>
    <n v="5"/>
    <n v="20"/>
    <s v="New York"/>
    <x v="3"/>
    <s v="Male"/>
  </r>
  <r>
    <s v="ORD-21623"/>
    <s v="CUST-5195"/>
    <d v="2024-03-12T00:00:00"/>
    <x v="5"/>
    <s v="Bluetooth Speaker"/>
    <n v="49.99"/>
    <n v="4"/>
    <n v="0"/>
    <n v="49.99"/>
    <n v="199.96"/>
    <s v="Credit Card"/>
    <x v="0"/>
    <n v="5"/>
    <n v="20"/>
    <s v="New York"/>
    <x v="3"/>
    <s v="Male"/>
  </r>
  <r>
    <s v="ORD-21624"/>
    <s v="CUST-5195"/>
    <d v="2022-12-02T00:00:00"/>
    <x v="1"/>
    <s v="Remote Control Car"/>
    <n v="39.99"/>
    <n v="2"/>
    <n v="10"/>
    <n v="35.99"/>
    <n v="71.98"/>
    <s v="Debit Card"/>
    <x v="0"/>
    <m/>
    <n v="20"/>
    <s v="New York"/>
    <x v="3"/>
    <s v="Male"/>
  </r>
  <r>
    <s v="ORD-21625"/>
    <s v="CUST-5195"/>
    <d v="2022-02-03T00:00:00"/>
    <x v="0"/>
    <s v="Business Analytics"/>
    <n v="39.99"/>
    <n v="2"/>
    <n v="0"/>
    <n v="39.99"/>
    <n v="79.98"/>
    <s v="Credit Card"/>
    <x v="0"/>
    <n v="5"/>
    <n v="20"/>
    <s v="New York"/>
    <x v="3"/>
    <s v="Male"/>
  </r>
  <r>
    <s v="ORD-21626"/>
    <s v="CUST-5195"/>
    <d v="2024-06-26T00:00:00"/>
    <x v="6"/>
    <s v="Face Serum"/>
    <n v="39.99"/>
    <n v="1"/>
    <n v="0"/>
    <n v="39.99"/>
    <n v="39.99"/>
    <s v="Wallet"/>
    <x v="1"/>
    <n v="4"/>
    <n v="20"/>
    <s v="New York"/>
    <x v="3"/>
    <s v="Male"/>
  </r>
  <r>
    <s v="ORD-21627"/>
    <s v="CUST-5195"/>
    <d v="2022-11-27T00:00:00"/>
    <x v="3"/>
    <s v="Denim Jacket"/>
    <n v="69.989999999999995"/>
    <n v="4"/>
    <n v="15"/>
    <n v="59.49"/>
    <n v="237.96"/>
    <s v="UPI"/>
    <x v="0"/>
    <n v="3"/>
    <n v="20"/>
    <s v="New York"/>
    <x v="3"/>
    <s v="Male"/>
  </r>
  <r>
    <s v="ORD-21628"/>
    <s v="CUST-5196"/>
    <d v="2024-07-21T00:00:00"/>
    <x v="3"/>
    <s v="Yoga Pants"/>
    <n v="44.99"/>
    <n v="1"/>
    <n v="15"/>
    <n v="38.24"/>
    <n v="38.24"/>
    <s v="Debit Card"/>
    <x v="3"/>
    <n v="4"/>
    <n v="19"/>
    <s v="Phoenix"/>
    <x v="2"/>
    <s v="Female"/>
  </r>
  <r>
    <s v="ORD-21629"/>
    <s v="CUST-5197"/>
    <d v="2023-10-27T00:00:00"/>
    <x v="0"/>
    <s v="Data Science Handbook"/>
    <n v="49.99"/>
    <n v="1"/>
    <n v="10"/>
    <n v="44.99"/>
    <n v="44.99"/>
    <s v="PayPal"/>
    <x v="0"/>
    <n v="5"/>
    <n v="41"/>
    <s v="San Diego"/>
    <x v="3"/>
    <s v="Male"/>
  </r>
  <r>
    <s v="ORD-21630"/>
    <s v="CUST-5197"/>
    <d v="2024-07-20T00:00:00"/>
    <x v="3"/>
    <s v="Cotton T-Shirt"/>
    <n v="24.99"/>
    <n v="1"/>
    <n v="20"/>
    <n v="19.989999999999998"/>
    <n v="19.989999999999998"/>
    <s v="Credit Card"/>
    <x v="0"/>
    <n v="5"/>
    <n v="41"/>
    <s v="San Diego"/>
    <x v="3"/>
    <s v="Male"/>
  </r>
  <r>
    <s v="ORD-21631"/>
    <s v="CUST-5198"/>
    <d v="2022-05-06T00:00:00"/>
    <x v="6"/>
    <s v="Moisturizer SPF 50"/>
    <n v="29.99"/>
    <n v="1"/>
    <n v="10"/>
    <n v="26.99"/>
    <n v="26.99"/>
    <s v="Wallet"/>
    <x v="4"/>
    <n v="3"/>
    <n v="58"/>
    <s v="Dallas"/>
    <x v="2"/>
    <s v="Female"/>
  </r>
  <r>
    <s v="ORD-21632"/>
    <s v="CUST-5198"/>
    <d v="2024-10-09T00:00:00"/>
    <x v="4"/>
    <s v="Yoga Mat"/>
    <n v="29.99"/>
    <n v="1"/>
    <n v="0"/>
    <n v="29.99"/>
    <n v="29.99"/>
    <s v="UPI"/>
    <x v="0"/>
    <n v="4"/>
    <n v="58"/>
    <s v="Dallas"/>
    <x v="2"/>
    <s v="Female"/>
  </r>
  <r>
    <s v="ORD-21633"/>
    <s v="CUST-5198"/>
    <d v="2023-11-27T00:00:00"/>
    <x v="0"/>
    <s v="Data Science Handbook"/>
    <n v="49.99"/>
    <n v="4"/>
    <n v="0"/>
    <n v="49.99"/>
    <n v="199.96"/>
    <s v="UPI"/>
    <x v="0"/>
    <n v="5"/>
    <n v="58"/>
    <s v="Dallas"/>
    <x v="2"/>
    <s v="Female"/>
  </r>
  <r>
    <s v="ORD-21634"/>
    <s v="CUST-5198"/>
    <d v="2024-01-23T00:00:00"/>
    <x v="6"/>
    <s v="Moisturizer SPF 50"/>
    <n v="29.99"/>
    <n v="4"/>
    <n v="5"/>
    <n v="28.49"/>
    <n v="113.96"/>
    <s v="Wallet"/>
    <x v="4"/>
    <n v="4"/>
    <n v="58"/>
    <s v="Dallas"/>
    <x v="2"/>
    <s v="Female"/>
  </r>
  <r>
    <s v="ORD-21635"/>
    <s v="CUST-5198"/>
    <d v="2024-07-24T00:00:00"/>
    <x v="5"/>
    <s v="Bluetooth Speaker"/>
    <n v="49.99"/>
    <n v="4"/>
    <n v="10"/>
    <n v="44.99"/>
    <n v="179.96"/>
    <s v="PayPal"/>
    <x v="0"/>
    <n v="1"/>
    <n v="58"/>
    <s v="Dallas"/>
    <x v="2"/>
    <s v="Female"/>
  </r>
  <r>
    <s v="ORD-21636"/>
    <s v="CUST-5198"/>
    <d v="2024-03-27T00:00:00"/>
    <x v="0"/>
    <s v="Data Science Handbook"/>
    <n v="49.99"/>
    <n v="2"/>
    <n v="20"/>
    <n v="39.99"/>
    <n v="79.98"/>
    <s v="Debit Card"/>
    <x v="0"/>
    <n v="3"/>
    <n v="58"/>
    <s v="Dallas"/>
    <x v="2"/>
    <s v="Female"/>
  </r>
  <r>
    <s v="ORD-21637"/>
    <s v="CUST-5198"/>
    <d v="2024-06-27T00:00:00"/>
    <x v="5"/>
    <s v="Wireless Earbuds"/>
    <n v="79.989999999999995"/>
    <n v="3"/>
    <n v="0"/>
    <n v="79.989999999999995"/>
    <n v="239.97"/>
    <s v="PayPal"/>
    <x v="2"/>
    <n v="5"/>
    <n v="58"/>
    <s v="Dallas"/>
    <x v="2"/>
    <s v="Female"/>
  </r>
  <r>
    <s v="ORD-21638"/>
    <s v="CUST-5198"/>
    <d v="2022-03-03T00:00:00"/>
    <x v="0"/>
    <s v="Business Analytics"/>
    <n v="39.99"/>
    <n v="2"/>
    <n v="0"/>
    <n v="39.99"/>
    <n v="79.98"/>
    <s v="Credit Card"/>
    <x v="0"/>
    <n v="5"/>
    <n v="58"/>
    <s v="Dallas"/>
    <x v="2"/>
    <s v="Female"/>
  </r>
  <r>
    <s v="ORD-21639"/>
    <s v="CUST-5198"/>
    <d v="2022-09-16T00:00:00"/>
    <x v="3"/>
    <s v="Denim Jacket"/>
    <n v="69.989999999999995"/>
    <n v="4"/>
    <n v="0"/>
    <n v="69.989999999999995"/>
    <n v="279.95999999999998"/>
    <s v="Debit Card"/>
    <x v="0"/>
    <m/>
    <n v="58"/>
    <s v="Dallas"/>
    <x v="2"/>
    <s v="Female"/>
  </r>
  <r>
    <s v="ORD-21640"/>
    <s v="CUST-5198"/>
    <d v="2023-07-13T00:00:00"/>
    <x v="0"/>
    <s v="Python for Beginners"/>
    <n v="29.99"/>
    <n v="1"/>
    <n v="5"/>
    <n v="28.49"/>
    <n v="28.49"/>
    <s v="Credit Card"/>
    <x v="0"/>
    <n v="2"/>
    <n v="58"/>
    <s v="Dallas"/>
    <x v="2"/>
    <s v="Female"/>
  </r>
  <r>
    <s v="ORD-21641"/>
    <s v="CUST-5198"/>
    <d v="2023-11-18T00:00:00"/>
    <x v="5"/>
    <s v="Bluetooth Speaker"/>
    <n v="49.99"/>
    <n v="2"/>
    <n v="10"/>
    <n v="44.99"/>
    <n v="89.98"/>
    <s v="Wallet"/>
    <x v="0"/>
    <m/>
    <n v="58"/>
    <s v="Dallas"/>
    <x v="2"/>
    <s v="Female"/>
  </r>
  <r>
    <s v="ORD-21642"/>
    <s v="CUST-5199"/>
    <d v="2023-02-26T00:00:00"/>
    <x v="6"/>
    <s v="Hair Mask"/>
    <n v="24.99"/>
    <n v="4"/>
    <n v="15"/>
    <n v="21.24"/>
    <n v="84.96"/>
    <s v="UPI"/>
    <x v="0"/>
    <n v="3"/>
    <n v="47"/>
    <s v="Houston"/>
    <x v="3"/>
    <s v="Female"/>
  </r>
  <r>
    <s v="ORD-21643"/>
    <s v="CUST-5199"/>
    <d v="2022-06-14T00:00:00"/>
    <x v="4"/>
    <s v="Resistance Bands"/>
    <n v="19.989999999999998"/>
    <n v="3"/>
    <n v="15"/>
    <n v="16.989999999999998"/>
    <n v="50.97"/>
    <s v="Debit Card"/>
    <x v="0"/>
    <m/>
    <n v="47"/>
    <s v="Houston"/>
    <x v="3"/>
    <s v="Female"/>
  </r>
  <r>
    <s v="ORD-21644"/>
    <s v="CUST-5199"/>
    <d v="2022-06-19T00:00:00"/>
    <x v="5"/>
    <s v="Wireless Earbuds"/>
    <n v="79.989999999999995"/>
    <n v="2"/>
    <n v="0"/>
    <n v="79.989999999999995"/>
    <n v="159.97999999999999"/>
    <s v="Wallet"/>
    <x v="0"/>
    <n v="2"/>
    <n v="47"/>
    <s v="Houston"/>
    <x v="3"/>
    <s v="Female"/>
  </r>
  <r>
    <s v="ORD-21645"/>
    <s v="CUST-5199"/>
    <d v="2023-12-07T00:00:00"/>
    <x v="5"/>
    <s v="USB-C Hub"/>
    <n v="34.99"/>
    <n v="4"/>
    <n v="15"/>
    <n v="29.74"/>
    <n v="118.96"/>
    <s v="Credit Card"/>
    <x v="0"/>
    <m/>
    <n v="47"/>
    <s v="Houston"/>
    <x v="3"/>
    <s v="Female"/>
  </r>
  <r>
    <s v="ORD-21646"/>
    <s v="CUST-5200"/>
    <d v="2022-07-10T00:00:00"/>
    <x v="2"/>
    <s v="Blender"/>
    <n v="64.989999999999995"/>
    <n v="1"/>
    <n v="0"/>
    <n v="64.989999999999995"/>
    <n v="64.989999999999995"/>
    <s v="Credit Card"/>
    <x v="0"/>
    <n v="5"/>
    <n v="64"/>
    <s v="Austin"/>
    <x v="3"/>
    <s v="Female"/>
  </r>
  <r>
    <s v="ORD-21647"/>
    <s v="CUST-5200"/>
    <d v="2024-09-11T00:00:00"/>
    <x v="0"/>
    <s v="Data Science Handbook"/>
    <n v="49.99"/>
    <n v="1"/>
    <n v="20"/>
    <n v="39.99"/>
    <n v="39.99"/>
    <s v="PayPal"/>
    <x v="0"/>
    <m/>
    <n v="64"/>
    <s v="Austin"/>
    <x v="3"/>
    <s v="Female"/>
  </r>
  <r>
    <s v="ORD-21648"/>
    <s v="CUST-5200"/>
    <d v="2024-04-19T00:00:00"/>
    <x v="3"/>
    <s v="Yoga Pants"/>
    <n v="44.99"/>
    <n v="4"/>
    <n v="10"/>
    <n v="40.49"/>
    <n v="161.96"/>
    <s v="Debit Card"/>
    <x v="0"/>
    <m/>
    <n v="64"/>
    <s v="Austin"/>
    <x v="3"/>
    <s v="Female"/>
  </r>
  <r>
    <s v="ORD-21649"/>
    <s v="CUST-5200"/>
    <d v="2023-09-09T00:00:00"/>
    <x v="6"/>
    <s v="Lip Balm Set"/>
    <n v="14.99"/>
    <n v="4"/>
    <n v="10"/>
    <n v="13.49"/>
    <n v="53.96"/>
    <s v="Debit Card"/>
    <x v="0"/>
    <n v="4"/>
    <n v="64"/>
    <s v="Austin"/>
    <x v="3"/>
    <s v="Female"/>
  </r>
  <r>
    <s v="ORD-21650"/>
    <s v="CUST-5200"/>
    <d v="2022-03-01T00:00:00"/>
    <x v="3"/>
    <s v="Yoga Pants"/>
    <n v="44.99"/>
    <n v="4"/>
    <n v="0"/>
    <n v="44.99"/>
    <n v="179.96"/>
    <s v="Credit Card"/>
    <x v="0"/>
    <n v="3"/>
    <n v="64"/>
    <s v="Austin"/>
    <x v="3"/>
    <s v="Female"/>
  </r>
  <r>
    <s v="ORD-21651"/>
    <s v="CUST-5200"/>
    <d v="2024-04-27T00:00:00"/>
    <x v="5"/>
    <s v="Wireless Earbuds"/>
    <n v="79.989999999999995"/>
    <n v="4"/>
    <n v="0"/>
    <n v="79.989999999999995"/>
    <n v="319.95999999999998"/>
    <s v="Debit Card"/>
    <x v="0"/>
    <n v="5"/>
    <n v="64"/>
    <s v="Austin"/>
    <x v="3"/>
    <s v="Female"/>
  </r>
  <r>
    <s v="ORD-21652"/>
    <s v="CUST-5200"/>
    <d v="2022-07-01T00:00:00"/>
    <x v="2"/>
    <s v="Coffee Maker"/>
    <n v="59.99"/>
    <n v="4"/>
    <n v="0"/>
    <n v="59.99"/>
    <n v="239.96"/>
    <s v="Credit Card"/>
    <x v="0"/>
    <n v="5"/>
    <n v="64"/>
    <s v="Austin"/>
    <x v="3"/>
    <s v="Female"/>
  </r>
  <r>
    <s v="ORD-21653"/>
    <s v="CUST-5200"/>
    <d v="2023-07-28T00:00:00"/>
    <x v="2"/>
    <s v="Blender"/>
    <n v="64.989999999999995"/>
    <n v="4"/>
    <n v="5"/>
    <n v="61.74"/>
    <n v="246.96"/>
    <s v="Wallet"/>
    <x v="0"/>
    <m/>
    <n v="64"/>
    <s v="Austin"/>
    <x v="3"/>
    <s v="Female"/>
  </r>
  <r>
    <s v="ORD-21654"/>
    <s v="CUST-5200"/>
    <d v="2023-11-27T00:00:00"/>
    <x v="5"/>
    <s v="Bluetooth Speaker"/>
    <n v="49.99"/>
    <n v="2"/>
    <n v="20"/>
    <n v="39.99"/>
    <n v="79.98"/>
    <s v="Wallet"/>
    <x v="0"/>
    <m/>
    <n v="64"/>
    <s v="Austin"/>
    <x v="3"/>
    <s v="Fem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4">
  <r>
    <s v="ORD-20001"/>
    <s v="CUST-5001"/>
    <d v="2024-02-27T00:00:00"/>
    <s v="Books"/>
    <s v="Business Analytics"/>
    <n v="39.99"/>
    <n v="1"/>
    <n v="0"/>
    <n v="39.99"/>
    <n v="39.99"/>
    <s v="PayPal"/>
    <s v="Delivered"/>
    <n v="4"/>
    <n v="25"/>
    <s v="Phoenix"/>
    <s v="Platinum"/>
    <s v="Female"/>
    <b v="1"/>
    <x v="0"/>
  </r>
  <r>
    <s v="ORD-20002"/>
    <s v="CUST-5001"/>
    <d v="2024-03-19T00:00:00"/>
    <s v="Toys"/>
    <s v="Action Figure"/>
    <n v="19.989999999999998"/>
    <n v="2"/>
    <n v="0"/>
    <n v="19.989999999999998"/>
    <n v="39.979999999999997"/>
    <s v="Wallet"/>
    <s v="Delivered"/>
    <n v="5"/>
    <n v="25"/>
    <s v="Phoenix"/>
    <s v="Platinum"/>
    <s v="Female"/>
    <b v="1"/>
    <x v="1"/>
  </r>
  <r>
    <s v="ORD-20003"/>
    <s v="CUST-5001"/>
    <d v="2022-01-05T00:00:00"/>
    <s v="Toys"/>
    <s v="Puzzle 1000pcs"/>
    <n v="24.99"/>
    <n v="2"/>
    <n v="15"/>
    <n v="21.24"/>
    <n v="42.48"/>
    <s v="Wallet"/>
    <s v="Delivered"/>
    <n v="5"/>
    <n v="25"/>
    <s v="Phoenix"/>
    <s v="Platinum"/>
    <s v="Female"/>
    <b v="1"/>
    <x v="2"/>
  </r>
  <r>
    <s v="ORD-20004"/>
    <s v="CUST-5001"/>
    <d v="2022-11-14T00:00:00"/>
    <s v="Home &amp; Kitchen"/>
    <s v="Blender"/>
    <n v="64.989999999999995"/>
    <n v="3"/>
    <n v="0"/>
    <n v="64.989999999999995"/>
    <n v="194.97"/>
    <s v="Credit Card"/>
    <s v="Delivered"/>
    <m/>
    <n v="25"/>
    <s v="Phoenix"/>
    <s v="Platinum"/>
    <s v="Female"/>
    <b v="1"/>
    <x v="3"/>
  </r>
  <r>
    <s v="ORD-20005"/>
    <s v="CUST-5001"/>
    <d v="2024-07-01T00:00:00"/>
    <s v="Clothing"/>
    <s v="Cotton T-Shirt"/>
    <n v="24.99"/>
    <n v="4"/>
    <n v="0"/>
    <n v="24.99"/>
    <n v="99.96"/>
    <s v="Credit Card"/>
    <s v="Delivered"/>
    <n v="4"/>
    <n v="25"/>
    <s v="Phoenix"/>
    <s v="Platinum"/>
    <s v="Female"/>
    <b v="1"/>
    <x v="4"/>
  </r>
  <r>
    <s v="ORD-20006"/>
    <s v="CUST-5001"/>
    <d v="2023-05-11T00:00:00"/>
    <s v="Home &amp; Kitchen"/>
    <s v="Blender"/>
    <n v="64.989999999999995"/>
    <n v="2"/>
    <n v="5"/>
    <n v="61.74"/>
    <n v="123.48"/>
    <s v="UPI"/>
    <s v="Delivered"/>
    <n v="5"/>
    <n v="25"/>
    <s v="Phoenix"/>
    <s v="Platinum"/>
    <s v="Female"/>
    <b v="1"/>
    <x v="5"/>
  </r>
  <r>
    <s v="ORD-20007"/>
    <s v="CUST-5002"/>
    <d v="2023-09-10T00:00:00"/>
    <s v="Home &amp; Kitchen"/>
    <s v="Blender"/>
    <n v="64.989999999999995"/>
    <n v="1"/>
    <n v="15"/>
    <n v="55.24"/>
    <n v="55.24"/>
    <s v="PayPal"/>
    <s v="Delivered"/>
    <m/>
    <n v="18"/>
    <s v="San Jose"/>
    <s v="Gold"/>
    <s v="Female"/>
    <b v="1"/>
    <x v="6"/>
  </r>
  <r>
    <s v="ORD-20008"/>
    <s v="CUST-5003"/>
    <d v="2022-08-20T00:00:00"/>
    <s v="Sports"/>
    <s v="Resistance Bands"/>
    <n v="19.989999999999998"/>
    <n v="3"/>
    <n v="0"/>
    <n v="19.989999999999998"/>
    <n v="59.97"/>
    <s v="Debit Card"/>
    <s v="Delivered"/>
    <n v="5"/>
    <n v="29"/>
    <s v="San Diego"/>
    <s v="Free"/>
    <s v="Female"/>
    <b v="1"/>
    <x v="7"/>
  </r>
  <r>
    <s v="ORD-20009"/>
    <s v="CUST-5003"/>
    <d v="2022-06-04T00:00:00"/>
    <s v="Electronics"/>
    <s v="Bluetooth Speaker"/>
    <n v="49.99"/>
    <n v="4"/>
    <n v="5"/>
    <n v="47.49"/>
    <n v="189.96"/>
    <s v="UPI"/>
    <s v="Delivered"/>
    <m/>
    <n v="29"/>
    <s v="San Diego"/>
    <s v="Free"/>
    <s v="Female"/>
    <b v="1"/>
    <x v="8"/>
  </r>
  <r>
    <s v="ORD-20010"/>
    <s v="CUST-5003"/>
    <d v="2023-07-16T00:00:00"/>
    <s v="Sports"/>
    <s v="Yoga Mat"/>
    <n v="29.99"/>
    <n v="3"/>
    <n v="15"/>
    <n v="25.49"/>
    <n v="76.47"/>
    <s v="UPI"/>
    <s v="Delivered"/>
    <n v="4"/>
    <n v="29"/>
    <s v="San Diego"/>
    <s v="Free"/>
    <s v="Female"/>
    <b v="1"/>
    <x v="9"/>
  </r>
  <r>
    <s v="ORD-20011"/>
    <s v="CUST-5003"/>
    <d v="2023-07-26T00:00:00"/>
    <s v="Sports"/>
    <s v="Resistance Bands"/>
    <n v="19.989999999999998"/>
    <n v="3"/>
    <n v="0"/>
    <n v="19.989999999999998"/>
    <n v="59.97"/>
    <s v="UPI"/>
    <s v="Delivered"/>
    <n v="5"/>
    <n v="29"/>
    <s v="San Diego"/>
    <s v="Free"/>
    <s v="Female"/>
    <b v="1"/>
    <x v="9"/>
  </r>
  <r>
    <s v="ORD-20012"/>
    <s v="CUST-5003"/>
    <d v="2023-01-05T00:00:00"/>
    <s v="Toys"/>
    <s v="Puzzle 1000pcs"/>
    <n v="24.99"/>
    <n v="1"/>
    <n v="10"/>
    <n v="22.49"/>
    <n v="22.49"/>
    <s v="PayPal"/>
    <s v="Cancelled"/>
    <n v="3"/>
    <n v="29"/>
    <s v="San Diego"/>
    <s v="Free"/>
    <s v="Female"/>
    <b v="1"/>
    <x v="10"/>
  </r>
  <r>
    <s v="ORD-20013"/>
    <s v="CUST-5003"/>
    <d v="2022-03-01T00:00:00"/>
    <s v="Home &amp; Kitchen"/>
    <s v="Coffee Maker"/>
    <n v="59.99"/>
    <n v="4"/>
    <n v="0"/>
    <n v="59.99"/>
    <n v="239.96"/>
    <s v="UPI"/>
    <s v="Delivered"/>
    <n v="5"/>
    <n v="29"/>
    <s v="San Diego"/>
    <s v="Free"/>
    <s v="Female"/>
    <b v="1"/>
    <x v="11"/>
  </r>
  <r>
    <s v="ORD-20014"/>
    <s v="CUST-5003"/>
    <d v="2022-06-24T00:00:00"/>
    <s v="Home &amp; Kitchen"/>
    <s v="Air Fryer"/>
    <n v="89.99"/>
    <n v="1"/>
    <n v="5"/>
    <n v="85.49"/>
    <n v="85.49"/>
    <s v="Wallet"/>
    <s v="Delivered"/>
    <n v="5"/>
    <n v="29"/>
    <s v="San Diego"/>
    <s v="Free"/>
    <s v="Female"/>
    <b v="1"/>
    <x v="8"/>
  </r>
  <r>
    <s v="ORD-20015"/>
    <s v="CUST-5003"/>
    <d v="2022-03-17T00:00:00"/>
    <s v="Electronics"/>
    <s v="Smart Watch"/>
    <n v="199.99"/>
    <n v="3"/>
    <n v="10"/>
    <n v="179.99"/>
    <n v="539.97"/>
    <s v="Credit Card"/>
    <s v="Delivered"/>
    <m/>
    <n v="29"/>
    <s v="San Diego"/>
    <s v="Free"/>
    <s v="Female"/>
    <b v="1"/>
    <x v="11"/>
  </r>
  <r>
    <s v="ORD-20016"/>
    <s v="CUST-5003"/>
    <d v="2022-04-06T00:00:00"/>
    <s v="Electronics"/>
    <s v="Wireless Earbuds"/>
    <n v="79.989999999999995"/>
    <n v="1"/>
    <n v="5"/>
    <n v="75.989999999999995"/>
    <n v="75.989999999999995"/>
    <s v="PayPal"/>
    <s v="Delivered"/>
    <n v="5"/>
    <n v="29"/>
    <s v="San Diego"/>
    <s v="Free"/>
    <s v="Female"/>
    <b v="1"/>
    <x v="12"/>
  </r>
  <r>
    <s v="ORD-20017"/>
    <s v="CUST-5003"/>
    <d v="2023-10-11T00:00:00"/>
    <s v="Sports"/>
    <s v="Water Bottle"/>
    <n v="24.99"/>
    <n v="3"/>
    <n v="20"/>
    <n v="19.989999999999998"/>
    <n v="59.97"/>
    <s v="Wallet"/>
    <s v="Delivered"/>
    <m/>
    <n v="29"/>
    <s v="San Diego"/>
    <s v="Free"/>
    <s v="Female"/>
    <b v="1"/>
    <x v="13"/>
  </r>
  <r>
    <s v="ORD-20018"/>
    <s v="CUST-5003"/>
    <d v="2023-12-02T00:00:00"/>
    <s v="Beauty"/>
    <s v="Lip Balm Set"/>
    <n v="14.99"/>
    <n v="3"/>
    <n v="5"/>
    <n v="14.24"/>
    <n v="42.72"/>
    <s v="Credit Card"/>
    <s v="Delivered"/>
    <n v="4"/>
    <n v="29"/>
    <s v="San Diego"/>
    <s v="Free"/>
    <s v="Female"/>
    <b v="1"/>
    <x v="14"/>
  </r>
  <r>
    <s v="ORD-20019"/>
    <s v="CUST-5004"/>
    <d v="2024-07-11T00:00:00"/>
    <s v="Home &amp; Kitchen"/>
    <s v="Non-stick Pan Set"/>
    <n v="44.99"/>
    <n v="1"/>
    <n v="20"/>
    <n v="35.99"/>
    <n v="35.99"/>
    <s v="PayPal"/>
    <s v="Delivered"/>
    <n v="5"/>
    <n v="32"/>
    <s v="Dallas"/>
    <s v="Free"/>
    <s v="Male"/>
    <b v="1"/>
    <x v="4"/>
  </r>
  <r>
    <s v="ORD-20020"/>
    <s v="CUST-5004"/>
    <d v="2023-01-23T00:00:00"/>
    <s v="Home &amp; Kitchen"/>
    <s v="Coffee Maker"/>
    <n v="59.99"/>
    <n v="2"/>
    <n v="0"/>
    <n v="59.99"/>
    <n v="119.98"/>
    <s v="Debit Card"/>
    <s v="Delivered"/>
    <n v="5"/>
    <n v="32"/>
    <s v="Dallas"/>
    <s v="Free"/>
    <s v="Male"/>
    <b v="1"/>
    <x v="10"/>
  </r>
  <r>
    <s v="ORD-20021"/>
    <s v="CUST-5004"/>
    <d v="2022-03-22T00:00:00"/>
    <s v="Home &amp; Kitchen"/>
    <s v="Non-stick Pan Set"/>
    <n v="44.99"/>
    <n v="4"/>
    <n v="15"/>
    <n v="38.24"/>
    <n v="152.96"/>
    <s v="Credit Card"/>
    <s v="Delivered"/>
    <n v="5"/>
    <n v="32"/>
    <s v="Dallas"/>
    <s v="Free"/>
    <s v="Male"/>
    <b v="1"/>
    <x v="11"/>
  </r>
  <r>
    <s v="ORD-20022"/>
    <s v="CUST-5004"/>
    <d v="2024-09-19T00:00:00"/>
    <s v="Beauty"/>
    <s v="Hair Mask"/>
    <n v="24.99"/>
    <n v="4"/>
    <n v="0"/>
    <n v="24.99"/>
    <n v="99.96"/>
    <s v="Credit Card"/>
    <s v="Delivered"/>
    <n v="1"/>
    <n v="32"/>
    <s v="Dallas"/>
    <s v="Free"/>
    <s v="Male"/>
    <b v="1"/>
    <x v="15"/>
  </r>
  <r>
    <s v="ORD-20023"/>
    <s v="CUST-5004"/>
    <d v="2024-03-16T00:00:00"/>
    <s v="Clothing"/>
    <s v="Running Shoes"/>
    <n v="89.99"/>
    <n v="2"/>
    <n v="10"/>
    <n v="80.989999999999995"/>
    <n v="161.97999999999999"/>
    <s v="UPI"/>
    <s v="Delivered"/>
    <n v="4"/>
    <n v="32"/>
    <s v="Dallas"/>
    <s v="Free"/>
    <s v="Male"/>
    <b v="1"/>
    <x v="1"/>
  </r>
  <r>
    <s v="ORD-20024"/>
    <s v="CUST-5004"/>
    <d v="2024-11-07T00:00:00"/>
    <s v="Books"/>
    <s v="Fiction Novel"/>
    <n v="14.99"/>
    <n v="1"/>
    <n v="10"/>
    <n v="13.49"/>
    <n v="13.49"/>
    <s v="Credit Card"/>
    <s v="Delivered"/>
    <n v="5"/>
    <n v="32"/>
    <s v="Dallas"/>
    <s v="Free"/>
    <s v="Male"/>
    <b v="1"/>
    <x v="16"/>
  </r>
  <r>
    <s v="ORD-20025"/>
    <s v="CUST-5004"/>
    <d v="2023-01-20T00:00:00"/>
    <s v="Beauty"/>
    <s v="Face Serum"/>
    <n v="39.99"/>
    <n v="4"/>
    <n v="10"/>
    <n v="35.99"/>
    <n v="143.96"/>
    <s v="Wallet"/>
    <s v="Delivered"/>
    <m/>
    <n v="32"/>
    <s v="Dallas"/>
    <s v="Free"/>
    <s v="Male"/>
    <b v="1"/>
    <x v="10"/>
  </r>
  <r>
    <s v="ORD-20026"/>
    <s v="CUST-5004"/>
    <d v="2024-03-13T00:00:00"/>
    <s v="Beauty"/>
    <s v="Hair Mask"/>
    <n v="24.99"/>
    <n v="2"/>
    <n v="15"/>
    <n v="21.24"/>
    <n v="42.48"/>
    <s v="Wallet"/>
    <s v="Delivered"/>
    <n v="4"/>
    <n v="32"/>
    <s v="Dallas"/>
    <s v="Free"/>
    <s v="Male"/>
    <b v="1"/>
    <x v="1"/>
  </r>
  <r>
    <s v="ORD-20027"/>
    <s v="CUST-5004"/>
    <d v="2022-02-27T00:00:00"/>
    <s v="Clothing"/>
    <s v="Yoga Pants"/>
    <n v="44.99"/>
    <n v="2"/>
    <n v="5"/>
    <n v="42.74"/>
    <n v="85.48"/>
    <s v="UPI"/>
    <s v="Delivered"/>
    <n v="3"/>
    <n v="32"/>
    <s v="Dallas"/>
    <s v="Free"/>
    <s v="Male"/>
    <b v="1"/>
    <x v="17"/>
  </r>
  <r>
    <s v="ORD-20028"/>
    <s v="CUST-5004"/>
    <d v="2022-03-01T00:00:00"/>
    <s v="Clothing"/>
    <s v="Yoga Pants"/>
    <n v="44.99"/>
    <n v="1"/>
    <n v="0"/>
    <n v="44.99"/>
    <n v="44.99"/>
    <s v="Debit Card"/>
    <s v="Delivered"/>
    <n v="5"/>
    <n v="32"/>
    <s v="Dallas"/>
    <s v="Free"/>
    <s v="Male"/>
    <b v="1"/>
    <x v="11"/>
  </r>
  <r>
    <s v="ORD-20029"/>
    <s v="CUST-5004"/>
    <d v="2023-04-12T00:00:00"/>
    <s v="Beauty"/>
    <s v="Face Serum"/>
    <n v="39.99"/>
    <n v="3"/>
    <n v="20"/>
    <n v="31.99"/>
    <n v="95.97"/>
    <s v="Credit Card"/>
    <s v="Processing"/>
    <m/>
    <n v="32"/>
    <s v="Dallas"/>
    <s v="Free"/>
    <s v="Male"/>
    <b v="1"/>
    <x v="18"/>
  </r>
  <r>
    <s v="ORD-20030"/>
    <s v="CUST-5004"/>
    <d v="2023-06-16T00:00:00"/>
    <s v="Electronics"/>
    <s v="Smart Watch"/>
    <n v="199.99"/>
    <n v="4"/>
    <n v="20"/>
    <n v="159.99"/>
    <n v="639.96"/>
    <s v="UPI"/>
    <s v="Delivered"/>
    <n v="5"/>
    <n v="32"/>
    <s v="Dallas"/>
    <s v="Free"/>
    <s v="Male"/>
    <b v="1"/>
    <x v="19"/>
  </r>
  <r>
    <s v="ORD-20031"/>
    <s v="CUST-5004"/>
    <d v="2022-10-06T00:00:00"/>
    <s v="Toys"/>
    <s v="Action Figure"/>
    <n v="19.989999999999998"/>
    <n v="4"/>
    <n v="0"/>
    <n v="19.989999999999998"/>
    <n v="79.959999999999994"/>
    <s v="Debit Card"/>
    <s v="Delivered"/>
    <n v="5"/>
    <n v="32"/>
    <s v="Dallas"/>
    <s v="Free"/>
    <s v="Male"/>
    <b v="1"/>
    <x v="20"/>
  </r>
  <r>
    <s v="ORD-20032"/>
    <s v="CUST-5005"/>
    <d v="2023-10-10T00:00:00"/>
    <s v="Beauty"/>
    <s v="Moisturizer SPF 50"/>
    <n v="29.99"/>
    <n v="3"/>
    <n v="20"/>
    <n v="23.99"/>
    <n v="71.97"/>
    <s v="Wallet"/>
    <s v="Delivered"/>
    <m/>
    <n v="24"/>
    <s v="Houston"/>
    <s v="Free"/>
    <s v="Male"/>
    <b v="1"/>
    <x v="13"/>
  </r>
  <r>
    <s v="ORD-20033"/>
    <s v="CUST-5005"/>
    <d v="2024-10-10T00:00:00"/>
    <s v="Clothing"/>
    <s v="Running Shoes"/>
    <n v="89.99"/>
    <n v="1"/>
    <n v="0"/>
    <n v="89.99"/>
    <n v="89.99"/>
    <s v="UPI"/>
    <s v="Delivered"/>
    <n v="5"/>
    <n v="24"/>
    <s v="Houston"/>
    <s v="Free"/>
    <s v="Male"/>
    <b v="1"/>
    <x v="21"/>
  </r>
  <r>
    <s v="ORD-20034"/>
    <s v="CUST-5005"/>
    <d v="2022-09-11T00:00:00"/>
    <s v="Sports"/>
    <s v="Jump Rope"/>
    <n v="14.99"/>
    <n v="2"/>
    <n v="0"/>
    <n v="14.99"/>
    <n v="29.98"/>
    <s v="Credit Card"/>
    <s v="Delivered"/>
    <n v="3"/>
    <n v="24"/>
    <s v="Houston"/>
    <s v="Free"/>
    <s v="Male"/>
    <b v="1"/>
    <x v="22"/>
  </r>
  <r>
    <s v="ORD-20035"/>
    <s v="CUST-5005"/>
    <d v="2022-11-13T00:00:00"/>
    <s v="Books"/>
    <s v="Fiction Novel"/>
    <n v="14.99"/>
    <n v="1"/>
    <n v="15"/>
    <n v="12.74"/>
    <n v="12.74"/>
    <s v="UPI"/>
    <s v="Delivered"/>
    <n v="5"/>
    <n v="24"/>
    <s v="Houston"/>
    <s v="Free"/>
    <s v="Male"/>
    <b v="1"/>
    <x v="3"/>
  </r>
  <r>
    <s v="ORD-20036"/>
    <s v="CUST-5005"/>
    <d v="2023-10-21T00:00:00"/>
    <s v="Beauty"/>
    <s v="Moisturizer SPF 50"/>
    <n v="29.99"/>
    <n v="1"/>
    <n v="20"/>
    <n v="23.99"/>
    <n v="23.99"/>
    <s v="PayPal"/>
    <s v="Delivered"/>
    <n v="3"/>
    <n v="24"/>
    <s v="Houston"/>
    <s v="Free"/>
    <s v="Male"/>
    <b v="1"/>
    <x v="13"/>
  </r>
  <r>
    <s v="ORD-20037"/>
    <s v="CUST-5005"/>
    <d v="2024-10-14T00:00:00"/>
    <s v="Home &amp; Kitchen"/>
    <s v="Air Fryer"/>
    <n v="89.99"/>
    <n v="2"/>
    <n v="20"/>
    <n v="71.989999999999995"/>
    <n v="143.97999999999999"/>
    <s v="Debit Card"/>
    <s v="Delivered"/>
    <n v="5"/>
    <n v="24"/>
    <s v="Houston"/>
    <s v="Free"/>
    <s v="Male"/>
    <b v="1"/>
    <x v="21"/>
  </r>
  <r>
    <s v="ORD-20038"/>
    <s v="CUST-5005"/>
    <d v="2023-01-13T00:00:00"/>
    <s v="Electronics"/>
    <s v="Bluetooth Speaker"/>
    <n v="49.99"/>
    <n v="1"/>
    <n v="15"/>
    <n v="42.49"/>
    <n v="42.49"/>
    <s v="Wallet"/>
    <s v="Delivered"/>
    <m/>
    <n v="24"/>
    <s v="Houston"/>
    <s v="Free"/>
    <s v="Male"/>
    <b v="1"/>
    <x v="10"/>
  </r>
  <r>
    <s v="ORD-20039"/>
    <s v="CUST-5005"/>
    <d v="2023-03-24T00:00:00"/>
    <s v="Electronics"/>
    <s v="Wireless Earbuds"/>
    <n v="79.989999999999995"/>
    <n v="3"/>
    <n v="5"/>
    <n v="75.989999999999995"/>
    <n v="227.97"/>
    <s v="Wallet"/>
    <s v="Delivered"/>
    <n v="5"/>
    <n v="24"/>
    <s v="Houston"/>
    <s v="Free"/>
    <s v="Male"/>
    <b v="1"/>
    <x v="23"/>
  </r>
  <r>
    <s v="ORD-20040"/>
    <s v="CUST-5005"/>
    <d v="2023-08-18T00:00:00"/>
    <s v="Toys"/>
    <s v="LEGO Classic Set"/>
    <n v="49.99"/>
    <n v="3"/>
    <n v="20"/>
    <n v="39.99"/>
    <n v="119.97"/>
    <s v="UPI"/>
    <s v="Delivered"/>
    <m/>
    <n v="24"/>
    <s v="Houston"/>
    <s v="Free"/>
    <s v="Male"/>
    <b v="1"/>
    <x v="24"/>
  </r>
  <r>
    <s v="ORD-20041"/>
    <s v="CUST-5006"/>
    <d v="2022-03-18T00:00:00"/>
    <s v="Sports"/>
    <s v="Resistance Bands"/>
    <n v="19.989999999999998"/>
    <n v="1"/>
    <n v="15"/>
    <n v="16.989999999999998"/>
    <n v="16.989999999999998"/>
    <s v="Debit Card"/>
    <s v="Delivered"/>
    <n v="4"/>
    <n v="52"/>
    <s v="Los Angeles"/>
    <s v="Free"/>
    <s v="Male"/>
    <b v="1"/>
    <x v="11"/>
  </r>
  <r>
    <s v="ORD-20042"/>
    <s v="CUST-5006"/>
    <d v="2024-07-10T00:00:00"/>
    <s v="Clothing"/>
    <s v="Cotton T-Shirt"/>
    <n v="24.99"/>
    <n v="4"/>
    <n v="0"/>
    <n v="24.99"/>
    <n v="99.96"/>
    <s v="Credit Card"/>
    <s v="Delivered"/>
    <m/>
    <n v="52"/>
    <s v="Los Angeles"/>
    <s v="Free"/>
    <s v="Male"/>
    <b v="1"/>
    <x v="4"/>
  </r>
  <r>
    <s v="ORD-20043"/>
    <s v="CUST-5006"/>
    <d v="2024-01-03T00:00:00"/>
    <s v="Books"/>
    <s v="Data Science Handbook"/>
    <n v="49.99"/>
    <n v="1"/>
    <n v="0"/>
    <n v="49.99"/>
    <n v="49.99"/>
    <s v="Wallet"/>
    <s v="Delivered"/>
    <n v="4"/>
    <n v="52"/>
    <s v="Los Angeles"/>
    <s v="Free"/>
    <s v="Male"/>
    <b v="1"/>
    <x v="25"/>
  </r>
  <r>
    <s v="ORD-20044"/>
    <s v="CUST-5006"/>
    <d v="2022-08-27T00:00:00"/>
    <s v="Books"/>
    <s v="Business Analytics"/>
    <n v="39.99"/>
    <n v="4"/>
    <n v="15"/>
    <n v="33.99"/>
    <n v="135.96"/>
    <s v="Debit Card"/>
    <s v="Delivered"/>
    <n v="5"/>
    <n v="52"/>
    <s v="Los Angeles"/>
    <s v="Free"/>
    <s v="Male"/>
    <b v="1"/>
    <x v="7"/>
  </r>
  <r>
    <s v="ORD-20045"/>
    <s v="CUST-5006"/>
    <d v="2022-06-23T00:00:00"/>
    <s v="Sports"/>
    <s v="Jump Rope"/>
    <n v="14.99"/>
    <n v="2"/>
    <n v="15"/>
    <n v="12.74"/>
    <n v="25.48"/>
    <s v="Credit Card"/>
    <s v="Delivered"/>
    <n v="5"/>
    <n v="52"/>
    <s v="Los Angeles"/>
    <s v="Free"/>
    <s v="Male"/>
    <b v="1"/>
    <x v="8"/>
  </r>
  <r>
    <s v="ORD-20046"/>
    <s v="CUST-5006"/>
    <d v="2024-08-26T00:00:00"/>
    <s v="Home &amp; Kitchen"/>
    <s v="Air Fryer"/>
    <n v="89.99"/>
    <n v="1"/>
    <n v="15"/>
    <n v="76.489999999999995"/>
    <n v="76.489999999999995"/>
    <s v="Debit Card"/>
    <s v="Processing"/>
    <n v="5"/>
    <n v="52"/>
    <s v="Los Angeles"/>
    <s v="Free"/>
    <s v="Male"/>
    <b v="1"/>
    <x v="26"/>
  </r>
  <r>
    <s v="ORD-20047"/>
    <s v="CUST-5006"/>
    <d v="2022-08-19T00:00:00"/>
    <s v="Toys"/>
    <s v="Action Figure"/>
    <n v="19.989999999999998"/>
    <n v="4"/>
    <n v="0"/>
    <n v="19.989999999999998"/>
    <n v="79.959999999999994"/>
    <s v="Debit Card"/>
    <s v="Delivered"/>
    <n v="5"/>
    <n v="52"/>
    <s v="Los Angeles"/>
    <s v="Free"/>
    <s v="Male"/>
    <b v="1"/>
    <x v="7"/>
  </r>
  <r>
    <s v="ORD-20048"/>
    <s v="CUST-5006"/>
    <d v="2023-03-18T00:00:00"/>
    <s v="Home &amp; Kitchen"/>
    <s v="Coffee Maker"/>
    <n v="59.99"/>
    <n v="4"/>
    <n v="0"/>
    <n v="59.99"/>
    <n v="239.96"/>
    <s v="UPI"/>
    <s v="Delivered"/>
    <n v="3"/>
    <n v="52"/>
    <s v="Los Angeles"/>
    <s v="Free"/>
    <s v="Male"/>
    <b v="1"/>
    <x v="23"/>
  </r>
  <r>
    <s v="ORD-20049"/>
    <s v="CUST-5006"/>
    <d v="2022-06-11T00:00:00"/>
    <s v="Sports"/>
    <s v="Yoga Mat"/>
    <n v="29.99"/>
    <n v="4"/>
    <n v="0"/>
    <n v="29.99"/>
    <n v="119.96"/>
    <s v="PayPal"/>
    <s v="Delivered"/>
    <n v="3"/>
    <n v="52"/>
    <s v="Los Angeles"/>
    <s v="Free"/>
    <s v="Male"/>
    <b v="1"/>
    <x v="8"/>
  </r>
  <r>
    <s v="ORD-20050"/>
    <s v="CUST-5006"/>
    <d v="2022-02-27T00:00:00"/>
    <s v="Home &amp; Kitchen"/>
    <s v="Non-stick Pan Set"/>
    <n v="44.99"/>
    <n v="2"/>
    <n v="0"/>
    <n v="44.99"/>
    <n v="89.98"/>
    <s v="Debit Card"/>
    <s v="Delivered"/>
    <m/>
    <n v="52"/>
    <s v="Los Angeles"/>
    <s v="Free"/>
    <s v="Male"/>
    <b v="1"/>
    <x v="17"/>
  </r>
  <r>
    <s v="ORD-20051"/>
    <s v="CUST-5006"/>
    <d v="2023-05-24T00:00:00"/>
    <s v="Home &amp; Kitchen"/>
    <s v="Air Fryer"/>
    <n v="89.99"/>
    <n v="1"/>
    <n v="0"/>
    <n v="89.99"/>
    <n v="89.99"/>
    <s v="Credit Card"/>
    <s v="Returned"/>
    <m/>
    <n v="52"/>
    <s v="Los Angeles"/>
    <s v="Free"/>
    <s v="Male"/>
    <b v="1"/>
    <x v="5"/>
  </r>
  <r>
    <s v="ORD-20052"/>
    <s v="CUST-5006"/>
    <d v="2023-07-24T00:00:00"/>
    <s v="Sports"/>
    <s v="Jump Rope"/>
    <n v="14.99"/>
    <n v="2"/>
    <n v="5"/>
    <n v="14.24"/>
    <n v="28.48"/>
    <s v="Wallet"/>
    <s v="Shipped"/>
    <n v="5"/>
    <n v="52"/>
    <s v="Los Angeles"/>
    <s v="Free"/>
    <s v="Male"/>
    <b v="1"/>
    <x v="9"/>
  </r>
  <r>
    <s v="ORD-20053"/>
    <s v="CUST-5006"/>
    <d v="2024-04-07T00:00:00"/>
    <s v="Beauty"/>
    <s v="Moisturizer SPF 50"/>
    <n v="29.99"/>
    <n v="2"/>
    <n v="10"/>
    <n v="26.99"/>
    <n v="53.98"/>
    <s v="PayPal"/>
    <s v="Delivered"/>
    <m/>
    <n v="52"/>
    <s v="Los Angeles"/>
    <s v="Free"/>
    <s v="Male"/>
    <b v="1"/>
    <x v="27"/>
  </r>
  <r>
    <s v="ORD-20054"/>
    <s v="CUST-5007"/>
    <d v="2022-03-19T00:00:00"/>
    <s v="Sports"/>
    <s v="Water Bottle"/>
    <n v="24.99"/>
    <n v="2"/>
    <n v="0"/>
    <n v="24.99"/>
    <n v="49.98"/>
    <s v="Wallet"/>
    <s v="Delivered"/>
    <m/>
    <n v="43"/>
    <s v="Dallas"/>
    <s v="Silver"/>
    <s v="Male"/>
    <b v="1"/>
    <x v="11"/>
  </r>
  <r>
    <s v="ORD-20055"/>
    <s v="CUST-5007"/>
    <d v="2024-04-05T00:00:00"/>
    <s v="Sports"/>
    <s v="Resistance Bands"/>
    <n v="19.989999999999998"/>
    <n v="2"/>
    <n v="0"/>
    <n v="19.989999999999998"/>
    <n v="39.979999999999997"/>
    <s v="Debit Card"/>
    <s v="Delivered"/>
    <n v="5"/>
    <n v="43"/>
    <s v="Dallas"/>
    <s v="Silver"/>
    <s v="Male"/>
    <b v="1"/>
    <x v="27"/>
  </r>
  <r>
    <s v="ORD-20056"/>
    <s v="CUST-5007"/>
    <d v="2023-12-12T00:00:00"/>
    <s v="Sports"/>
    <s v="Water Bottle"/>
    <n v="24.99"/>
    <n v="3"/>
    <n v="20"/>
    <n v="19.989999999999998"/>
    <n v="59.97"/>
    <s v="UPI"/>
    <s v="Delivered"/>
    <m/>
    <n v="43"/>
    <s v="Dallas"/>
    <s v="Silver"/>
    <s v="Male"/>
    <b v="1"/>
    <x v="14"/>
  </r>
  <r>
    <s v="ORD-20057"/>
    <s v="CUST-5007"/>
    <d v="2022-12-08T00:00:00"/>
    <s v="Clothing"/>
    <s v="Yoga Pants"/>
    <n v="44.99"/>
    <n v="4"/>
    <n v="20"/>
    <n v="35.99"/>
    <n v="143.96"/>
    <s v="UPI"/>
    <s v="Delivered"/>
    <m/>
    <n v="43"/>
    <s v="Dallas"/>
    <s v="Silver"/>
    <s v="Male"/>
    <b v="1"/>
    <x v="28"/>
  </r>
  <r>
    <s v="ORD-20058"/>
    <s v="CUST-5007"/>
    <d v="2023-06-23T00:00:00"/>
    <s v="Home &amp; Kitchen"/>
    <s v="Air Fryer"/>
    <n v="89.99"/>
    <n v="4"/>
    <n v="0"/>
    <n v="89.99"/>
    <n v="359.96"/>
    <s v="Debit Card"/>
    <s v="Shipped"/>
    <n v="5"/>
    <n v="43"/>
    <s v="Dallas"/>
    <s v="Silver"/>
    <s v="Male"/>
    <b v="1"/>
    <x v="19"/>
  </r>
  <r>
    <s v="ORD-20059"/>
    <s v="CUST-5007"/>
    <d v="2022-02-15T00:00:00"/>
    <s v="Clothing"/>
    <s v="Denim Jacket"/>
    <n v="69.989999999999995"/>
    <n v="2"/>
    <n v="20"/>
    <n v="55.99"/>
    <n v="111.98"/>
    <s v="Credit Card"/>
    <s v="Delivered"/>
    <m/>
    <n v="43"/>
    <s v="Dallas"/>
    <s v="Silver"/>
    <s v="Male"/>
    <b v="1"/>
    <x v="17"/>
  </r>
  <r>
    <s v="ORD-20060"/>
    <s v="CUST-5007"/>
    <d v="2022-04-19T00:00:00"/>
    <s v="Books"/>
    <s v="Fiction Novel"/>
    <n v="14.99"/>
    <n v="1"/>
    <n v="10"/>
    <n v="13.49"/>
    <n v="13.49"/>
    <s v="Wallet"/>
    <s v="Delivered"/>
    <n v="5"/>
    <n v="43"/>
    <s v="Dallas"/>
    <s v="Silver"/>
    <s v="Male"/>
    <b v="1"/>
    <x v="12"/>
  </r>
  <r>
    <s v="ORD-20061"/>
    <s v="CUST-5007"/>
    <d v="2024-11-10T00:00:00"/>
    <s v="Beauty"/>
    <s v="Hair Mask"/>
    <n v="24.99"/>
    <n v="4"/>
    <n v="15"/>
    <n v="21.24"/>
    <n v="84.96"/>
    <s v="Credit Card"/>
    <s v="Delivered"/>
    <m/>
    <n v="43"/>
    <s v="Dallas"/>
    <s v="Silver"/>
    <s v="Male"/>
    <b v="1"/>
    <x v="16"/>
  </r>
  <r>
    <s v="ORD-20062"/>
    <s v="CUST-5007"/>
    <d v="2023-07-11T00:00:00"/>
    <s v="Sports"/>
    <s v="Jump Rope"/>
    <n v="14.99"/>
    <n v="2"/>
    <n v="20"/>
    <n v="11.99"/>
    <n v="23.98"/>
    <s v="Debit Card"/>
    <s v="Delivered"/>
    <n v="4"/>
    <n v="43"/>
    <s v="Dallas"/>
    <s v="Silver"/>
    <s v="Male"/>
    <b v="1"/>
    <x v="9"/>
  </r>
  <r>
    <s v="ORD-20063"/>
    <s v="CUST-5007"/>
    <d v="2022-02-18T00:00:00"/>
    <s v="Beauty"/>
    <s v="Moisturizer SPF 50"/>
    <n v="29.99"/>
    <n v="2"/>
    <n v="0"/>
    <n v="29.99"/>
    <n v="59.98"/>
    <s v="Debit Card"/>
    <s v="Delivered"/>
    <n v="5"/>
    <n v="43"/>
    <s v="Dallas"/>
    <s v="Silver"/>
    <s v="Male"/>
    <b v="1"/>
    <x v="17"/>
  </r>
  <r>
    <s v="ORD-20064"/>
    <s v="CUST-5007"/>
    <d v="2024-04-12T00:00:00"/>
    <s v="Toys"/>
    <s v="Action Figure"/>
    <n v="19.989999999999998"/>
    <n v="2"/>
    <n v="10"/>
    <n v="17.989999999999998"/>
    <n v="35.979999999999997"/>
    <s v="Credit Card"/>
    <s v="Delivered"/>
    <n v="3"/>
    <n v="43"/>
    <s v="Dallas"/>
    <s v="Silver"/>
    <s v="Male"/>
    <b v="1"/>
    <x v="27"/>
  </r>
  <r>
    <s v="ORD-20065"/>
    <s v="CUST-5008"/>
    <d v="2022-10-27T00:00:00"/>
    <s v="Electronics"/>
    <s v="USB-C Hub"/>
    <n v="34.99"/>
    <n v="3"/>
    <n v="15"/>
    <n v="29.74"/>
    <n v="89.22"/>
    <s v="Credit Card"/>
    <s v="Delivered"/>
    <m/>
    <n v="21"/>
    <s v="San Antonio"/>
    <s v="Free"/>
    <s v="Female"/>
    <b v="1"/>
    <x v="20"/>
  </r>
  <r>
    <s v="ORD-20066"/>
    <s v="CUST-5008"/>
    <d v="2023-08-06T00:00:00"/>
    <s v="Electronics"/>
    <s v="Smart Watch"/>
    <n v="199.99"/>
    <n v="4"/>
    <n v="0"/>
    <n v="199.99"/>
    <n v="799.96"/>
    <s v="Wallet"/>
    <s v="Delivered"/>
    <n v="5"/>
    <n v="21"/>
    <s v="San Antonio"/>
    <s v="Free"/>
    <s v="Female"/>
    <b v="1"/>
    <x v="24"/>
  </r>
  <r>
    <s v="ORD-20067"/>
    <s v="CUST-5008"/>
    <d v="2022-03-09T00:00:00"/>
    <s v="Toys"/>
    <s v="Remote Control Car"/>
    <n v="39.99"/>
    <n v="4"/>
    <n v="5"/>
    <n v="37.99"/>
    <n v="151.96"/>
    <s v="PayPal"/>
    <s v="Delivered"/>
    <n v="5"/>
    <n v="21"/>
    <s v="San Antonio"/>
    <s v="Free"/>
    <s v="Female"/>
    <b v="1"/>
    <x v="11"/>
  </r>
  <r>
    <s v="ORD-20068"/>
    <s v="CUST-5008"/>
    <d v="2023-08-02T00:00:00"/>
    <s v="Home &amp; Kitchen"/>
    <s v="Blender"/>
    <n v="64.989999999999995"/>
    <n v="3"/>
    <n v="0"/>
    <n v="64.989999999999995"/>
    <n v="194.97"/>
    <s v="PayPal"/>
    <s v="Delivered"/>
    <n v="5"/>
    <n v="21"/>
    <s v="San Antonio"/>
    <s v="Free"/>
    <s v="Female"/>
    <b v="1"/>
    <x v="24"/>
  </r>
  <r>
    <s v="ORD-20069"/>
    <s v="CUST-5008"/>
    <d v="2023-11-06T00:00:00"/>
    <s v="Toys"/>
    <s v="Remote Control Car"/>
    <n v="39.99"/>
    <n v="4"/>
    <n v="0"/>
    <n v="39.99"/>
    <n v="159.96"/>
    <s v="Debit Card"/>
    <s v="Delivered"/>
    <n v="4"/>
    <n v="21"/>
    <s v="San Antonio"/>
    <s v="Free"/>
    <s v="Female"/>
    <b v="1"/>
    <x v="29"/>
  </r>
  <r>
    <s v="ORD-20070"/>
    <s v="CUST-5008"/>
    <d v="2024-05-01T00:00:00"/>
    <s v="Books"/>
    <s v="Business Analytics"/>
    <n v="39.99"/>
    <n v="3"/>
    <n v="5"/>
    <n v="37.99"/>
    <n v="113.97"/>
    <s v="Credit Card"/>
    <s v="Delivered"/>
    <m/>
    <n v="21"/>
    <s v="San Antonio"/>
    <s v="Free"/>
    <s v="Female"/>
    <b v="1"/>
    <x v="30"/>
  </r>
  <r>
    <s v="ORD-20071"/>
    <s v="CUST-5008"/>
    <d v="2022-12-06T00:00:00"/>
    <s v="Books"/>
    <s v="Python for Beginners"/>
    <n v="29.99"/>
    <n v="3"/>
    <n v="0"/>
    <n v="29.99"/>
    <n v="89.97"/>
    <s v="UPI"/>
    <s v="Delivered"/>
    <n v="5"/>
    <n v="21"/>
    <s v="San Antonio"/>
    <s v="Free"/>
    <s v="Female"/>
    <b v="1"/>
    <x v="28"/>
  </r>
  <r>
    <s v="ORD-20072"/>
    <s v="CUST-5008"/>
    <d v="2022-11-13T00:00:00"/>
    <s v="Books"/>
    <s v="Python for Beginners"/>
    <n v="29.99"/>
    <n v="3"/>
    <n v="0"/>
    <n v="29.99"/>
    <n v="89.97"/>
    <s v="UPI"/>
    <s v="Delivered"/>
    <m/>
    <n v="21"/>
    <s v="San Antonio"/>
    <s v="Free"/>
    <s v="Female"/>
    <b v="1"/>
    <x v="3"/>
  </r>
  <r>
    <s v="ORD-20073"/>
    <s v="CUST-5009"/>
    <d v="2022-05-25T00:00:00"/>
    <s v="Toys"/>
    <s v="Puzzle 1000pcs"/>
    <n v="24.99"/>
    <n v="1"/>
    <n v="15"/>
    <n v="21.24"/>
    <n v="21.24"/>
    <s v="Debit Card"/>
    <s v="Delivered"/>
    <n v="4"/>
    <n v="54"/>
    <s v="Philadelphia"/>
    <s v="Silver"/>
    <s v="Female"/>
    <b v="1"/>
    <x v="31"/>
  </r>
  <r>
    <s v="ORD-20074"/>
    <s v="CUST-5009"/>
    <d v="2023-03-20T00:00:00"/>
    <s v="Beauty"/>
    <s v="Lip Balm Set"/>
    <n v="14.99"/>
    <n v="4"/>
    <n v="20"/>
    <n v="11.99"/>
    <n v="47.96"/>
    <s v="Wallet"/>
    <s v="Delivered"/>
    <n v="4"/>
    <n v="54"/>
    <s v="Philadelphia"/>
    <s v="Silver"/>
    <s v="Female"/>
    <b v="1"/>
    <x v="23"/>
  </r>
  <r>
    <s v="ORD-20075"/>
    <s v="CUST-5009"/>
    <d v="2023-04-04T00:00:00"/>
    <s v="Toys"/>
    <s v="Action Figure"/>
    <n v="19.989999999999998"/>
    <n v="1"/>
    <n v="15"/>
    <n v="16.989999999999998"/>
    <n v="16.989999999999998"/>
    <s v="UPI"/>
    <s v="Delivered"/>
    <n v="4"/>
    <n v="54"/>
    <s v="Philadelphia"/>
    <s v="Silver"/>
    <s v="Female"/>
    <b v="1"/>
    <x v="18"/>
  </r>
  <r>
    <s v="ORD-20076"/>
    <s v="CUST-5009"/>
    <d v="2024-01-20T00:00:00"/>
    <s v="Toys"/>
    <s v="Remote Control Car"/>
    <n v="39.99"/>
    <n v="4"/>
    <n v="20"/>
    <n v="31.99"/>
    <n v="127.96"/>
    <s v="UPI"/>
    <s v="Shipped"/>
    <n v="5"/>
    <n v="54"/>
    <s v="Philadelphia"/>
    <s v="Silver"/>
    <s v="Female"/>
    <b v="1"/>
    <x v="25"/>
  </r>
  <r>
    <s v="ORD-20077"/>
    <s v="CUST-5009"/>
    <d v="2023-06-22T00:00:00"/>
    <s v="Home &amp; Kitchen"/>
    <s v="Blender"/>
    <n v="64.989999999999995"/>
    <n v="1"/>
    <n v="0"/>
    <n v="64.989999999999995"/>
    <n v="64.989999999999995"/>
    <s v="PayPal"/>
    <s v="Returned"/>
    <n v="4"/>
    <n v="54"/>
    <s v="Philadelphia"/>
    <s v="Silver"/>
    <s v="Female"/>
    <b v="1"/>
    <x v="19"/>
  </r>
  <r>
    <s v="ORD-20078"/>
    <s v="CUST-5009"/>
    <d v="2022-02-13T00:00:00"/>
    <s v="Beauty"/>
    <s v="Hair Mask"/>
    <n v="24.99"/>
    <n v="2"/>
    <n v="0"/>
    <n v="24.99"/>
    <n v="49.98"/>
    <s v="UPI"/>
    <s v="Delivered"/>
    <n v="5"/>
    <n v="54"/>
    <s v="Philadelphia"/>
    <s v="Silver"/>
    <s v="Female"/>
    <b v="1"/>
    <x v="17"/>
  </r>
  <r>
    <s v="ORD-20079"/>
    <s v="CUST-5009"/>
    <d v="2023-07-24T00:00:00"/>
    <s v="Toys"/>
    <s v="LEGO Classic Set"/>
    <n v="49.99"/>
    <n v="3"/>
    <n v="0"/>
    <n v="49.99"/>
    <n v="149.97"/>
    <s v="Wallet"/>
    <s v="Delivered"/>
    <n v="5"/>
    <n v="54"/>
    <s v="Philadelphia"/>
    <s v="Silver"/>
    <s v="Female"/>
    <b v="1"/>
    <x v="9"/>
  </r>
  <r>
    <s v="ORD-20080"/>
    <s v="CUST-5009"/>
    <d v="2023-06-27T00:00:00"/>
    <s v="Electronics"/>
    <s v="USB-C Hub"/>
    <n v="34.99"/>
    <n v="2"/>
    <n v="0"/>
    <n v="34.99"/>
    <n v="69.98"/>
    <s v="PayPal"/>
    <s v="Delivered"/>
    <n v="3"/>
    <n v="54"/>
    <s v="Philadelphia"/>
    <s v="Silver"/>
    <s v="Female"/>
    <b v="1"/>
    <x v="19"/>
  </r>
  <r>
    <s v="ORD-20081"/>
    <s v="CUST-5009"/>
    <d v="2022-04-13T00:00:00"/>
    <s v="Home &amp; Kitchen"/>
    <s v="Coffee Maker"/>
    <n v="59.99"/>
    <n v="1"/>
    <n v="15"/>
    <n v="50.99"/>
    <n v="50.99"/>
    <s v="Wallet"/>
    <s v="Delivered"/>
    <n v="4"/>
    <n v="54"/>
    <s v="Philadelphia"/>
    <s v="Silver"/>
    <s v="Female"/>
    <b v="1"/>
    <x v="12"/>
  </r>
  <r>
    <s v="ORD-20082"/>
    <s v="CUST-5009"/>
    <d v="2024-11-17T00:00:00"/>
    <s v="Beauty"/>
    <s v="Hair Mask"/>
    <n v="24.99"/>
    <n v="3"/>
    <n v="20"/>
    <n v="19.989999999999998"/>
    <n v="59.97"/>
    <s v="UPI"/>
    <s v="Delivered"/>
    <n v="5"/>
    <n v="54"/>
    <s v="Philadelphia"/>
    <s v="Silver"/>
    <s v="Female"/>
    <b v="1"/>
    <x v="16"/>
  </r>
  <r>
    <s v="ORD-20083"/>
    <s v="CUST-5009"/>
    <d v="2023-04-02T00:00:00"/>
    <s v="Home &amp; Kitchen"/>
    <s v="Air Fryer"/>
    <n v="89.99"/>
    <n v="3"/>
    <n v="5"/>
    <n v="85.49"/>
    <n v="256.47000000000003"/>
    <s v="UPI"/>
    <s v="Delivered"/>
    <n v="5"/>
    <n v="54"/>
    <s v="Philadelphia"/>
    <s v="Silver"/>
    <s v="Female"/>
    <b v="1"/>
    <x v="18"/>
  </r>
  <r>
    <s v="ORD-20084"/>
    <s v="CUST-5009"/>
    <d v="2024-07-18T00:00:00"/>
    <s v="Clothing"/>
    <s v="Running Shoes"/>
    <n v="89.99"/>
    <n v="3"/>
    <n v="5"/>
    <n v="85.49"/>
    <n v="256.47000000000003"/>
    <s v="PayPal"/>
    <s v="Delivered"/>
    <n v="5"/>
    <n v="54"/>
    <s v="Philadelphia"/>
    <s v="Silver"/>
    <s v="Female"/>
    <b v="1"/>
    <x v="4"/>
  </r>
  <r>
    <s v="ORD-20085"/>
    <s v="CUST-5009"/>
    <d v="2022-12-19T00:00:00"/>
    <s v="Books"/>
    <s v="Business Analytics"/>
    <n v="39.99"/>
    <n v="4"/>
    <n v="0"/>
    <n v="39.99"/>
    <n v="159.96"/>
    <s v="Credit Card"/>
    <s v="Delivered"/>
    <m/>
    <n v="54"/>
    <s v="Philadelphia"/>
    <s v="Silver"/>
    <s v="Female"/>
    <b v="1"/>
    <x v="28"/>
  </r>
  <r>
    <s v="ORD-20086"/>
    <s v="CUST-5009"/>
    <d v="2024-05-12T00:00:00"/>
    <s v="Electronics"/>
    <s v="Smart Watch"/>
    <n v="199.99"/>
    <n v="4"/>
    <n v="10"/>
    <n v="179.99"/>
    <n v="719.96"/>
    <s v="Debit Card"/>
    <s v="Delivered"/>
    <n v="4"/>
    <n v="54"/>
    <s v="Philadelphia"/>
    <s v="Silver"/>
    <s v="Female"/>
    <b v="1"/>
    <x v="30"/>
  </r>
  <r>
    <s v="ORD-20087"/>
    <s v="CUST-5010"/>
    <d v="2022-05-19T00:00:00"/>
    <s v="Books"/>
    <s v="Python for Beginners"/>
    <n v="29.99"/>
    <n v="1"/>
    <n v="20"/>
    <n v="23.99"/>
    <n v="23.99"/>
    <s v="Debit Card"/>
    <s v="Delivered"/>
    <n v="5"/>
    <n v="23"/>
    <s v="Jacksonville"/>
    <s v="Free"/>
    <s v="Male"/>
    <b v="1"/>
    <x v="31"/>
  </r>
  <r>
    <s v="ORD-20088"/>
    <s v="CUST-5010"/>
    <d v="2024-10-13T00:00:00"/>
    <s v="Home &amp; Kitchen"/>
    <s v="Air Fryer"/>
    <n v="89.99"/>
    <n v="3"/>
    <n v="0"/>
    <n v="89.99"/>
    <n v="269.97000000000003"/>
    <s v="PayPal"/>
    <s v="Delivered"/>
    <n v="3"/>
    <n v="23"/>
    <s v="Jacksonville"/>
    <s v="Free"/>
    <s v="Male"/>
    <b v="1"/>
    <x v="21"/>
  </r>
  <r>
    <s v="ORD-20089"/>
    <s v="CUST-5010"/>
    <d v="2022-10-01T00:00:00"/>
    <s v="Electronics"/>
    <s v="Bluetooth Speaker"/>
    <n v="49.99"/>
    <n v="2"/>
    <n v="5"/>
    <n v="47.49"/>
    <n v="94.98"/>
    <s v="UPI"/>
    <s v="Delivered"/>
    <n v="2"/>
    <n v="23"/>
    <s v="Jacksonville"/>
    <s v="Free"/>
    <s v="Male"/>
    <b v="1"/>
    <x v="20"/>
  </r>
  <r>
    <s v="ORD-20090"/>
    <s v="CUST-5010"/>
    <d v="2023-05-17T00:00:00"/>
    <s v="Beauty"/>
    <s v="Moisturizer SPF 50"/>
    <n v="29.99"/>
    <n v="3"/>
    <n v="0"/>
    <n v="29.99"/>
    <n v="89.97"/>
    <s v="PayPal"/>
    <s v="Delivered"/>
    <n v="3"/>
    <n v="23"/>
    <s v="Jacksonville"/>
    <s v="Free"/>
    <s v="Male"/>
    <b v="1"/>
    <x v="5"/>
  </r>
  <r>
    <s v="ORD-20091"/>
    <s v="CUST-5010"/>
    <d v="2023-01-16T00:00:00"/>
    <s v="Toys"/>
    <s v="Action Figure"/>
    <n v="19.989999999999998"/>
    <n v="2"/>
    <n v="5"/>
    <n v="18.989999999999998"/>
    <n v="37.979999999999997"/>
    <s v="PayPal"/>
    <s v="Delivered"/>
    <n v="4"/>
    <n v="23"/>
    <s v="Jacksonville"/>
    <s v="Free"/>
    <s v="Male"/>
    <b v="1"/>
    <x v="10"/>
  </r>
  <r>
    <s v="ORD-20092"/>
    <s v="CUST-5010"/>
    <d v="2023-05-15T00:00:00"/>
    <s v="Toys"/>
    <s v="Action Figure"/>
    <n v="19.989999999999998"/>
    <n v="4"/>
    <n v="10"/>
    <n v="17.989999999999998"/>
    <n v="71.959999999999994"/>
    <s v="PayPal"/>
    <s v="Delivered"/>
    <n v="5"/>
    <n v="23"/>
    <s v="Jacksonville"/>
    <s v="Free"/>
    <s v="Male"/>
    <b v="1"/>
    <x v="5"/>
  </r>
  <r>
    <s v="ORD-20093"/>
    <s v="CUST-5011"/>
    <d v="2024-09-18T00:00:00"/>
    <s v="Beauty"/>
    <s v="Moisturizer SPF 50"/>
    <n v="29.99"/>
    <n v="2"/>
    <n v="5"/>
    <n v="28.49"/>
    <n v="56.98"/>
    <s v="Credit Card"/>
    <s v="Delivered"/>
    <n v="4"/>
    <n v="48"/>
    <s v="Philadelphia"/>
    <s v="Gold"/>
    <s v="Male"/>
    <b v="1"/>
    <x v="15"/>
  </r>
  <r>
    <s v="ORD-20094"/>
    <s v="CUST-5011"/>
    <d v="2024-12-09T00:00:00"/>
    <s v="Beauty"/>
    <s v="Moisturizer SPF 50"/>
    <n v="29.99"/>
    <n v="3"/>
    <n v="0"/>
    <n v="29.99"/>
    <n v="89.97"/>
    <s v="PayPal"/>
    <s v="Delivered"/>
    <n v="3"/>
    <n v="48"/>
    <s v="Philadelphia"/>
    <s v="Gold"/>
    <s v="Male"/>
    <b v="1"/>
    <x v="32"/>
  </r>
  <r>
    <s v="ORD-20095"/>
    <s v="CUST-5011"/>
    <d v="2023-09-20T00:00:00"/>
    <s v="Home &amp; Kitchen"/>
    <s v="Non-stick Pan Set"/>
    <n v="44.99"/>
    <n v="2"/>
    <n v="15"/>
    <n v="38.24"/>
    <n v="76.48"/>
    <s v="PayPal"/>
    <s v="Delivered"/>
    <n v="3"/>
    <n v="48"/>
    <s v="Philadelphia"/>
    <s v="Gold"/>
    <s v="Male"/>
    <b v="1"/>
    <x v="6"/>
  </r>
  <r>
    <s v="ORD-20096"/>
    <s v="CUST-5011"/>
    <d v="2022-07-14T00:00:00"/>
    <s v="Sports"/>
    <s v="Water Bottle"/>
    <n v="24.99"/>
    <n v="3"/>
    <n v="20"/>
    <n v="19.989999999999998"/>
    <n v="59.97"/>
    <s v="Wallet"/>
    <s v="Delivered"/>
    <n v="3"/>
    <n v="48"/>
    <s v="Philadelphia"/>
    <s v="Gold"/>
    <s v="Male"/>
    <b v="1"/>
    <x v="33"/>
  </r>
  <r>
    <s v="ORD-20097"/>
    <s v="CUST-5012"/>
    <d v="2023-07-21T00:00:00"/>
    <s v="Sports"/>
    <s v="Yoga Mat"/>
    <n v="29.99"/>
    <n v="2"/>
    <n v="10"/>
    <n v="26.99"/>
    <n v="53.98"/>
    <s v="Wallet"/>
    <s v="Delivered"/>
    <n v="4"/>
    <n v="25"/>
    <s v="New York"/>
    <s v="Free"/>
    <s v="Female"/>
    <b v="1"/>
    <x v="9"/>
  </r>
  <r>
    <s v="ORD-20098"/>
    <s v="CUST-5012"/>
    <d v="2022-11-28T00:00:00"/>
    <s v="Beauty"/>
    <s v="Face Serum"/>
    <n v="39.99"/>
    <n v="3"/>
    <n v="0"/>
    <n v="39.99"/>
    <n v="119.97"/>
    <s v="Wallet"/>
    <s v="Delivered"/>
    <n v="4"/>
    <n v="25"/>
    <s v="New York"/>
    <s v="Free"/>
    <s v="Female"/>
    <b v="1"/>
    <x v="3"/>
  </r>
  <r>
    <s v="ORD-20099"/>
    <s v="CUST-5012"/>
    <d v="2024-08-13T00:00:00"/>
    <s v="Toys"/>
    <s v="Remote Control Car"/>
    <n v="39.99"/>
    <n v="2"/>
    <n v="0"/>
    <n v="39.99"/>
    <n v="79.98"/>
    <s v="PayPal"/>
    <s v="Delivered"/>
    <n v="5"/>
    <n v="25"/>
    <s v="New York"/>
    <s v="Free"/>
    <s v="Female"/>
    <b v="1"/>
    <x v="26"/>
  </r>
  <r>
    <s v="ORD-20100"/>
    <s v="CUST-5012"/>
    <d v="2024-12-09T00:00:00"/>
    <s v="Sports"/>
    <s v="Resistance Bands"/>
    <n v="19.989999999999998"/>
    <n v="3"/>
    <n v="5"/>
    <n v="18.989999999999998"/>
    <n v="56.97"/>
    <s v="UPI"/>
    <s v="Delivered"/>
    <n v="5"/>
    <n v="25"/>
    <s v="New York"/>
    <s v="Free"/>
    <s v="Female"/>
    <b v="1"/>
    <x v="32"/>
  </r>
  <r>
    <s v="ORD-20101"/>
    <s v="CUST-5012"/>
    <d v="2022-08-06T00:00:00"/>
    <s v="Home &amp; Kitchen"/>
    <s v="Non-stick Pan Set"/>
    <n v="44.99"/>
    <n v="3"/>
    <n v="0"/>
    <n v="44.99"/>
    <n v="134.97"/>
    <s v="UPI"/>
    <s v="Delivered"/>
    <n v="5"/>
    <n v="25"/>
    <s v="New York"/>
    <s v="Free"/>
    <s v="Female"/>
    <b v="1"/>
    <x v="7"/>
  </r>
  <r>
    <s v="ORD-20102"/>
    <s v="CUST-5012"/>
    <d v="2023-09-28T00:00:00"/>
    <s v="Clothing"/>
    <s v="Denim Jacket"/>
    <n v="69.989999999999995"/>
    <n v="1"/>
    <n v="0"/>
    <n v="69.989999999999995"/>
    <n v="69.989999999999995"/>
    <s v="Wallet"/>
    <s v="Delivered"/>
    <m/>
    <n v="25"/>
    <s v="New York"/>
    <s v="Free"/>
    <s v="Female"/>
    <b v="1"/>
    <x v="6"/>
  </r>
  <r>
    <s v="ORD-20103"/>
    <s v="CUST-5012"/>
    <d v="2022-01-16T00:00:00"/>
    <s v="Sports"/>
    <s v="Water Bottle"/>
    <n v="24.99"/>
    <n v="1"/>
    <n v="0"/>
    <n v="24.99"/>
    <n v="24.99"/>
    <s v="UPI"/>
    <s v="Delivered"/>
    <n v="3"/>
    <n v="25"/>
    <s v="New York"/>
    <s v="Free"/>
    <s v="Female"/>
    <b v="1"/>
    <x v="2"/>
  </r>
  <r>
    <s v="ORD-20104"/>
    <s v="CUST-5012"/>
    <d v="2024-02-11T00:00:00"/>
    <s v="Books"/>
    <s v="Fiction Novel"/>
    <n v="14.99"/>
    <n v="3"/>
    <n v="10"/>
    <n v="13.49"/>
    <n v="40.47"/>
    <s v="Credit Card"/>
    <s v="Delivered"/>
    <n v="3"/>
    <n v="25"/>
    <s v="New York"/>
    <s v="Free"/>
    <s v="Female"/>
    <b v="1"/>
    <x v="0"/>
  </r>
  <r>
    <s v="ORD-20105"/>
    <s v="CUST-5012"/>
    <d v="2024-02-05T00:00:00"/>
    <s v="Books"/>
    <s v="Python for Beginners"/>
    <n v="29.99"/>
    <n v="3"/>
    <n v="0"/>
    <n v="29.99"/>
    <n v="89.97"/>
    <s v="UPI"/>
    <s v="Shipped"/>
    <n v="4"/>
    <n v="25"/>
    <s v="New York"/>
    <s v="Free"/>
    <s v="Female"/>
    <b v="1"/>
    <x v="0"/>
  </r>
  <r>
    <s v="ORD-20106"/>
    <s v="CUST-5012"/>
    <d v="2023-09-01T00:00:00"/>
    <s v="Clothing"/>
    <s v="Yoga Pants"/>
    <n v="44.99"/>
    <n v="3"/>
    <n v="0"/>
    <n v="44.99"/>
    <n v="134.97"/>
    <s v="Wallet"/>
    <s v="Shipped"/>
    <m/>
    <n v="25"/>
    <s v="New York"/>
    <s v="Free"/>
    <s v="Female"/>
    <b v="1"/>
    <x v="6"/>
  </r>
  <r>
    <s v="ORD-20107"/>
    <s v="CUST-5012"/>
    <d v="2022-12-26T00:00:00"/>
    <s v="Home &amp; Kitchen"/>
    <s v="Blender"/>
    <n v="64.989999999999995"/>
    <n v="2"/>
    <n v="10"/>
    <n v="58.49"/>
    <n v="116.98"/>
    <s v="UPI"/>
    <s v="Delivered"/>
    <n v="4"/>
    <n v="25"/>
    <s v="New York"/>
    <s v="Free"/>
    <s v="Female"/>
    <b v="1"/>
    <x v="28"/>
  </r>
  <r>
    <s v="ORD-20108"/>
    <s v="CUST-5012"/>
    <d v="2022-07-01T00:00:00"/>
    <s v="Toys"/>
    <s v="LEGO Classic Set"/>
    <n v="49.99"/>
    <n v="2"/>
    <n v="10"/>
    <n v="44.99"/>
    <n v="89.98"/>
    <s v="Credit Card"/>
    <s v="Delivered"/>
    <n v="5"/>
    <n v="25"/>
    <s v="New York"/>
    <s v="Free"/>
    <s v="Female"/>
    <b v="1"/>
    <x v="33"/>
  </r>
  <r>
    <s v="ORD-20109"/>
    <s v="CUST-5013"/>
    <d v="2023-10-10T00:00:00"/>
    <s v="Clothing"/>
    <s v="Yoga Pants"/>
    <n v="44.99"/>
    <n v="1"/>
    <n v="0"/>
    <n v="44.99"/>
    <n v="44.99"/>
    <s v="Credit Card"/>
    <s v="Delivered"/>
    <n v="5"/>
    <n v="28"/>
    <s v="Chicago"/>
    <s v="Free"/>
    <s v="Male"/>
    <b v="1"/>
    <x v="13"/>
  </r>
  <r>
    <s v="ORD-20110"/>
    <s v="CUST-5013"/>
    <d v="2023-09-19T00:00:00"/>
    <s v="Sports"/>
    <s v="Water Bottle"/>
    <n v="24.99"/>
    <n v="3"/>
    <n v="5"/>
    <n v="23.74"/>
    <n v="71.22"/>
    <s v="UPI"/>
    <s v="Delivered"/>
    <m/>
    <n v="28"/>
    <s v="Chicago"/>
    <s v="Free"/>
    <s v="Male"/>
    <b v="1"/>
    <x v="6"/>
  </r>
  <r>
    <s v="ORD-20111"/>
    <s v="CUST-5013"/>
    <d v="2024-04-14T00:00:00"/>
    <s v="Clothing"/>
    <s v="Yoga Pants"/>
    <n v="44.99"/>
    <n v="4"/>
    <n v="0"/>
    <n v="44.99"/>
    <n v="179.96"/>
    <s v="Wallet"/>
    <s v="Delivered"/>
    <n v="5"/>
    <n v="28"/>
    <s v="Chicago"/>
    <s v="Free"/>
    <s v="Male"/>
    <b v="1"/>
    <x v="27"/>
  </r>
  <r>
    <s v="ORD-20112"/>
    <s v="CUST-5013"/>
    <d v="2024-05-10T00:00:00"/>
    <s v="Sports"/>
    <s v="Yoga Mat"/>
    <n v="29.99"/>
    <n v="2"/>
    <n v="15"/>
    <n v="25.49"/>
    <n v="50.98"/>
    <s v="Debit Card"/>
    <s v="Delivered"/>
    <n v="5"/>
    <n v="28"/>
    <s v="Chicago"/>
    <s v="Free"/>
    <s v="Male"/>
    <b v="1"/>
    <x v="30"/>
  </r>
  <r>
    <s v="ORD-20113"/>
    <s v="CUST-5013"/>
    <d v="2023-07-22T00:00:00"/>
    <s v="Home &amp; Kitchen"/>
    <s v="Non-stick Pan Set"/>
    <n v="44.99"/>
    <n v="1"/>
    <n v="5"/>
    <n v="42.74"/>
    <n v="42.74"/>
    <s v="Credit Card"/>
    <s v="Delivered"/>
    <n v="4"/>
    <n v="28"/>
    <s v="Chicago"/>
    <s v="Free"/>
    <s v="Male"/>
    <b v="1"/>
    <x v="9"/>
  </r>
  <r>
    <s v="ORD-20114"/>
    <s v="CUST-5013"/>
    <d v="2022-08-02T00:00:00"/>
    <s v="Electronics"/>
    <s v="USB-C Hub"/>
    <n v="34.99"/>
    <n v="1"/>
    <n v="0"/>
    <n v="34.99"/>
    <n v="34.99"/>
    <s v="Credit Card"/>
    <s v="Delivered"/>
    <n v="4"/>
    <n v="28"/>
    <s v="Chicago"/>
    <s v="Free"/>
    <s v="Male"/>
    <b v="1"/>
    <x v="7"/>
  </r>
  <r>
    <s v="ORD-20115"/>
    <s v="CUST-5013"/>
    <d v="2023-12-27T00:00:00"/>
    <s v="Books"/>
    <s v="Data Science Handbook"/>
    <n v="49.99"/>
    <n v="3"/>
    <n v="0"/>
    <n v="49.99"/>
    <n v="149.97"/>
    <s v="Wallet"/>
    <s v="Delivered"/>
    <m/>
    <n v="28"/>
    <s v="Chicago"/>
    <s v="Free"/>
    <s v="Male"/>
    <b v="1"/>
    <x v="14"/>
  </r>
  <r>
    <s v="ORD-20116"/>
    <s v="CUST-5013"/>
    <d v="2024-05-24T00:00:00"/>
    <s v="Toys"/>
    <s v="LEGO Classic Set"/>
    <n v="49.99"/>
    <n v="1"/>
    <n v="0"/>
    <n v="49.99"/>
    <n v="49.99"/>
    <s v="Debit Card"/>
    <s v="Delivered"/>
    <n v="5"/>
    <n v="28"/>
    <s v="Chicago"/>
    <s v="Free"/>
    <s v="Male"/>
    <b v="1"/>
    <x v="30"/>
  </r>
  <r>
    <s v="ORD-20117"/>
    <s v="CUST-5013"/>
    <d v="2024-05-09T00:00:00"/>
    <s v="Home &amp; Kitchen"/>
    <s v="Non-stick Pan Set"/>
    <n v="44.99"/>
    <n v="1"/>
    <n v="0"/>
    <n v="44.99"/>
    <n v="44.99"/>
    <s v="Debit Card"/>
    <s v="Delivered"/>
    <n v="2"/>
    <n v="28"/>
    <s v="Chicago"/>
    <s v="Free"/>
    <s v="Male"/>
    <b v="1"/>
    <x v="30"/>
  </r>
  <r>
    <s v="ORD-20118"/>
    <s v="CUST-5013"/>
    <d v="2024-01-08T00:00:00"/>
    <s v="Toys"/>
    <s v="Action Figure"/>
    <n v="19.989999999999998"/>
    <n v="4"/>
    <n v="20"/>
    <n v="15.99"/>
    <n v="63.96"/>
    <s v="Wallet"/>
    <s v="Delivered"/>
    <n v="3"/>
    <n v="28"/>
    <s v="Chicago"/>
    <s v="Free"/>
    <s v="Male"/>
    <b v="1"/>
    <x v="25"/>
  </r>
  <r>
    <s v="ORD-20119"/>
    <s v="CUST-5014"/>
    <d v="2024-11-13T00:00:00"/>
    <s v="Clothing"/>
    <s v="Running Shoes"/>
    <n v="89.99"/>
    <n v="4"/>
    <n v="0"/>
    <n v="89.99"/>
    <n v="359.96"/>
    <s v="Debit Card"/>
    <s v="Delivered"/>
    <n v="5"/>
    <n v="49"/>
    <s v="Houston"/>
    <s v="Gold"/>
    <s v="Female"/>
    <b v="1"/>
    <x v="16"/>
  </r>
  <r>
    <s v="ORD-20120"/>
    <s v="CUST-5014"/>
    <d v="2023-09-14T00:00:00"/>
    <s v="Books"/>
    <s v="Python for Beginners"/>
    <n v="29.99"/>
    <n v="2"/>
    <n v="10"/>
    <n v="26.99"/>
    <n v="53.98"/>
    <s v="Debit Card"/>
    <s v="Delivered"/>
    <n v="4"/>
    <n v="49"/>
    <s v="Houston"/>
    <s v="Gold"/>
    <s v="Female"/>
    <b v="1"/>
    <x v="6"/>
  </r>
  <r>
    <s v="ORD-20121"/>
    <s v="CUST-5014"/>
    <d v="2023-02-23T00:00:00"/>
    <s v="Beauty"/>
    <s v="Face Serum"/>
    <n v="39.99"/>
    <n v="3"/>
    <n v="0"/>
    <n v="39.99"/>
    <n v="119.97"/>
    <s v="PayPal"/>
    <s v="Delivered"/>
    <n v="5"/>
    <n v="49"/>
    <s v="Houston"/>
    <s v="Gold"/>
    <s v="Female"/>
    <b v="1"/>
    <x v="34"/>
  </r>
  <r>
    <s v="ORD-20122"/>
    <s v="CUST-5015"/>
    <d v="2024-11-13T00:00:00"/>
    <s v="Clothing"/>
    <s v="Running Shoes"/>
    <n v="89.99"/>
    <n v="4"/>
    <n v="5"/>
    <n v="85.49"/>
    <n v="341.96"/>
    <s v="UPI"/>
    <s v="Cancelled"/>
    <n v="4"/>
    <n v="52"/>
    <s v="Los Angeles"/>
    <s v="Free"/>
    <s v="Female"/>
    <b v="1"/>
    <x v="16"/>
  </r>
  <r>
    <s v="ORD-20123"/>
    <s v="CUST-5015"/>
    <d v="2022-09-23T00:00:00"/>
    <s v="Home &amp; Kitchen"/>
    <s v="Non-stick Pan Set"/>
    <n v="44.99"/>
    <n v="4"/>
    <n v="5"/>
    <n v="42.74"/>
    <n v="170.96"/>
    <s v="Wallet"/>
    <s v="Delivered"/>
    <n v="4"/>
    <n v="52"/>
    <s v="Los Angeles"/>
    <s v="Free"/>
    <s v="Female"/>
    <b v="1"/>
    <x v="22"/>
  </r>
  <r>
    <s v="ORD-20124"/>
    <s v="CUST-5015"/>
    <d v="2024-06-21T00:00:00"/>
    <s v="Toys"/>
    <s v="Action Figure"/>
    <n v="19.989999999999998"/>
    <n v="1"/>
    <n v="15"/>
    <n v="16.989999999999998"/>
    <n v="16.989999999999998"/>
    <s v="Debit Card"/>
    <s v="Delivered"/>
    <n v="5"/>
    <n v="52"/>
    <s v="Los Angeles"/>
    <s v="Free"/>
    <s v="Female"/>
    <b v="1"/>
    <x v="35"/>
  </r>
  <r>
    <s v="ORD-20125"/>
    <s v="CUST-5015"/>
    <d v="2024-05-27T00:00:00"/>
    <s v="Electronics"/>
    <s v="USB-C Hub"/>
    <n v="34.99"/>
    <n v="4"/>
    <n v="20"/>
    <n v="27.99"/>
    <n v="111.96"/>
    <s v="Wallet"/>
    <s v="Delivered"/>
    <n v="3"/>
    <n v="52"/>
    <s v="Los Angeles"/>
    <s v="Free"/>
    <s v="Female"/>
    <b v="1"/>
    <x v="30"/>
  </r>
  <r>
    <s v="ORD-20126"/>
    <s v="CUST-5015"/>
    <d v="2024-02-11T00:00:00"/>
    <s v="Sports"/>
    <s v="Yoga Mat"/>
    <n v="29.99"/>
    <n v="2"/>
    <n v="0"/>
    <n v="29.99"/>
    <n v="59.98"/>
    <s v="Wallet"/>
    <s v="Delivered"/>
    <m/>
    <n v="52"/>
    <s v="Los Angeles"/>
    <s v="Free"/>
    <s v="Female"/>
    <b v="1"/>
    <x v="0"/>
  </r>
  <r>
    <s v="ORD-20127"/>
    <s v="CUST-5015"/>
    <d v="2023-03-23T00:00:00"/>
    <s v="Books"/>
    <s v="Python for Beginners"/>
    <n v="29.99"/>
    <n v="1"/>
    <n v="20"/>
    <n v="23.99"/>
    <n v="23.99"/>
    <s v="Credit Card"/>
    <s v="Delivered"/>
    <n v="3"/>
    <n v="52"/>
    <s v="Los Angeles"/>
    <s v="Free"/>
    <s v="Female"/>
    <b v="1"/>
    <x v="23"/>
  </r>
  <r>
    <s v="ORD-20128"/>
    <s v="CUST-5015"/>
    <d v="2024-04-14T00:00:00"/>
    <s v="Toys"/>
    <s v="LEGO Classic Set"/>
    <n v="49.99"/>
    <n v="2"/>
    <n v="0"/>
    <n v="49.99"/>
    <n v="99.98"/>
    <s v="Debit Card"/>
    <s v="Delivered"/>
    <n v="3"/>
    <n v="52"/>
    <s v="Los Angeles"/>
    <s v="Free"/>
    <s v="Female"/>
    <b v="1"/>
    <x v="27"/>
  </r>
  <r>
    <s v="ORD-20129"/>
    <s v="CUST-5015"/>
    <d v="2022-07-27T00:00:00"/>
    <s v="Toys"/>
    <s v="Puzzle 1000pcs"/>
    <n v="24.99"/>
    <n v="2"/>
    <n v="0"/>
    <n v="24.99"/>
    <n v="49.98"/>
    <s v="Credit Card"/>
    <s v="Delivered"/>
    <n v="5"/>
    <n v="52"/>
    <s v="Los Angeles"/>
    <s v="Free"/>
    <s v="Female"/>
    <b v="1"/>
    <x v="33"/>
  </r>
  <r>
    <s v="ORD-20130"/>
    <s v="CUST-5015"/>
    <d v="2024-12-23T00:00:00"/>
    <s v="Clothing"/>
    <s v="Yoga Pants"/>
    <n v="44.99"/>
    <n v="2"/>
    <n v="10"/>
    <n v="40.49"/>
    <n v="80.98"/>
    <s v="UPI"/>
    <s v="Returned"/>
    <m/>
    <n v="52"/>
    <s v="Los Angeles"/>
    <s v="Free"/>
    <s v="Female"/>
    <b v="1"/>
    <x v="32"/>
  </r>
  <r>
    <s v="ORD-20131"/>
    <s v="CUST-5015"/>
    <d v="2022-06-10T00:00:00"/>
    <s v="Toys"/>
    <s v="Remote Control Car"/>
    <n v="39.99"/>
    <n v="4"/>
    <n v="15"/>
    <n v="33.99"/>
    <n v="135.96"/>
    <s v="Wallet"/>
    <s v="Delivered"/>
    <n v="4"/>
    <n v="52"/>
    <s v="Los Angeles"/>
    <s v="Free"/>
    <s v="Female"/>
    <b v="1"/>
    <x v="8"/>
  </r>
  <r>
    <s v="ORD-20132"/>
    <s v="CUST-5016"/>
    <d v="2023-04-26T00:00:00"/>
    <s v="Beauty"/>
    <s v="Lip Balm Set"/>
    <n v="14.99"/>
    <n v="3"/>
    <n v="15"/>
    <n v="12.74"/>
    <n v="38.22"/>
    <s v="PayPal"/>
    <s v="Shipped"/>
    <n v="5"/>
    <n v="20"/>
    <s v="Houston"/>
    <s v="Free"/>
    <s v="Male"/>
    <b v="1"/>
    <x v="18"/>
  </r>
  <r>
    <s v="ORD-20133"/>
    <s v="CUST-5016"/>
    <d v="2023-04-03T00:00:00"/>
    <s v="Sports"/>
    <s v="Water Bottle"/>
    <n v="24.99"/>
    <n v="1"/>
    <n v="0"/>
    <n v="24.99"/>
    <n v="24.99"/>
    <s v="UPI"/>
    <s v="Delivered"/>
    <n v="4"/>
    <n v="20"/>
    <s v="Houston"/>
    <s v="Free"/>
    <s v="Male"/>
    <b v="1"/>
    <x v="18"/>
  </r>
  <r>
    <s v="ORD-20134"/>
    <s v="CUST-5016"/>
    <d v="2022-02-19T00:00:00"/>
    <s v="Books"/>
    <s v="Fiction Novel"/>
    <n v="14.99"/>
    <n v="4"/>
    <n v="20"/>
    <n v="11.99"/>
    <n v="47.96"/>
    <s v="Wallet"/>
    <s v="Processing"/>
    <n v="5"/>
    <n v="20"/>
    <s v="Houston"/>
    <s v="Free"/>
    <s v="Male"/>
    <b v="1"/>
    <x v="17"/>
  </r>
  <r>
    <s v="ORD-20135"/>
    <s v="CUST-5016"/>
    <d v="2024-01-07T00:00:00"/>
    <s v="Books"/>
    <s v="Python for Beginners"/>
    <n v="29.99"/>
    <n v="2"/>
    <n v="5"/>
    <n v="28.49"/>
    <n v="56.98"/>
    <s v="Debit Card"/>
    <s v="Delivered"/>
    <n v="5"/>
    <n v="20"/>
    <s v="Houston"/>
    <s v="Free"/>
    <s v="Male"/>
    <b v="1"/>
    <x v="25"/>
  </r>
  <r>
    <s v="ORD-20136"/>
    <s v="CUST-5016"/>
    <d v="2023-06-16T00:00:00"/>
    <s v="Beauty"/>
    <s v="Face Serum"/>
    <n v="39.99"/>
    <n v="4"/>
    <n v="0"/>
    <n v="39.99"/>
    <n v="159.96"/>
    <s v="UPI"/>
    <s v="Delivered"/>
    <m/>
    <n v="20"/>
    <s v="Houston"/>
    <s v="Free"/>
    <s v="Male"/>
    <b v="1"/>
    <x v="19"/>
  </r>
  <r>
    <s v="ORD-20137"/>
    <s v="CUST-5016"/>
    <d v="2024-05-04T00:00:00"/>
    <s v="Electronics"/>
    <s v="USB-C Hub"/>
    <n v="34.99"/>
    <n v="2"/>
    <n v="10"/>
    <n v="31.49"/>
    <n v="62.98"/>
    <s v="Credit Card"/>
    <s v="Delivered"/>
    <m/>
    <n v="20"/>
    <s v="Houston"/>
    <s v="Free"/>
    <s v="Male"/>
    <b v="1"/>
    <x v="30"/>
  </r>
  <r>
    <s v="ORD-20138"/>
    <s v="CUST-5016"/>
    <d v="2024-08-12T00:00:00"/>
    <s v="Beauty"/>
    <s v="Moisturizer SPF 50"/>
    <n v="29.99"/>
    <n v="4"/>
    <n v="0"/>
    <n v="29.99"/>
    <n v="119.96"/>
    <s v="UPI"/>
    <s v="Delivered"/>
    <n v="3"/>
    <n v="20"/>
    <s v="Houston"/>
    <s v="Free"/>
    <s v="Male"/>
    <b v="1"/>
    <x v="26"/>
  </r>
  <r>
    <s v="ORD-20139"/>
    <s v="CUST-5016"/>
    <d v="2023-10-22T00:00:00"/>
    <s v="Clothing"/>
    <s v="Cotton T-Shirt"/>
    <n v="24.99"/>
    <n v="1"/>
    <n v="10"/>
    <n v="22.49"/>
    <n v="22.49"/>
    <s v="Wallet"/>
    <s v="Delivered"/>
    <n v="2"/>
    <n v="20"/>
    <s v="Houston"/>
    <s v="Free"/>
    <s v="Male"/>
    <b v="1"/>
    <x v="13"/>
  </r>
  <r>
    <s v="ORD-20140"/>
    <s v="CUST-5017"/>
    <d v="2024-02-05T00:00:00"/>
    <s v="Electronics"/>
    <s v="Bluetooth Speaker"/>
    <n v="49.99"/>
    <n v="2"/>
    <n v="0"/>
    <n v="49.99"/>
    <n v="99.98"/>
    <s v="UPI"/>
    <s v="Delivered"/>
    <n v="4"/>
    <n v="45"/>
    <s v="Los Angeles"/>
    <s v="Platinum"/>
    <s v="Male"/>
    <b v="1"/>
    <x v="0"/>
  </r>
  <r>
    <s v="ORD-20141"/>
    <s v="CUST-5017"/>
    <d v="2023-12-14T00:00:00"/>
    <s v="Home &amp; Kitchen"/>
    <s v="Air Fryer"/>
    <n v="89.99"/>
    <n v="4"/>
    <n v="10"/>
    <n v="80.989999999999995"/>
    <n v="323.95999999999998"/>
    <s v="UPI"/>
    <s v="Delivered"/>
    <n v="4"/>
    <n v="45"/>
    <s v="Los Angeles"/>
    <s v="Platinum"/>
    <s v="Male"/>
    <b v="1"/>
    <x v="14"/>
  </r>
  <r>
    <s v="ORD-20142"/>
    <s v="CUST-5018"/>
    <d v="2023-03-06T00:00:00"/>
    <s v="Electronics"/>
    <s v="Bluetooth Speaker"/>
    <n v="49.99"/>
    <n v="3"/>
    <n v="0"/>
    <n v="49.99"/>
    <n v="149.97"/>
    <s v="UPI"/>
    <s v="Shipped"/>
    <n v="4"/>
    <n v="62"/>
    <s v="San Antonio"/>
    <s v="Gold"/>
    <s v="Female"/>
    <b v="1"/>
    <x v="23"/>
  </r>
  <r>
    <s v="ORD-20143"/>
    <s v="CUST-5018"/>
    <d v="2022-08-09T00:00:00"/>
    <s v="Sports"/>
    <s v="Jump Rope"/>
    <n v="14.99"/>
    <n v="3"/>
    <n v="10"/>
    <n v="13.49"/>
    <n v="40.47"/>
    <s v="Debit Card"/>
    <s v="Shipped"/>
    <m/>
    <n v="62"/>
    <s v="San Antonio"/>
    <s v="Gold"/>
    <s v="Female"/>
    <b v="1"/>
    <x v="7"/>
  </r>
  <r>
    <s v="ORD-20144"/>
    <s v="CUST-5018"/>
    <d v="2022-05-10T00:00:00"/>
    <s v="Electronics"/>
    <s v="Smart Watch"/>
    <n v="199.99"/>
    <n v="3"/>
    <n v="0"/>
    <n v="199.99"/>
    <n v="599.97"/>
    <s v="Debit Card"/>
    <s v="Delivered"/>
    <n v="5"/>
    <n v="62"/>
    <s v="San Antonio"/>
    <s v="Gold"/>
    <s v="Female"/>
    <b v="1"/>
    <x v="31"/>
  </r>
  <r>
    <s v="ORD-20145"/>
    <s v="CUST-5018"/>
    <d v="2024-10-12T00:00:00"/>
    <s v="Sports"/>
    <s v="Yoga Mat"/>
    <n v="29.99"/>
    <n v="4"/>
    <n v="0"/>
    <n v="29.99"/>
    <n v="119.96"/>
    <s v="Wallet"/>
    <s v="Delivered"/>
    <n v="3"/>
    <n v="62"/>
    <s v="San Antonio"/>
    <s v="Gold"/>
    <s v="Female"/>
    <b v="1"/>
    <x v="21"/>
  </r>
  <r>
    <s v="ORD-20146"/>
    <s v="CUST-5018"/>
    <d v="2022-02-07T00:00:00"/>
    <s v="Beauty"/>
    <s v="Moisturizer SPF 50"/>
    <n v="29.99"/>
    <n v="4"/>
    <n v="5"/>
    <n v="28.49"/>
    <n v="113.96"/>
    <s v="Wallet"/>
    <s v="Returned"/>
    <m/>
    <n v="62"/>
    <s v="San Antonio"/>
    <s v="Gold"/>
    <s v="Female"/>
    <b v="1"/>
    <x v="17"/>
  </r>
  <r>
    <s v="ORD-20147"/>
    <s v="CUST-5018"/>
    <d v="2024-05-14T00:00:00"/>
    <s v="Home &amp; Kitchen"/>
    <s v="Coffee Maker"/>
    <n v="59.99"/>
    <n v="4"/>
    <n v="5"/>
    <n v="56.99"/>
    <n v="227.96"/>
    <s v="Credit Card"/>
    <s v="Delivered"/>
    <n v="4"/>
    <n v="62"/>
    <s v="San Antonio"/>
    <s v="Gold"/>
    <s v="Female"/>
    <b v="1"/>
    <x v="30"/>
  </r>
  <r>
    <s v="ORD-20148"/>
    <s v="CUST-5018"/>
    <d v="2022-02-01T00:00:00"/>
    <s v="Clothing"/>
    <s v="Cotton T-Shirt"/>
    <n v="24.99"/>
    <n v="3"/>
    <n v="10"/>
    <n v="22.49"/>
    <n v="67.47"/>
    <s v="Wallet"/>
    <s v="Shipped"/>
    <n v="5"/>
    <n v="62"/>
    <s v="San Antonio"/>
    <s v="Gold"/>
    <s v="Female"/>
    <b v="1"/>
    <x v="17"/>
  </r>
  <r>
    <s v="ORD-20149"/>
    <s v="CUST-5018"/>
    <d v="2022-08-27T00:00:00"/>
    <s v="Beauty"/>
    <s v="Moisturizer SPF 50"/>
    <n v="29.99"/>
    <n v="1"/>
    <n v="10"/>
    <n v="26.99"/>
    <n v="26.99"/>
    <s v="Wallet"/>
    <s v="Delivered"/>
    <n v="3"/>
    <n v="62"/>
    <s v="San Antonio"/>
    <s v="Gold"/>
    <s v="Female"/>
    <b v="1"/>
    <x v="7"/>
  </r>
  <r>
    <s v="ORD-20150"/>
    <s v="CUST-5018"/>
    <d v="2022-04-24T00:00:00"/>
    <s v="Beauty"/>
    <s v="Moisturizer SPF 50"/>
    <n v="29.99"/>
    <n v="3"/>
    <n v="0"/>
    <n v="29.99"/>
    <n v="89.97"/>
    <s v="PayPal"/>
    <s v="Delivered"/>
    <n v="5"/>
    <n v="62"/>
    <s v="San Antonio"/>
    <s v="Gold"/>
    <s v="Female"/>
    <b v="1"/>
    <x v="12"/>
  </r>
  <r>
    <s v="ORD-20151"/>
    <s v="CUST-5019"/>
    <d v="2023-09-27T00:00:00"/>
    <s v="Home &amp; Kitchen"/>
    <s v="Coffee Maker"/>
    <n v="59.99"/>
    <n v="2"/>
    <n v="0"/>
    <n v="59.99"/>
    <n v="119.98"/>
    <s v="Wallet"/>
    <s v="Delivered"/>
    <n v="3"/>
    <n v="51"/>
    <s v="Austin"/>
    <s v="Platinum"/>
    <s v="Female"/>
    <b v="1"/>
    <x v="6"/>
  </r>
  <r>
    <s v="ORD-20152"/>
    <s v="CUST-5019"/>
    <d v="2023-05-03T00:00:00"/>
    <s v="Sports"/>
    <s v="Yoga Mat"/>
    <n v="29.99"/>
    <n v="2"/>
    <n v="0"/>
    <n v="29.99"/>
    <n v="59.98"/>
    <s v="Credit Card"/>
    <s v="Delivered"/>
    <n v="5"/>
    <n v="51"/>
    <s v="Austin"/>
    <s v="Platinum"/>
    <s v="Female"/>
    <b v="1"/>
    <x v="5"/>
  </r>
  <r>
    <s v="ORD-20153"/>
    <s v="CUST-5019"/>
    <d v="2023-09-07T00:00:00"/>
    <s v="Beauty"/>
    <s v="Lip Balm Set"/>
    <n v="14.99"/>
    <n v="1"/>
    <n v="0"/>
    <n v="14.99"/>
    <n v="14.99"/>
    <s v="PayPal"/>
    <s v="Delivered"/>
    <n v="4"/>
    <n v="51"/>
    <s v="Austin"/>
    <s v="Platinum"/>
    <s v="Female"/>
    <b v="1"/>
    <x v="6"/>
  </r>
  <r>
    <s v="ORD-20154"/>
    <s v="CUST-5019"/>
    <d v="2024-05-06T00:00:00"/>
    <s v="Home &amp; Kitchen"/>
    <s v="Non-stick Pan Set"/>
    <n v="44.99"/>
    <n v="2"/>
    <n v="5"/>
    <n v="42.74"/>
    <n v="85.48"/>
    <s v="Wallet"/>
    <s v="Delivered"/>
    <n v="3"/>
    <n v="51"/>
    <s v="Austin"/>
    <s v="Platinum"/>
    <s v="Female"/>
    <b v="1"/>
    <x v="30"/>
  </r>
  <r>
    <s v="ORD-20155"/>
    <s v="CUST-5019"/>
    <d v="2022-09-07T00:00:00"/>
    <s v="Electronics"/>
    <s v="Bluetooth Speaker"/>
    <n v="49.99"/>
    <n v="2"/>
    <n v="10"/>
    <n v="44.99"/>
    <n v="89.98"/>
    <s v="Debit Card"/>
    <s v="Delivered"/>
    <m/>
    <n v="51"/>
    <s v="Austin"/>
    <s v="Platinum"/>
    <s v="Female"/>
    <b v="1"/>
    <x v="22"/>
  </r>
  <r>
    <s v="ORD-20156"/>
    <s v="CUST-5019"/>
    <d v="2024-08-19T00:00:00"/>
    <s v="Toys"/>
    <s v="Action Figure"/>
    <n v="19.989999999999998"/>
    <n v="4"/>
    <n v="20"/>
    <n v="15.99"/>
    <n v="63.96"/>
    <s v="UPI"/>
    <s v="Processing"/>
    <m/>
    <n v="51"/>
    <s v="Austin"/>
    <s v="Platinum"/>
    <s v="Female"/>
    <b v="1"/>
    <x v="26"/>
  </r>
  <r>
    <s v="ORD-20157"/>
    <s v="CUST-5019"/>
    <d v="2023-09-13T00:00:00"/>
    <s v="Electronics"/>
    <s v="Smart Watch"/>
    <n v="199.99"/>
    <n v="1"/>
    <n v="10"/>
    <n v="179.99"/>
    <n v="179.99"/>
    <s v="Wallet"/>
    <s v="Returned"/>
    <m/>
    <n v="51"/>
    <s v="Austin"/>
    <s v="Platinum"/>
    <s v="Female"/>
    <b v="1"/>
    <x v="6"/>
  </r>
  <r>
    <s v="ORD-20158"/>
    <s v="CUST-5019"/>
    <d v="2024-12-18T00:00:00"/>
    <s v="Toys"/>
    <s v="Puzzle 1000pcs"/>
    <n v="24.99"/>
    <n v="2"/>
    <n v="0"/>
    <n v="24.99"/>
    <n v="49.98"/>
    <s v="Wallet"/>
    <s v="Delivered"/>
    <m/>
    <n v="51"/>
    <s v="Austin"/>
    <s v="Platinum"/>
    <s v="Female"/>
    <b v="1"/>
    <x v="32"/>
  </r>
  <r>
    <s v="ORD-20159"/>
    <s v="CUST-5019"/>
    <d v="2023-07-14T00:00:00"/>
    <s v="Electronics"/>
    <s v="Wireless Earbuds"/>
    <n v="79.989999999999995"/>
    <n v="3"/>
    <n v="20"/>
    <n v="63.99"/>
    <n v="191.97"/>
    <s v="Wallet"/>
    <s v="Delivered"/>
    <n v="4"/>
    <n v="51"/>
    <s v="Austin"/>
    <s v="Platinum"/>
    <s v="Female"/>
    <b v="1"/>
    <x v="9"/>
  </r>
  <r>
    <s v="ORD-20160"/>
    <s v="CUST-5019"/>
    <d v="2022-12-07T00:00:00"/>
    <s v="Clothing"/>
    <s v="Running Shoes"/>
    <n v="89.99"/>
    <n v="2"/>
    <n v="5"/>
    <n v="85.49"/>
    <n v="170.98"/>
    <s v="Credit Card"/>
    <s v="Delivered"/>
    <n v="4"/>
    <n v="51"/>
    <s v="Austin"/>
    <s v="Platinum"/>
    <s v="Female"/>
    <b v="1"/>
    <x v="28"/>
  </r>
  <r>
    <s v="ORD-20161"/>
    <s v="CUST-5019"/>
    <d v="2023-10-01T00:00:00"/>
    <s v="Toys"/>
    <s v="Puzzle 1000pcs"/>
    <n v="24.99"/>
    <n v="3"/>
    <n v="0"/>
    <n v="24.99"/>
    <n v="74.97"/>
    <s v="Credit Card"/>
    <s v="Delivered"/>
    <m/>
    <n v="51"/>
    <s v="Austin"/>
    <s v="Platinum"/>
    <s v="Female"/>
    <b v="1"/>
    <x v="13"/>
  </r>
  <r>
    <s v="ORD-20162"/>
    <s v="CUST-5019"/>
    <d v="2024-08-05T00:00:00"/>
    <s v="Home &amp; Kitchen"/>
    <s v="Air Fryer"/>
    <n v="89.99"/>
    <n v="1"/>
    <n v="10"/>
    <n v="80.989999999999995"/>
    <n v="80.989999999999995"/>
    <s v="PayPal"/>
    <s v="Delivered"/>
    <m/>
    <n v="51"/>
    <s v="Austin"/>
    <s v="Platinum"/>
    <s v="Female"/>
    <b v="1"/>
    <x v="26"/>
  </r>
  <r>
    <s v="ORD-20163"/>
    <s v="CUST-5020"/>
    <d v="2023-02-07T00:00:00"/>
    <s v="Beauty"/>
    <s v="Lip Balm Set"/>
    <n v="14.99"/>
    <n v="1"/>
    <n v="10"/>
    <n v="13.49"/>
    <n v="13.49"/>
    <s v="Debit Card"/>
    <s v="Delivered"/>
    <n v="4"/>
    <n v="43"/>
    <s v="Phoenix"/>
    <s v="Free"/>
    <s v="Female"/>
    <b v="1"/>
    <x v="34"/>
  </r>
  <r>
    <s v="ORD-20164"/>
    <s v="CUST-5020"/>
    <d v="2023-03-21T00:00:00"/>
    <s v="Electronics"/>
    <s v="Bluetooth Speaker"/>
    <n v="49.99"/>
    <n v="1"/>
    <n v="10"/>
    <n v="44.99"/>
    <n v="44.99"/>
    <s v="PayPal"/>
    <s v="Delivered"/>
    <n v="4"/>
    <n v="43"/>
    <s v="Phoenix"/>
    <s v="Free"/>
    <s v="Female"/>
    <b v="1"/>
    <x v="23"/>
  </r>
  <r>
    <s v="ORD-20165"/>
    <s v="CUST-5020"/>
    <d v="2022-04-07T00:00:00"/>
    <s v="Toys"/>
    <s v="Remote Control Car"/>
    <n v="39.99"/>
    <n v="3"/>
    <n v="10"/>
    <n v="35.99"/>
    <n v="107.97"/>
    <s v="UPI"/>
    <s v="Delivered"/>
    <n v="4"/>
    <n v="43"/>
    <s v="Phoenix"/>
    <s v="Free"/>
    <s v="Female"/>
    <b v="1"/>
    <x v="12"/>
  </r>
  <r>
    <s v="ORD-20166"/>
    <s v="CUST-5020"/>
    <d v="2022-05-12T00:00:00"/>
    <s v="Beauty"/>
    <s v="Hair Mask"/>
    <n v="24.99"/>
    <n v="4"/>
    <n v="20"/>
    <n v="19.989999999999998"/>
    <n v="79.959999999999994"/>
    <s v="Wallet"/>
    <s v="Cancelled"/>
    <m/>
    <n v="43"/>
    <s v="Phoenix"/>
    <s v="Free"/>
    <s v="Female"/>
    <b v="1"/>
    <x v="31"/>
  </r>
  <r>
    <s v="ORD-20167"/>
    <s v="CUST-5020"/>
    <d v="2022-02-25T00:00:00"/>
    <s v="Clothing"/>
    <s v="Denim Jacket"/>
    <n v="69.989999999999995"/>
    <n v="2"/>
    <n v="5"/>
    <n v="66.489999999999995"/>
    <n v="132.97999999999999"/>
    <s v="Credit Card"/>
    <s v="Delivered"/>
    <n v="3"/>
    <n v="43"/>
    <s v="Phoenix"/>
    <s v="Free"/>
    <s v="Female"/>
    <b v="1"/>
    <x v="17"/>
  </r>
  <r>
    <s v="ORD-20168"/>
    <s v="CUST-5020"/>
    <d v="2022-07-21T00:00:00"/>
    <s v="Home &amp; Kitchen"/>
    <s v="Non-stick Pan Set"/>
    <n v="44.99"/>
    <n v="3"/>
    <n v="0"/>
    <n v="44.99"/>
    <n v="134.97"/>
    <s v="Debit Card"/>
    <s v="Delivered"/>
    <n v="3"/>
    <n v="43"/>
    <s v="Phoenix"/>
    <s v="Free"/>
    <s v="Female"/>
    <b v="1"/>
    <x v="33"/>
  </r>
  <r>
    <s v="ORD-20169"/>
    <s v="CUST-5020"/>
    <d v="2024-06-03T00:00:00"/>
    <s v="Books"/>
    <s v="Data Science Handbook"/>
    <n v="49.99"/>
    <n v="4"/>
    <n v="15"/>
    <n v="42.49"/>
    <n v="169.96"/>
    <s v="Debit Card"/>
    <s v="Delivered"/>
    <n v="5"/>
    <n v="43"/>
    <s v="Phoenix"/>
    <s v="Free"/>
    <s v="Female"/>
    <b v="1"/>
    <x v="35"/>
  </r>
  <r>
    <s v="ORD-20170"/>
    <s v="CUST-5020"/>
    <d v="2023-03-27T00:00:00"/>
    <s v="Beauty"/>
    <s v="Hair Mask"/>
    <n v="24.99"/>
    <n v="1"/>
    <n v="0"/>
    <n v="24.99"/>
    <n v="24.99"/>
    <s v="PayPal"/>
    <s v="Delivered"/>
    <n v="5"/>
    <n v="43"/>
    <s v="Phoenix"/>
    <s v="Free"/>
    <s v="Female"/>
    <b v="1"/>
    <x v="23"/>
  </r>
  <r>
    <s v="ORD-20171"/>
    <s v="CUST-5020"/>
    <d v="2022-05-13T00:00:00"/>
    <s v="Electronics"/>
    <s v="Smart Watch"/>
    <n v="199.99"/>
    <n v="1"/>
    <n v="0"/>
    <n v="199.99"/>
    <n v="199.99"/>
    <s v="Wallet"/>
    <s v="Delivered"/>
    <m/>
    <n v="43"/>
    <s v="Phoenix"/>
    <s v="Free"/>
    <s v="Female"/>
    <b v="1"/>
    <x v="31"/>
  </r>
  <r>
    <s v="ORD-20172"/>
    <s v="CUST-5020"/>
    <d v="2023-09-03T00:00:00"/>
    <s v="Books"/>
    <s v="Data Science Handbook"/>
    <n v="49.99"/>
    <n v="1"/>
    <n v="10"/>
    <n v="44.99"/>
    <n v="44.99"/>
    <s v="Wallet"/>
    <s v="Shipped"/>
    <n v="4"/>
    <n v="43"/>
    <s v="Phoenix"/>
    <s v="Free"/>
    <s v="Female"/>
    <b v="1"/>
    <x v="6"/>
  </r>
  <r>
    <s v="ORD-20173"/>
    <s v="CUST-5020"/>
    <d v="2022-03-16T00:00:00"/>
    <s v="Home &amp; Kitchen"/>
    <s v="Coffee Maker"/>
    <n v="59.99"/>
    <n v="4"/>
    <n v="0"/>
    <n v="59.99"/>
    <n v="239.96"/>
    <s v="UPI"/>
    <s v="Delivered"/>
    <n v="5"/>
    <n v="43"/>
    <s v="Phoenix"/>
    <s v="Free"/>
    <s v="Female"/>
    <b v="1"/>
    <x v="11"/>
  </r>
  <r>
    <s v="ORD-20174"/>
    <s v="CUST-5020"/>
    <d v="2022-05-19T00:00:00"/>
    <s v="Sports"/>
    <s v="Yoga Mat"/>
    <n v="29.99"/>
    <n v="3"/>
    <n v="20"/>
    <n v="23.99"/>
    <n v="71.97"/>
    <s v="Debit Card"/>
    <s v="Delivered"/>
    <m/>
    <n v="43"/>
    <s v="Phoenix"/>
    <s v="Free"/>
    <s v="Female"/>
    <b v="1"/>
    <x v="31"/>
  </r>
  <r>
    <s v="ORD-20175"/>
    <s v="CUST-5020"/>
    <d v="2024-07-02T00:00:00"/>
    <s v="Toys"/>
    <s v="Puzzle 1000pcs"/>
    <n v="24.99"/>
    <n v="4"/>
    <n v="15"/>
    <n v="21.24"/>
    <n v="84.96"/>
    <s v="Wallet"/>
    <s v="Delivered"/>
    <n v="3"/>
    <n v="43"/>
    <s v="Phoenix"/>
    <s v="Free"/>
    <s v="Female"/>
    <b v="1"/>
    <x v="4"/>
  </r>
  <r>
    <s v="ORD-20176"/>
    <s v="CUST-5020"/>
    <d v="2022-10-02T00:00:00"/>
    <s v="Electronics"/>
    <s v="Smart Watch"/>
    <n v="199.99"/>
    <n v="3"/>
    <n v="0"/>
    <n v="199.99"/>
    <n v="599.97"/>
    <s v="PayPal"/>
    <s v="Processing"/>
    <m/>
    <n v="43"/>
    <s v="Phoenix"/>
    <s v="Free"/>
    <s v="Female"/>
    <b v="1"/>
    <x v="20"/>
  </r>
  <r>
    <s v="ORD-20177"/>
    <s v="CUST-5020"/>
    <d v="2022-07-27T00:00:00"/>
    <s v="Toys"/>
    <s v="Remote Control Car"/>
    <n v="39.99"/>
    <n v="2"/>
    <n v="15"/>
    <n v="33.99"/>
    <n v="67.98"/>
    <s v="Wallet"/>
    <s v="Delivered"/>
    <n v="3"/>
    <n v="43"/>
    <s v="Phoenix"/>
    <s v="Free"/>
    <s v="Female"/>
    <b v="1"/>
    <x v="33"/>
  </r>
  <r>
    <s v="ORD-20178"/>
    <s v="CUST-5021"/>
    <d v="2022-05-21T00:00:00"/>
    <s v="Toys"/>
    <s v="LEGO Classic Set"/>
    <n v="49.99"/>
    <n v="3"/>
    <n v="5"/>
    <n v="47.49"/>
    <n v="142.47"/>
    <s v="UPI"/>
    <s v="Shipped"/>
    <n v="3"/>
    <n v="27"/>
    <s v="Jacksonville"/>
    <s v="Platinum"/>
    <s v="Male"/>
    <b v="1"/>
    <x v="31"/>
  </r>
  <r>
    <s v="ORD-20179"/>
    <s v="CUST-5021"/>
    <d v="2022-11-16T00:00:00"/>
    <s v="Clothing"/>
    <s v="Yoga Pants"/>
    <n v="44.99"/>
    <n v="2"/>
    <n v="10"/>
    <n v="40.49"/>
    <n v="80.98"/>
    <s v="UPI"/>
    <s v="Delivered"/>
    <n v="5"/>
    <n v="27"/>
    <s v="Jacksonville"/>
    <s v="Platinum"/>
    <s v="Male"/>
    <b v="1"/>
    <x v="3"/>
  </r>
  <r>
    <s v="ORD-20180"/>
    <s v="CUST-5021"/>
    <d v="2022-03-05T00:00:00"/>
    <s v="Home &amp; Kitchen"/>
    <s v="Non-stick Pan Set"/>
    <n v="44.99"/>
    <n v="4"/>
    <n v="20"/>
    <n v="35.99"/>
    <n v="143.96"/>
    <s v="UPI"/>
    <s v="Delivered"/>
    <n v="3"/>
    <n v="27"/>
    <s v="Jacksonville"/>
    <s v="Platinum"/>
    <s v="Male"/>
    <b v="1"/>
    <x v="11"/>
  </r>
  <r>
    <s v="ORD-20181"/>
    <s v="CUST-5021"/>
    <d v="2023-06-01T00:00:00"/>
    <s v="Home &amp; Kitchen"/>
    <s v="Air Fryer"/>
    <n v="89.99"/>
    <n v="2"/>
    <n v="0"/>
    <n v="89.99"/>
    <n v="179.98"/>
    <s v="Credit Card"/>
    <s v="Delivered"/>
    <n v="3"/>
    <n v="27"/>
    <s v="Jacksonville"/>
    <s v="Platinum"/>
    <s v="Male"/>
    <b v="1"/>
    <x v="19"/>
  </r>
  <r>
    <s v="ORD-20182"/>
    <s v="CUST-5022"/>
    <d v="2023-09-28T00:00:00"/>
    <s v="Clothing"/>
    <s v="Running Shoes"/>
    <n v="89.99"/>
    <n v="4"/>
    <n v="5"/>
    <n v="85.49"/>
    <n v="341.96"/>
    <s v="Debit Card"/>
    <s v="Shipped"/>
    <n v="5"/>
    <n v="56"/>
    <s v="Jacksonville"/>
    <s v="Free"/>
    <s v="Male"/>
    <b v="1"/>
    <x v="6"/>
  </r>
  <r>
    <s v="ORD-20183"/>
    <s v="CUST-5022"/>
    <d v="2023-06-05T00:00:00"/>
    <s v="Books"/>
    <s v="Python for Beginners"/>
    <n v="29.99"/>
    <n v="1"/>
    <n v="10"/>
    <n v="26.99"/>
    <n v="26.99"/>
    <s v="UPI"/>
    <s v="Delivered"/>
    <n v="4"/>
    <n v="56"/>
    <s v="Jacksonville"/>
    <s v="Free"/>
    <s v="Male"/>
    <b v="1"/>
    <x v="19"/>
  </r>
  <r>
    <s v="ORD-20184"/>
    <s v="CUST-5022"/>
    <d v="2022-01-13T00:00:00"/>
    <s v="Toys"/>
    <s v="Action Figure"/>
    <n v="19.989999999999998"/>
    <n v="4"/>
    <n v="0"/>
    <n v="19.989999999999998"/>
    <n v="79.959999999999994"/>
    <s v="UPI"/>
    <s v="Processing"/>
    <m/>
    <n v="56"/>
    <s v="Jacksonville"/>
    <s v="Free"/>
    <s v="Male"/>
    <b v="1"/>
    <x v="2"/>
  </r>
  <r>
    <s v="ORD-20185"/>
    <s v="CUST-5022"/>
    <d v="2023-01-24T00:00:00"/>
    <s v="Home &amp; Kitchen"/>
    <s v="Blender"/>
    <n v="64.989999999999995"/>
    <n v="4"/>
    <n v="15"/>
    <n v="55.24"/>
    <n v="220.96"/>
    <s v="Credit Card"/>
    <s v="Delivered"/>
    <n v="3"/>
    <n v="56"/>
    <s v="Jacksonville"/>
    <s v="Free"/>
    <s v="Male"/>
    <b v="1"/>
    <x v="10"/>
  </r>
  <r>
    <s v="ORD-20186"/>
    <s v="CUST-5022"/>
    <d v="2024-02-15T00:00:00"/>
    <s v="Beauty"/>
    <s v="Face Serum"/>
    <n v="39.99"/>
    <n v="1"/>
    <n v="0"/>
    <n v="39.99"/>
    <n v="39.99"/>
    <s v="Credit Card"/>
    <s v="Delivered"/>
    <n v="5"/>
    <n v="56"/>
    <s v="Jacksonville"/>
    <s v="Free"/>
    <s v="Male"/>
    <b v="1"/>
    <x v="0"/>
  </r>
  <r>
    <s v="ORD-20187"/>
    <s v="CUST-5022"/>
    <d v="2023-06-15T00:00:00"/>
    <s v="Clothing"/>
    <s v="Running Shoes"/>
    <n v="89.99"/>
    <n v="1"/>
    <n v="0"/>
    <n v="89.99"/>
    <n v="89.99"/>
    <s v="PayPal"/>
    <s v="Delivered"/>
    <n v="5"/>
    <n v="56"/>
    <s v="Jacksonville"/>
    <s v="Free"/>
    <s v="Male"/>
    <b v="1"/>
    <x v="19"/>
  </r>
  <r>
    <s v="ORD-20188"/>
    <s v="CUST-5022"/>
    <d v="2022-10-16T00:00:00"/>
    <s v="Sports"/>
    <s v="Water Bottle"/>
    <n v="24.99"/>
    <n v="1"/>
    <n v="0"/>
    <n v="24.99"/>
    <n v="24.99"/>
    <s v="Wallet"/>
    <s v="Returned"/>
    <m/>
    <n v="56"/>
    <s v="Jacksonville"/>
    <s v="Free"/>
    <s v="Male"/>
    <b v="1"/>
    <x v="20"/>
  </r>
  <r>
    <s v="ORD-20189"/>
    <s v="CUST-5022"/>
    <d v="2023-05-14T00:00:00"/>
    <s v="Home &amp; Kitchen"/>
    <s v="Blender"/>
    <n v="64.989999999999995"/>
    <n v="4"/>
    <n v="0"/>
    <n v="64.989999999999995"/>
    <n v="259.95999999999998"/>
    <s v="Debit Card"/>
    <s v="Delivered"/>
    <n v="4"/>
    <n v="56"/>
    <s v="Jacksonville"/>
    <s v="Free"/>
    <s v="Male"/>
    <b v="1"/>
    <x v="5"/>
  </r>
  <r>
    <s v="ORD-20190"/>
    <s v="CUST-5022"/>
    <d v="2023-03-25T00:00:00"/>
    <s v="Electronics"/>
    <s v="Wireless Earbuds"/>
    <n v="79.989999999999995"/>
    <n v="2"/>
    <n v="5"/>
    <n v="75.989999999999995"/>
    <n v="151.97999999999999"/>
    <s v="Debit Card"/>
    <s v="Delivered"/>
    <n v="5"/>
    <n v="56"/>
    <s v="Jacksonville"/>
    <s v="Free"/>
    <s v="Male"/>
    <b v="1"/>
    <x v="23"/>
  </r>
  <r>
    <s v="ORD-20191"/>
    <s v="CUST-5022"/>
    <d v="2022-07-10T00:00:00"/>
    <s v="Clothing"/>
    <s v="Denim Jacket"/>
    <n v="69.989999999999995"/>
    <n v="2"/>
    <n v="20"/>
    <n v="55.99"/>
    <n v="111.98"/>
    <s v="Wallet"/>
    <s v="Delivered"/>
    <m/>
    <n v="56"/>
    <s v="Jacksonville"/>
    <s v="Free"/>
    <s v="Male"/>
    <b v="1"/>
    <x v="33"/>
  </r>
  <r>
    <s v="ORD-20192"/>
    <s v="CUST-5022"/>
    <d v="2022-09-01T00:00:00"/>
    <s v="Toys"/>
    <s v="Puzzle 1000pcs"/>
    <n v="24.99"/>
    <n v="3"/>
    <n v="20"/>
    <n v="19.989999999999998"/>
    <n v="59.97"/>
    <s v="UPI"/>
    <s v="Cancelled"/>
    <m/>
    <n v="56"/>
    <s v="Jacksonville"/>
    <s v="Free"/>
    <s v="Male"/>
    <b v="1"/>
    <x v="22"/>
  </r>
  <r>
    <s v="ORD-20193"/>
    <s v="CUST-5022"/>
    <d v="2022-10-26T00:00:00"/>
    <s v="Clothing"/>
    <s v="Denim Jacket"/>
    <n v="69.989999999999995"/>
    <n v="2"/>
    <n v="10"/>
    <n v="62.99"/>
    <n v="125.98"/>
    <s v="Wallet"/>
    <s v="Returned"/>
    <n v="5"/>
    <n v="56"/>
    <s v="Jacksonville"/>
    <s v="Free"/>
    <s v="Male"/>
    <b v="1"/>
    <x v="20"/>
  </r>
  <r>
    <s v="ORD-20194"/>
    <s v="CUST-5023"/>
    <d v="2023-04-11T00:00:00"/>
    <s v="Home &amp; Kitchen"/>
    <s v="Coffee Maker"/>
    <n v="59.99"/>
    <n v="4"/>
    <n v="0"/>
    <n v="59.99"/>
    <n v="239.96"/>
    <s v="Wallet"/>
    <s v="Delivered"/>
    <m/>
    <n v="28"/>
    <s v="Jacksonville"/>
    <s v="Silver"/>
    <s v="Female"/>
    <b v="1"/>
    <x v="18"/>
  </r>
  <r>
    <s v="ORD-20195"/>
    <s v="CUST-5023"/>
    <d v="2024-05-18T00:00:00"/>
    <s v="Electronics"/>
    <s v="USB-C Hub"/>
    <n v="34.99"/>
    <n v="3"/>
    <n v="15"/>
    <n v="29.74"/>
    <n v="89.22"/>
    <s v="UPI"/>
    <s v="Delivered"/>
    <n v="3"/>
    <n v="28"/>
    <s v="Jacksonville"/>
    <s v="Silver"/>
    <s v="Female"/>
    <b v="1"/>
    <x v="30"/>
  </r>
  <r>
    <s v="ORD-20196"/>
    <s v="CUST-5023"/>
    <d v="2024-08-27T00:00:00"/>
    <s v="Electronics"/>
    <s v="Wireless Earbuds"/>
    <n v="79.989999999999995"/>
    <n v="1"/>
    <n v="0"/>
    <n v="79.989999999999995"/>
    <n v="79.989999999999995"/>
    <s v="PayPal"/>
    <s v="Shipped"/>
    <n v="5"/>
    <n v="28"/>
    <s v="Jacksonville"/>
    <s v="Silver"/>
    <s v="Female"/>
    <b v="1"/>
    <x v="26"/>
  </r>
  <r>
    <s v="ORD-20197"/>
    <s v="CUST-5023"/>
    <d v="2024-05-06T00:00:00"/>
    <s v="Toys"/>
    <s v="Remote Control Car"/>
    <n v="39.99"/>
    <n v="3"/>
    <n v="5"/>
    <n v="37.99"/>
    <n v="113.97"/>
    <s v="UPI"/>
    <s v="Delivered"/>
    <m/>
    <n v="28"/>
    <s v="Jacksonville"/>
    <s v="Silver"/>
    <s v="Female"/>
    <b v="1"/>
    <x v="30"/>
  </r>
  <r>
    <s v="ORD-20198"/>
    <s v="CUST-5023"/>
    <d v="2022-09-05T00:00:00"/>
    <s v="Toys"/>
    <s v="Remote Control Car"/>
    <n v="39.99"/>
    <n v="1"/>
    <n v="0"/>
    <n v="39.99"/>
    <n v="39.99"/>
    <s v="Debit Card"/>
    <s v="Delivered"/>
    <n v="3"/>
    <n v="28"/>
    <s v="Jacksonville"/>
    <s v="Silver"/>
    <s v="Female"/>
    <b v="1"/>
    <x v="22"/>
  </r>
  <r>
    <s v="ORD-20199"/>
    <s v="CUST-5023"/>
    <d v="2023-02-11T00:00:00"/>
    <s v="Books"/>
    <s v="Fiction Novel"/>
    <n v="14.99"/>
    <n v="2"/>
    <n v="0"/>
    <n v="14.99"/>
    <n v="29.98"/>
    <s v="Wallet"/>
    <s v="Shipped"/>
    <m/>
    <n v="28"/>
    <s v="Jacksonville"/>
    <s v="Silver"/>
    <s v="Female"/>
    <b v="1"/>
    <x v="34"/>
  </r>
  <r>
    <s v="ORD-20200"/>
    <s v="CUST-5023"/>
    <d v="2023-09-27T00:00:00"/>
    <s v="Toys"/>
    <s v="Puzzle 1000pcs"/>
    <n v="24.99"/>
    <n v="1"/>
    <n v="15"/>
    <n v="21.24"/>
    <n v="21.24"/>
    <s v="Wallet"/>
    <s v="Shipped"/>
    <n v="5"/>
    <n v="28"/>
    <s v="Jacksonville"/>
    <s v="Silver"/>
    <s v="Female"/>
    <b v="1"/>
    <x v="6"/>
  </r>
  <r>
    <s v="ORD-20201"/>
    <s v="CUST-5023"/>
    <d v="2024-07-07T00:00:00"/>
    <s v="Toys"/>
    <s v="Puzzle 1000pcs"/>
    <n v="24.99"/>
    <n v="2"/>
    <n v="0"/>
    <n v="24.99"/>
    <n v="49.98"/>
    <s v="Credit Card"/>
    <s v="Delivered"/>
    <n v="5"/>
    <n v="28"/>
    <s v="Jacksonville"/>
    <s v="Silver"/>
    <s v="Female"/>
    <b v="1"/>
    <x v="4"/>
  </r>
  <r>
    <s v="ORD-20202"/>
    <s v="CUST-5023"/>
    <d v="2022-06-07T00:00:00"/>
    <s v="Books"/>
    <s v="Data Science Handbook"/>
    <n v="49.99"/>
    <n v="4"/>
    <n v="0"/>
    <n v="49.99"/>
    <n v="199.96"/>
    <s v="Credit Card"/>
    <s v="Delivered"/>
    <m/>
    <n v="28"/>
    <s v="Jacksonville"/>
    <s v="Silver"/>
    <s v="Female"/>
    <b v="1"/>
    <x v="8"/>
  </r>
  <r>
    <s v="ORD-20203"/>
    <s v="CUST-5023"/>
    <d v="2024-03-03T00:00:00"/>
    <s v="Electronics"/>
    <s v="Wireless Earbuds"/>
    <n v="79.989999999999995"/>
    <n v="3"/>
    <n v="20"/>
    <n v="63.99"/>
    <n v="191.97"/>
    <s v="UPI"/>
    <s v="Processing"/>
    <n v="3"/>
    <n v="28"/>
    <s v="Jacksonville"/>
    <s v="Silver"/>
    <s v="Female"/>
    <b v="1"/>
    <x v="1"/>
  </r>
  <r>
    <s v="ORD-20204"/>
    <s v="CUST-5023"/>
    <d v="2022-06-01T00:00:00"/>
    <s v="Sports"/>
    <s v="Jump Rope"/>
    <n v="14.99"/>
    <n v="2"/>
    <n v="0"/>
    <n v="14.99"/>
    <n v="29.98"/>
    <s v="UPI"/>
    <s v="Delivered"/>
    <n v="4"/>
    <n v="28"/>
    <s v="Jacksonville"/>
    <s v="Silver"/>
    <s v="Female"/>
    <b v="1"/>
    <x v="8"/>
  </r>
  <r>
    <s v="ORD-20205"/>
    <s v="CUST-5024"/>
    <d v="2023-10-06T00:00:00"/>
    <s v="Electronics"/>
    <s v="Smart Watch"/>
    <n v="199.99"/>
    <n v="4"/>
    <n v="0"/>
    <n v="199.99"/>
    <n v="799.96"/>
    <s v="Wallet"/>
    <s v="Delivered"/>
    <m/>
    <n v="41"/>
    <s v="Jacksonville"/>
    <s v="Silver"/>
    <s v="Female"/>
    <b v="1"/>
    <x v="13"/>
  </r>
  <r>
    <s v="ORD-20206"/>
    <s v="CUST-5024"/>
    <d v="2023-01-15T00:00:00"/>
    <s v="Home &amp; Kitchen"/>
    <s v="Blender"/>
    <n v="64.989999999999995"/>
    <n v="2"/>
    <n v="0"/>
    <n v="64.989999999999995"/>
    <n v="129.97999999999999"/>
    <s v="Debit Card"/>
    <s v="Delivered"/>
    <n v="5"/>
    <n v="41"/>
    <s v="Jacksonville"/>
    <s v="Silver"/>
    <s v="Female"/>
    <b v="1"/>
    <x v="10"/>
  </r>
  <r>
    <s v="ORD-20207"/>
    <s v="CUST-5024"/>
    <d v="2023-11-02T00:00:00"/>
    <s v="Clothing"/>
    <s v="Cotton T-Shirt"/>
    <n v="24.99"/>
    <n v="2"/>
    <n v="0"/>
    <n v="24.99"/>
    <n v="49.98"/>
    <s v="PayPal"/>
    <s v="Delivered"/>
    <n v="3"/>
    <n v="41"/>
    <s v="Jacksonville"/>
    <s v="Silver"/>
    <s v="Female"/>
    <b v="1"/>
    <x v="29"/>
  </r>
  <r>
    <s v="ORD-20208"/>
    <s v="CUST-5024"/>
    <d v="2024-08-08T00:00:00"/>
    <s v="Books"/>
    <s v="Data Science Handbook"/>
    <n v="49.99"/>
    <n v="1"/>
    <n v="20"/>
    <n v="39.99"/>
    <n v="39.99"/>
    <s v="UPI"/>
    <s v="Delivered"/>
    <n v="3"/>
    <n v="41"/>
    <s v="Jacksonville"/>
    <s v="Silver"/>
    <s v="Female"/>
    <b v="1"/>
    <x v="26"/>
  </r>
  <r>
    <s v="ORD-20209"/>
    <s v="CUST-5024"/>
    <d v="2022-06-18T00:00:00"/>
    <s v="Books"/>
    <s v="Fiction Novel"/>
    <n v="14.99"/>
    <n v="1"/>
    <n v="5"/>
    <n v="14.24"/>
    <n v="14.24"/>
    <s v="Debit Card"/>
    <s v="Delivered"/>
    <n v="5"/>
    <n v="41"/>
    <s v="Jacksonville"/>
    <s v="Silver"/>
    <s v="Female"/>
    <b v="1"/>
    <x v="8"/>
  </r>
  <r>
    <s v="ORD-20210"/>
    <s v="CUST-5024"/>
    <d v="2023-06-16T00:00:00"/>
    <s v="Electronics"/>
    <s v="USB-C Hub"/>
    <n v="34.99"/>
    <n v="2"/>
    <n v="5"/>
    <n v="33.24"/>
    <n v="66.48"/>
    <s v="UPI"/>
    <s v="Delivered"/>
    <n v="3"/>
    <n v="41"/>
    <s v="Jacksonville"/>
    <s v="Silver"/>
    <s v="Female"/>
    <b v="1"/>
    <x v="19"/>
  </r>
  <r>
    <s v="ORD-20211"/>
    <s v="CUST-5024"/>
    <d v="2024-08-19T00:00:00"/>
    <s v="Clothing"/>
    <s v="Denim Jacket"/>
    <n v="69.989999999999995"/>
    <n v="3"/>
    <n v="5"/>
    <n v="66.489999999999995"/>
    <n v="199.47"/>
    <s v="Wallet"/>
    <s v="Delivered"/>
    <n v="4"/>
    <n v="41"/>
    <s v="Jacksonville"/>
    <s v="Silver"/>
    <s v="Female"/>
    <b v="1"/>
    <x v="26"/>
  </r>
  <r>
    <s v="ORD-20212"/>
    <s v="CUST-5024"/>
    <d v="2024-08-25T00:00:00"/>
    <s v="Sports"/>
    <s v="Yoga Mat"/>
    <n v="29.99"/>
    <n v="3"/>
    <n v="10"/>
    <n v="26.99"/>
    <n v="80.97"/>
    <s v="Debit Card"/>
    <s v="Delivered"/>
    <m/>
    <n v="41"/>
    <s v="Jacksonville"/>
    <s v="Silver"/>
    <s v="Female"/>
    <b v="1"/>
    <x v="26"/>
  </r>
  <r>
    <s v="ORD-20213"/>
    <s v="CUST-5024"/>
    <d v="2022-09-05T00:00:00"/>
    <s v="Beauty"/>
    <s v="Hair Mask"/>
    <n v="24.99"/>
    <n v="1"/>
    <n v="0"/>
    <n v="24.99"/>
    <n v="24.99"/>
    <s v="UPI"/>
    <s v="Delivered"/>
    <n v="5"/>
    <n v="41"/>
    <s v="Jacksonville"/>
    <s v="Silver"/>
    <s v="Female"/>
    <b v="1"/>
    <x v="22"/>
  </r>
  <r>
    <s v="ORD-20214"/>
    <s v="CUST-5024"/>
    <d v="2023-02-14T00:00:00"/>
    <s v="Clothing"/>
    <s v="Cotton T-Shirt"/>
    <n v="24.99"/>
    <n v="2"/>
    <n v="10"/>
    <n v="22.49"/>
    <n v="44.98"/>
    <s v="Wallet"/>
    <s v="Delivered"/>
    <n v="5"/>
    <n v="41"/>
    <s v="Jacksonville"/>
    <s v="Silver"/>
    <s v="Female"/>
    <b v="1"/>
    <x v="34"/>
  </r>
  <r>
    <s v="ORD-20215"/>
    <s v="CUST-5024"/>
    <d v="2023-01-24T00:00:00"/>
    <s v="Electronics"/>
    <s v="Bluetooth Speaker"/>
    <n v="49.99"/>
    <n v="4"/>
    <n v="0"/>
    <n v="49.99"/>
    <n v="199.96"/>
    <s v="Debit Card"/>
    <s v="Delivered"/>
    <n v="5"/>
    <n v="41"/>
    <s v="Jacksonville"/>
    <s v="Silver"/>
    <s v="Female"/>
    <b v="1"/>
    <x v="10"/>
  </r>
  <r>
    <s v="ORD-20216"/>
    <s v="CUST-5024"/>
    <d v="2023-08-13T00:00:00"/>
    <s v="Home &amp; Kitchen"/>
    <s v="Non-stick Pan Set"/>
    <n v="44.99"/>
    <n v="4"/>
    <n v="5"/>
    <n v="42.74"/>
    <n v="170.96"/>
    <s v="UPI"/>
    <s v="Delivered"/>
    <n v="4"/>
    <n v="41"/>
    <s v="Jacksonville"/>
    <s v="Silver"/>
    <s v="Female"/>
    <b v="1"/>
    <x v="24"/>
  </r>
  <r>
    <s v="ORD-20217"/>
    <s v="CUST-5024"/>
    <d v="2022-03-04T00:00:00"/>
    <s v="Clothing"/>
    <s v="Cotton T-Shirt"/>
    <n v="24.99"/>
    <n v="1"/>
    <n v="0"/>
    <n v="24.99"/>
    <n v="24.99"/>
    <s v="Wallet"/>
    <s v="Delivered"/>
    <m/>
    <n v="41"/>
    <s v="Jacksonville"/>
    <s v="Silver"/>
    <s v="Female"/>
    <b v="1"/>
    <x v="11"/>
  </r>
  <r>
    <s v="ORD-20218"/>
    <s v="CUST-5024"/>
    <d v="2024-11-20T00:00:00"/>
    <s v="Books"/>
    <s v="Python for Beginners"/>
    <n v="29.99"/>
    <n v="3"/>
    <n v="0"/>
    <n v="29.99"/>
    <n v="89.97"/>
    <s v="UPI"/>
    <s v="Delivered"/>
    <m/>
    <n v="41"/>
    <s v="Jacksonville"/>
    <s v="Silver"/>
    <s v="Female"/>
    <b v="1"/>
    <x v="16"/>
  </r>
  <r>
    <s v="ORD-20219"/>
    <s v="CUST-5024"/>
    <d v="2023-01-12T00:00:00"/>
    <s v="Clothing"/>
    <s v="Denim Jacket"/>
    <n v="69.989999999999995"/>
    <n v="2"/>
    <n v="0"/>
    <n v="69.989999999999995"/>
    <n v="139.97999999999999"/>
    <s v="Wallet"/>
    <s v="Delivered"/>
    <n v="5"/>
    <n v="41"/>
    <s v="Jacksonville"/>
    <s v="Silver"/>
    <s v="Female"/>
    <b v="1"/>
    <x v="10"/>
  </r>
  <r>
    <s v="ORD-20220"/>
    <s v="CUST-5025"/>
    <d v="2024-04-05T00:00:00"/>
    <s v="Sports"/>
    <s v="Resistance Bands"/>
    <n v="19.989999999999998"/>
    <n v="3"/>
    <n v="10"/>
    <n v="17.989999999999998"/>
    <n v="53.97"/>
    <s v="UPI"/>
    <s v="Delivered"/>
    <n v="5"/>
    <n v="43"/>
    <s v="New York"/>
    <s v="Free"/>
    <s v="Male"/>
    <b v="1"/>
    <x v="27"/>
  </r>
  <r>
    <s v="ORD-20221"/>
    <s v="CUST-5025"/>
    <d v="2022-05-20T00:00:00"/>
    <s v="Home &amp; Kitchen"/>
    <s v="Non-stick Pan Set"/>
    <n v="44.99"/>
    <n v="3"/>
    <n v="10"/>
    <n v="40.49"/>
    <n v="121.47"/>
    <s v="Debit Card"/>
    <s v="Delivered"/>
    <n v="5"/>
    <n v="43"/>
    <s v="New York"/>
    <s v="Free"/>
    <s v="Male"/>
    <b v="1"/>
    <x v="31"/>
  </r>
  <r>
    <s v="ORD-20222"/>
    <s v="CUST-5025"/>
    <d v="2023-03-28T00:00:00"/>
    <s v="Sports"/>
    <s v="Resistance Bands"/>
    <n v="19.989999999999998"/>
    <n v="2"/>
    <n v="0"/>
    <n v="19.989999999999998"/>
    <n v="39.979999999999997"/>
    <s v="Credit Card"/>
    <s v="Delivered"/>
    <n v="4"/>
    <n v="43"/>
    <s v="New York"/>
    <s v="Free"/>
    <s v="Male"/>
    <b v="1"/>
    <x v="23"/>
  </r>
  <r>
    <s v="ORD-20223"/>
    <s v="CUST-5026"/>
    <d v="2024-02-07T00:00:00"/>
    <s v="Clothing"/>
    <s v="Denim Jacket"/>
    <n v="69.989999999999995"/>
    <n v="2"/>
    <n v="0"/>
    <n v="69.989999999999995"/>
    <n v="139.97999999999999"/>
    <s v="Wallet"/>
    <s v="Delivered"/>
    <n v="4"/>
    <n v="56"/>
    <s v="New York"/>
    <s v="Platinum"/>
    <s v="Female"/>
    <b v="1"/>
    <x v="0"/>
  </r>
  <r>
    <s v="ORD-20224"/>
    <s v="CUST-5026"/>
    <d v="2024-11-15T00:00:00"/>
    <s v="Toys"/>
    <s v="LEGO Classic Set"/>
    <n v="49.99"/>
    <n v="2"/>
    <n v="0"/>
    <n v="49.99"/>
    <n v="99.98"/>
    <s v="Wallet"/>
    <s v="Delivered"/>
    <n v="4"/>
    <n v="56"/>
    <s v="New York"/>
    <s v="Platinum"/>
    <s v="Female"/>
    <b v="1"/>
    <x v="16"/>
  </r>
  <r>
    <s v="ORD-20225"/>
    <s v="CUST-5026"/>
    <d v="2023-08-13T00:00:00"/>
    <s v="Electronics"/>
    <s v="USB-C Hub"/>
    <n v="34.99"/>
    <n v="4"/>
    <n v="0"/>
    <n v="34.99"/>
    <n v="139.96"/>
    <s v="UPI"/>
    <s v="Delivered"/>
    <n v="4"/>
    <n v="56"/>
    <s v="New York"/>
    <s v="Platinum"/>
    <s v="Female"/>
    <b v="1"/>
    <x v="24"/>
  </r>
  <r>
    <s v="ORD-20226"/>
    <s v="CUST-5026"/>
    <d v="2022-06-13T00:00:00"/>
    <s v="Home &amp; Kitchen"/>
    <s v="Coffee Maker"/>
    <n v="59.99"/>
    <n v="3"/>
    <n v="0"/>
    <n v="59.99"/>
    <n v="179.97"/>
    <s v="Wallet"/>
    <s v="Delivered"/>
    <m/>
    <n v="56"/>
    <s v="New York"/>
    <s v="Platinum"/>
    <s v="Female"/>
    <b v="1"/>
    <x v="8"/>
  </r>
  <r>
    <s v="ORD-20227"/>
    <s v="CUST-5027"/>
    <d v="2024-08-02T00:00:00"/>
    <s v="Toys"/>
    <s v="Puzzle 1000pcs"/>
    <n v="24.99"/>
    <n v="4"/>
    <n v="5"/>
    <n v="23.74"/>
    <n v="94.96"/>
    <s v="Debit Card"/>
    <s v="Delivered"/>
    <n v="3"/>
    <n v="64"/>
    <s v="Chicago"/>
    <s v="Silver"/>
    <s v="Female"/>
    <b v="1"/>
    <x v="26"/>
  </r>
  <r>
    <s v="ORD-20228"/>
    <s v="CUST-5027"/>
    <d v="2023-05-13T00:00:00"/>
    <s v="Books"/>
    <s v="Business Analytics"/>
    <n v="39.99"/>
    <n v="1"/>
    <n v="0"/>
    <n v="39.99"/>
    <n v="39.99"/>
    <s v="Debit Card"/>
    <s v="Delivered"/>
    <m/>
    <n v="64"/>
    <s v="Chicago"/>
    <s v="Silver"/>
    <s v="Female"/>
    <b v="1"/>
    <x v="5"/>
  </r>
  <r>
    <s v="ORD-20229"/>
    <s v="CUST-5028"/>
    <d v="2024-08-13T00:00:00"/>
    <s v="Clothing"/>
    <s v="Cotton T-Shirt"/>
    <n v="24.99"/>
    <n v="4"/>
    <n v="0"/>
    <n v="24.99"/>
    <n v="99.96"/>
    <s v="Credit Card"/>
    <s v="Delivered"/>
    <n v="4"/>
    <n v="38"/>
    <s v="Chicago"/>
    <s v="Free"/>
    <s v="Female"/>
    <b v="1"/>
    <x v="26"/>
  </r>
  <r>
    <s v="ORD-20230"/>
    <s v="CUST-5028"/>
    <d v="2022-11-16T00:00:00"/>
    <s v="Books"/>
    <s v="Python for Beginners"/>
    <n v="29.99"/>
    <n v="3"/>
    <n v="15"/>
    <n v="25.49"/>
    <n v="76.47"/>
    <s v="Credit Card"/>
    <s v="Delivered"/>
    <n v="4"/>
    <n v="38"/>
    <s v="Chicago"/>
    <s v="Free"/>
    <s v="Female"/>
    <b v="1"/>
    <x v="3"/>
  </r>
  <r>
    <s v="ORD-20231"/>
    <s v="CUST-5028"/>
    <d v="2022-01-21T00:00:00"/>
    <s v="Clothing"/>
    <s v="Denim Jacket"/>
    <n v="69.989999999999995"/>
    <n v="2"/>
    <n v="0"/>
    <n v="69.989999999999995"/>
    <n v="139.97999999999999"/>
    <s v="UPI"/>
    <s v="Delivered"/>
    <n v="4"/>
    <n v="38"/>
    <s v="Chicago"/>
    <s v="Free"/>
    <s v="Female"/>
    <b v="1"/>
    <x v="2"/>
  </r>
  <r>
    <s v="ORD-20232"/>
    <s v="CUST-5028"/>
    <d v="2023-01-13T00:00:00"/>
    <s v="Beauty"/>
    <s v="Lip Balm Set"/>
    <n v="14.99"/>
    <n v="1"/>
    <n v="0"/>
    <n v="14.99"/>
    <n v="14.99"/>
    <s v="PayPal"/>
    <s v="Shipped"/>
    <n v="5"/>
    <n v="38"/>
    <s v="Chicago"/>
    <s v="Free"/>
    <s v="Female"/>
    <b v="1"/>
    <x v="10"/>
  </r>
  <r>
    <s v="ORD-20233"/>
    <s v="CUST-5028"/>
    <d v="2022-05-03T00:00:00"/>
    <s v="Sports"/>
    <s v="Water Bottle"/>
    <n v="24.99"/>
    <n v="4"/>
    <n v="10"/>
    <n v="22.49"/>
    <n v="89.96"/>
    <s v="PayPal"/>
    <s v="Delivered"/>
    <n v="4"/>
    <n v="38"/>
    <s v="Chicago"/>
    <s v="Free"/>
    <s v="Female"/>
    <b v="1"/>
    <x v="31"/>
  </r>
  <r>
    <s v="ORD-20234"/>
    <s v="CUST-5028"/>
    <d v="2023-11-24T00:00:00"/>
    <s v="Clothing"/>
    <s v="Cotton T-Shirt"/>
    <n v="24.99"/>
    <n v="3"/>
    <n v="0"/>
    <n v="24.99"/>
    <n v="74.97"/>
    <s v="Debit Card"/>
    <s v="Delivered"/>
    <m/>
    <n v="38"/>
    <s v="Chicago"/>
    <s v="Free"/>
    <s v="Female"/>
    <b v="1"/>
    <x v="29"/>
  </r>
  <r>
    <s v="ORD-20235"/>
    <s v="CUST-5028"/>
    <d v="2022-02-19T00:00:00"/>
    <s v="Clothing"/>
    <s v="Running Shoes"/>
    <n v="89.99"/>
    <n v="4"/>
    <n v="20"/>
    <n v="71.989999999999995"/>
    <n v="287.95999999999998"/>
    <s v="UPI"/>
    <s v="Delivered"/>
    <m/>
    <n v="38"/>
    <s v="Chicago"/>
    <s v="Free"/>
    <s v="Female"/>
    <b v="1"/>
    <x v="17"/>
  </r>
  <r>
    <s v="ORD-20236"/>
    <s v="CUST-5028"/>
    <d v="2022-07-15T00:00:00"/>
    <s v="Toys"/>
    <s v="Remote Control Car"/>
    <n v="39.99"/>
    <n v="1"/>
    <n v="0"/>
    <n v="39.99"/>
    <n v="39.99"/>
    <s v="PayPal"/>
    <s v="Shipped"/>
    <n v="5"/>
    <n v="38"/>
    <s v="Chicago"/>
    <s v="Free"/>
    <s v="Female"/>
    <b v="1"/>
    <x v="33"/>
  </r>
  <r>
    <s v="ORD-20237"/>
    <s v="CUST-5029"/>
    <d v="2022-03-01T00:00:00"/>
    <s v="Home &amp; Kitchen"/>
    <s v="Non-stick Pan Set"/>
    <n v="44.99"/>
    <n v="2"/>
    <n v="15"/>
    <n v="38.24"/>
    <n v="76.48"/>
    <s v="Debit Card"/>
    <s v="Delivered"/>
    <n v="5"/>
    <n v="30"/>
    <s v="San Jose"/>
    <s v="Free"/>
    <s v="Female"/>
    <b v="1"/>
    <x v="11"/>
  </r>
  <r>
    <s v="ORD-20238"/>
    <s v="CUST-5029"/>
    <d v="2023-11-06T00:00:00"/>
    <s v="Toys"/>
    <s v="Puzzle 1000pcs"/>
    <n v="24.99"/>
    <n v="3"/>
    <n v="0"/>
    <n v="24.99"/>
    <n v="74.97"/>
    <s v="PayPal"/>
    <s v="Delivered"/>
    <n v="4"/>
    <n v="30"/>
    <s v="San Jose"/>
    <s v="Free"/>
    <s v="Female"/>
    <b v="1"/>
    <x v="29"/>
  </r>
  <r>
    <s v="ORD-20239"/>
    <s v="CUST-5029"/>
    <d v="2023-10-03T00:00:00"/>
    <s v="Toys"/>
    <s v="Puzzle 1000pcs"/>
    <n v="24.99"/>
    <n v="1"/>
    <n v="0"/>
    <n v="24.99"/>
    <n v="24.99"/>
    <s v="UPI"/>
    <s v="Shipped"/>
    <n v="4"/>
    <n v="30"/>
    <s v="San Jose"/>
    <s v="Free"/>
    <s v="Female"/>
    <b v="1"/>
    <x v="13"/>
  </r>
  <r>
    <s v="ORD-20240"/>
    <s v="CUST-5029"/>
    <d v="2024-09-04T00:00:00"/>
    <s v="Electronics"/>
    <s v="Smart Watch"/>
    <n v="199.99"/>
    <n v="2"/>
    <n v="10"/>
    <n v="179.99"/>
    <n v="359.98"/>
    <s v="Debit Card"/>
    <s v="Delivered"/>
    <n v="4"/>
    <n v="30"/>
    <s v="San Jose"/>
    <s v="Free"/>
    <s v="Female"/>
    <b v="1"/>
    <x v="15"/>
  </r>
  <r>
    <s v="ORD-20241"/>
    <s v="CUST-5029"/>
    <d v="2023-11-13T00:00:00"/>
    <s v="Beauty"/>
    <s v="Hair Mask"/>
    <n v="24.99"/>
    <n v="3"/>
    <n v="10"/>
    <n v="22.49"/>
    <n v="67.47"/>
    <s v="PayPal"/>
    <s v="Delivered"/>
    <n v="5"/>
    <n v="30"/>
    <s v="San Jose"/>
    <s v="Free"/>
    <s v="Female"/>
    <b v="1"/>
    <x v="29"/>
  </r>
  <r>
    <s v="ORD-20242"/>
    <s v="CUST-5029"/>
    <d v="2022-10-17T00:00:00"/>
    <s v="Toys"/>
    <s v="Remote Control Car"/>
    <n v="39.99"/>
    <n v="1"/>
    <n v="20"/>
    <n v="31.99"/>
    <n v="31.99"/>
    <s v="PayPal"/>
    <s v="Processing"/>
    <m/>
    <n v="30"/>
    <s v="San Jose"/>
    <s v="Free"/>
    <s v="Female"/>
    <b v="1"/>
    <x v="20"/>
  </r>
  <r>
    <s v="ORD-20243"/>
    <s v="CUST-5029"/>
    <d v="2024-03-02T00:00:00"/>
    <s v="Clothing"/>
    <s v="Cotton T-Shirt"/>
    <n v="24.99"/>
    <n v="3"/>
    <n v="15"/>
    <n v="21.24"/>
    <n v="63.72"/>
    <s v="Wallet"/>
    <s v="Delivered"/>
    <n v="5"/>
    <n v="30"/>
    <s v="San Jose"/>
    <s v="Free"/>
    <s v="Female"/>
    <b v="1"/>
    <x v="1"/>
  </r>
  <r>
    <s v="ORD-20244"/>
    <s v="CUST-5029"/>
    <d v="2022-08-13T00:00:00"/>
    <s v="Home &amp; Kitchen"/>
    <s v="Non-stick Pan Set"/>
    <n v="44.99"/>
    <n v="2"/>
    <n v="5"/>
    <n v="42.74"/>
    <n v="85.48"/>
    <s v="UPI"/>
    <s v="Delivered"/>
    <m/>
    <n v="30"/>
    <s v="San Jose"/>
    <s v="Free"/>
    <s v="Female"/>
    <b v="1"/>
    <x v="7"/>
  </r>
  <r>
    <s v="ORD-20245"/>
    <s v="CUST-5029"/>
    <d v="2024-07-18T00:00:00"/>
    <s v="Books"/>
    <s v="Data Science Handbook"/>
    <n v="49.99"/>
    <n v="1"/>
    <n v="20"/>
    <n v="39.99"/>
    <n v="39.99"/>
    <s v="Wallet"/>
    <s v="Delivered"/>
    <n v="4"/>
    <n v="30"/>
    <s v="San Jose"/>
    <s v="Free"/>
    <s v="Female"/>
    <b v="1"/>
    <x v="4"/>
  </r>
  <r>
    <s v="ORD-20246"/>
    <s v="CUST-5029"/>
    <d v="2024-08-17T00:00:00"/>
    <s v="Clothing"/>
    <s v="Running Shoes"/>
    <n v="89.99"/>
    <n v="1"/>
    <n v="20"/>
    <n v="71.989999999999995"/>
    <n v="71.989999999999995"/>
    <s v="Debit Card"/>
    <s v="Delivered"/>
    <m/>
    <n v="30"/>
    <s v="San Jose"/>
    <s v="Free"/>
    <s v="Female"/>
    <b v="1"/>
    <x v="26"/>
  </r>
  <r>
    <s v="ORD-20247"/>
    <s v="CUST-5029"/>
    <d v="2023-04-09T00:00:00"/>
    <s v="Clothing"/>
    <s v="Denim Jacket"/>
    <n v="69.989999999999995"/>
    <n v="4"/>
    <n v="0"/>
    <n v="69.989999999999995"/>
    <n v="279.95999999999998"/>
    <s v="UPI"/>
    <s v="Processing"/>
    <n v="5"/>
    <n v="30"/>
    <s v="San Jose"/>
    <s v="Free"/>
    <s v="Female"/>
    <b v="1"/>
    <x v="18"/>
  </r>
  <r>
    <s v="ORD-20248"/>
    <s v="CUST-5029"/>
    <d v="2022-10-05T00:00:00"/>
    <s v="Books"/>
    <s v="Python for Beginners"/>
    <n v="29.99"/>
    <n v="2"/>
    <n v="5"/>
    <n v="28.49"/>
    <n v="56.98"/>
    <s v="Debit Card"/>
    <s v="Delivered"/>
    <m/>
    <n v="30"/>
    <s v="San Jose"/>
    <s v="Free"/>
    <s v="Female"/>
    <b v="1"/>
    <x v="20"/>
  </r>
  <r>
    <s v="ORD-20249"/>
    <s v="CUST-5029"/>
    <d v="2022-09-05T00:00:00"/>
    <s v="Sports"/>
    <s v="Yoga Mat"/>
    <n v="29.99"/>
    <n v="4"/>
    <n v="0"/>
    <n v="29.99"/>
    <n v="119.96"/>
    <s v="Credit Card"/>
    <s v="Processing"/>
    <n v="3"/>
    <n v="30"/>
    <s v="San Jose"/>
    <s v="Free"/>
    <s v="Female"/>
    <b v="1"/>
    <x v="22"/>
  </r>
  <r>
    <s v="ORD-20250"/>
    <s v="CUST-5029"/>
    <d v="2022-01-15T00:00:00"/>
    <s v="Toys"/>
    <s v="LEGO Classic Set"/>
    <n v="49.99"/>
    <n v="2"/>
    <n v="5"/>
    <n v="47.49"/>
    <n v="94.98"/>
    <s v="PayPal"/>
    <s v="Delivered"/>
    <m/>
    <n v="30"/>
    <s v="San Jose"/>
    <s v="Free"/>
    <s v="Female"/>
    <b v="1"/>
    <x v="2"/>
  </r>
  <r>
    <s v="ORD-20251"/>
    <s v="CUST-5029"/>
    <d v="2022-08-23T00:00:00"/>
    <s v="Clothing"/>
    <s v="Running Shoes"/>
    <n v="89.99"/>
    <n v="2"/>
    <n v="0"/>
    <n v="89.99"/>
    <n v="179.98"/>
    <s v="UPI"/>
    <s v="Delivered"/>
    <n v="3"/>
    <n v="30"/>
    <s v="San Jose"/>
    <s v="Free"/>
    <s v="Female"/>
    <b v="1"/>
    <x v="7"/>
  </r>
  <r>
    <s v="ORD-20252"/>
    <s v="CUST-5030"/>
    <d v="2023-12-08T00:00:00"/>
    <s v="Clothing"/>
    <s v="Denim Jacket"/>
    <n v="69.989999999999995"/>
    <n v="3"/>
    <n v="5"/>
    <n v="66.489999999999995"/>
    <n v="199.47"/>
    <s v="Wallet"/>
    <s v="Delivered"/>
    <n v="4"/>
    <n v="59"/>
    <s v="San Jose"/>
    <s v="Silver"/>
    <s v="Female"/>
    <b v="1"/>
    <x v="14"/>
  </r>
  <r>
    <s v="ORD-20253"/>
    <s v="CUST-5030"/>
    <d v="2022-02-18T00:00:00"/>
    <s v="Books"/>
    <s v="Fiction Novel"/>
    <n v="14.99"/>
    <n v="2"/>
    <n v="0"/>
    <n v="14.99"/>
    <n v="29.98"/>
    <s v="UPI"/>
    <s v="Delivered"/>
    <n v="2"/>
    <n v="59"/>
    <s v="San Jose"/>
    <s v="Silver"/>
    <s v="Female"/>
    <b v="1"/>
    <x v="17"/>
  </r>
  <r>
    <s v="ORD-20254"/>
    <s v="CUST-5030"/>
    <d v="2024-08-25T00:00:00"/>
    <s v="Books"/>
    <s v="Python for Beginners"/>
    <n v="29.99"/>
    <n v="1"/>
    <n v="5"/>
    <n v="28.49"/>
    <n v="28.49"/>
    <s v="PayPal"/>
    <s v="Delivered"/>
    <n v="4"/>
    <n v="59"/>
    <s v="San Jose"/>
    <s v="Silver"/>
    <s v="Female"/>
    <b v="1"/>
    <x v="26"/>
  </r>
  <r>
    <s v="ORD-20255"/>
    <s v="CUST-5031"/>
    <d v="2023-09-13T00:00:00"/>
    <s v="Electronics"/>
    <s v="USB-C Hub"/>
    <n v="34.99"/>
    <n v="2"/>
    <n v="0"/>
    <n v="34.99"/>
    <n v="69.98"/>
    <s v="Debit Card"/>
    <s v="Shipped"/>
    <n v="5"/>
    <n v="28"/>
    <s v="Philadelphia"/>
    <s v="Free"/>
    <s v="Female"/>
    <b v="1"/>
    <x v="6"/>
  </r>
  <r>
    <s v="ORD-20256"/>
    <s v="CUST-5031"/>
    <d v="2022-10-17T00:00:00"/>
    <s v="Beauty"/>
    <s v="Moisturizer SPF 50"/>
    <n v="29.99"/>
    <n v="3"/>
    <n v="15"/>
    <n v="25.49"/>
    <n v="76.47"/>
    <s v="Credit Card"/>
    <s v="Delivered"/>
    <n v="4"/>
    <n v="28"/>
    <s v="Philadelphia"/>
    <s v="Free"/>
    <s v="Female"/>
    <b v="1"/>
    <x v="20"/>
  </r>
  <r>
    <s v="ORD-20257"/>
    <s v="CUST-5031"/>
    <d v="2023-03-15T00:00:00"/>
    <s v="Clothing"/>
    <s v="Yoga Pants"/>
    <n v="44.99"/>
    <n v="2"/>
    <n v="20"/>
    <n v="35.99"/>
    <n v="71.98"/>
    <s v="Debit Card"/>
    <s v="Delivered"/>
    <n v="1"/>
    <n v="28"/>
    <s v="Philadelphia"/>
    <s v="Free"/>
    <s v="Female"/>
    <b v="1"/>
    <x v="23"/>
  </r>
  <r>
    <s v="ORD-20258"/>
    <s v="CUST-5031"/>
    <d v="2023-02-28T00:00:00"/>
    <s v="Toys"/>
    <s v="Remote Control Car"/>
    <n v="39.99"/>
    <n v="3"/>
    <n v="0"/>
    <n v="39.99"/>
    <n v="119.97"/>
    <s v="Debit Card"/>
    <s v="Shipped"/>
    <n v="3"/>
    <n v="28"/>
    <s v="Philadelphia"/>
    <s v="Free"/>
    <s v="Female"/>
    <b v="1"/>
    <x v="34"/>
  </r>
  <r>
    <s v="ORD-20259"/>
    <s v="CUST-5031"/>
    <d v="2022-11-06T00:00:00"/>
    <s v="Sports"/>
    <s v="Jump Rope"/>
    <n v="14.99"/>
    <n v="3"/>
    <n v="10"/>
    <n v="13.49"/>
    <n v="40.47"/>
    <s v="PayPal"/>
    <s v="Delivered"/>
    <m/>
    <n v="28"/>
    <s v="Philadelphia"/>
    <s v="Free"/>
    <s v="Female"/>
    <b v="1"/>
    <x v="3"/>
  </r>
  <r>
    <s v="ORD-20260"/>
    <s v="CUST-5031"/>
    <d v="2022-09-21T00:00:00"/>
    <s v="Beauty"/>
    <s v="Lip Balm Set"/>
    <n v="14.99"/>
    <n v="3"/>
    <n v="0"/>
    <n v="14.99"/>
    <n v="44.97"/>
    <s v="Wallet"/>
    <s v="Delivered"/>
    <m/>
    <n v="28"/>
    <s v="Philadelphia"/>
    <s v="Free"/>
    <s v="Female"/>
    <b v="1"/>
    <x v="22"/>
  </r>
  <r>
    <s v="ORD-20261"/>
    <s v="CUST-5031"/>
    <d v="2023-11-23T00:00:00"/>
    <s v="Electronics"/>
    <s v="Smart Watch"/>
    <n v="199.99"/>
    <n v="2"/>
    <n v="15"/>
    <n v="169.99"/>
    <n v="339.98"/>
    <s v="Wallet"/>
    <s v="Delivered"/>
    <n v="5"/>
    <n v="28"/>
    <s v="Philadelphia"/>
    <s v="Free"/>
    <s v="Female"/>
    <b v="1"/>
    <x v="29"/>
  </r>
  <r>
    <s v="ORD-20262"/>
    <s v="CUST-5031"/>
    <d v="2024-10-16T00:00:00"/>
    <s v="Electronics"/>
    <s v="Smart Watch"/>
    <n v="199.99"/>
    <n v="1"/>
    <n v="20"/>
    <n v="159.99"/>
    <n v="159.99"/>
    <s v="PayPal"/>
    <s v="Delivered"/>
    <m/>
    <n v="28"/>
    <s v="Philadelphia"/>
    <s v="Free"/>
    <s v="Female"/>
    <b v="1"/>
    <x v="21"/>
  </r>
  <r>
    <s v="ORD-20263"/>
    <s v="CUST-5031"/>
    <d v="2023-07-07T00:00:00"/>
    <s v="Toys"/>
    <s v="LEGO Classic Set"/>
    <n v="49.99"/>
    <n v="2"/>
    <n v="15"/>
    <n v="42.49"/>
    <n v="84.98"/>
    <s v="Wallet"/>
    <s v="Delivered"/>
    <n v="4"/>
    <n v="28"/>
    <s v="Philadelphia"/>
    <s v="Free"/>
    <s v="Female"/>
    <b v="1"/>
    <x v="9"/>
  </r>
  <r>
    <s v="ORD-20264"/>
    <s v="CUST-5032"/>
    <d v="2022-01-26T00:00:00"/>
    <s v="Electronics"/>
    <s v="Wireless Earbuds"/>
    <n v="79.989999999999995"/>
    <n v="1"/>
    <n v="10"/>
    <n v="71.989999999999995"/>
    <n v="71.989999999999995"/>
    <s v="Wallet"/>
    <s v="Delivered"/>
    <n v="4"/>
    <n v="33"/>
    <s v="Phoenix"/>
    <s v="Silver"/>
    <s v="Male"/>
    <b v="1"/>
    <x v="2"/>
  </r>
  <r>
    <s v="ORD-20265"/>
    <s v="CUST-5032"/>
    <d v="2022-09-14T00:00:00"/>
    <s v="Sports"/>
    <s v="Yoga Mat"/>
    <n v="29.99"/>
    <n v="1"/>
    <n v="0"/>
    <n v="29.99"/>
    <n v="29.99"/>
    <s v="Debit Card"/>
    <s v="Delivered"/>
    <n v="3"/>
    <n v="33"/>
    <s v="Phoenix"/>
    <s v="Silver"/>
    <s v="Male"/>
    <b v="1"/>
    <x v="22"/>
  </r>
  <r>
    <s v="ORD-20266"/>
    <s v="CUST-5032"/>
    <d v="2024-08-21T00:00:00"/>
    <s v="Home &amp; Kitchen"/>
    <s v="Air Fryer"/>
    <n v="89.99"/>
    <n v="1"/>
    <n v="0"/>
    <n v="89.99"/>
    <n v="89.99"/>
    <s v="Wallet"/>
    <s v="Delivered"/>
    <n v="5"/>
    <n v="33"/>
    <s v="Phoenix"/>
    <s v="Silver"/>
    <s v="Male"/>
    <b v="1"/>
    <x v="26"/>
  </r>
  <r>
    <s v="ORD-20267"/>
    <s v="CUST-5032"/>
    <d v="2023-07-25T00:00:00"/>
    <s v="Beauty"/>
    <s v="Hair Mask"/>
    <n v="24.99"/>
    <n v="1"/>
    <n v="0"/>
    <n v="24.99"/>
    <n v="24.99"/>
    <s v="Wallet"/>
    <s v="Delivered"/>
    <m/>
    <n v="33"/>
    <s v="Phoenix"/>
    <s v="Silver"/>
    <s v="Male"/>
    <b v="1"/>
    <x v="9"/>
  </r>
  <r>
    <s v="ORD-20268"/>
    <s v="CUST-5032"/>
    <d v="2024-04-13T00:00:00"/>
    <s v="Electronics"/>
    <s v="Bluetooth Speaker"/>
    <n v="49.99"/>
    <n v="3"/>
    <n v="20"/>
    <n v="39.99"/>
    <n v="119.97"/>
    <s v="UPI"/>
    <s v="Delivered"/>
    <m/>
    <n v="33"/>
    <s v="Phoenix"/>
    <s v="Silver"/>
    <s v="Male"/>
    <b v="1"/>
    <x v="27"/>
  </r>
  <r>
    <s v="ORD-20269"/>
    <s v="CUST-5032"/>
    <d v="2023-08-04T00:00:00"/>
    <s v="Beauty"/>
    <s v="Lip Balm Set"/>
    <n v="14.99"/>
    <n v="3"/>
    <n v="5"/>
    <n v="14.24"/>
    <n v="42.72"/>
    <s v="Wallet"/>
    <s v="Delivered"/>
    <n v="3"/>
    <n v="33"/>
    <s v="Phoenix"/>
    <s v="Silver"/>
    <s v="Male"/>
    <b v="1"/>
    <x v="24"/>
  </r>
  <r>
    <s v="ORD-20270"/>
    <s v="CUST-5032"/>
    <d v="2023-04-17T00:00:00"/>
    <s v="Clothing"/>
    <s v="Cotton T-Shirt"/>
    <n v="24.99"/>
    <n v="3"/>
    <n v="15"/>
    <n v="21.24"/>
    <n v="63.72"/>
    <s v="Credit Card"/>
    <s v="Delivered"/>
    <n v="4"/>
    <n v="33"/>
    <s v="Phoenix"/>
    <s v="Silver"/>
    <s v="Male"/>
    <b v="1"/>
    <x v="18"/>
  </r>
  <r>
    <s v="ORD-20271"/>
    <s v="CUST-5032"/>
    <d v="2024-02-16T00:00:00"/>
    <s v="Home &amp; Kitchen"/>
    <s v="Blender"/>
    <n v="64.989999999999995"/>
    <n v="2"/>
    <n v="15"/>
    <n v="55.24"/>
    <n v="110.48"/>
    <s v="Credit Card"/>
    <s v="Delivered"/>
    <n v="4"/>
    <n v="33"/>
    <s v="Phoenix"/>
    <s v="Silver"/>
    <s v="Male"/>
    <b v="1"/>
    <x v="0"/>
  </r>
  <r>
    <s v="ORD-20272"/>
    <s v="CUST-5033"/>
    <d v="2024-08-28T00:00:00"/>
    <s v="Books"/>
    <s v="Data Science Handbook"/>
    <n v="49.99"/>
    <n v="3"/>
    <n v="0"/>
    <n v="49.99"/>
    <n v="149.97"/>
    <s v="Credit Card"/>
    <s v="Delivered"/>
    <m/>
    <n v="36"/>
    <s v="Los Angeles"/>
    <s v="Silver"/>
    <s v="Female"/>
    <b v="1"/>
    <x v="26"/>
  </r>
  <r>
    <s v="ORD-20273"/>
    <s v="CUST-5033"/>
    <d v="2022-07-12T00:00:00"/>
    <s v="Toys"/>
    <s v="Remote Control Car"/>
    <n v="39.99"/>
    <n v="3"/>
    <n v="0"/>
    <n v="39.99"/>
    <n v="119.97"/>
    <s v="PayPal"/>
    <s v="Delivered"/>
    <m/>
    <n v="36"/>
    <s v="Los Angeles"/>
    <s v="Silver"/>
    <s v="Female"/>
    <b v="1"/>
    <x v="33"/>
  </r>
  <r>
    <s v="ORD-20274"/>
    <s v="CUST-5033"/>
    <d v="2022-07-22T00:00:00"/>
    <s v="Beauty"/>
    <s v="Moisturizer SPF 50"/>
    <n v="29.99"/>
    <n v="1"/>
    <n v="0"/>
    <n v="29.99"/>
    <n v="29.99"/>
    <s v="Wallet"/>
    <s v="Cancelled"/>
    <m/>
    <n v="36"/>
    <s v="Los Angeles"/>
    <s v="Silver"/>
    <s v="Female"/>
    <b v="1"/>
    <x v="33"/>
  </r>
  <r>
    <s v="ORD-20275"/>
    <s v="CUST-5033"/>
    <d v="2024-10-23T00:00:00"/>
    <s v="Toys"/>
    <s v="Remote Control Car"/>
    <n v="39.99"/>
    <n v="4"/>
    <n v="0"/>
    <n v="39.99"/>
    <n v="159.96"/>
    <s v="Credit Card"/>
    <s v="Delivered"/>
    <n v="4"/>
    <n v="36"/>
    <s v="Los Angeles"/>
    <s v="Silver"/>
    <s v="Female"/>
    <b v="1"/>
    <x v="21"/>
  </r>
  <r>
    <s v="ORD-20276"/>
    <s v="CUST-5033"/>
    <d v="2022-12-08T00:00:00"/>
    <s v="Toys"/>
    <s v="Action Figure"/>
    <n v="19.989999999999998"/>
    <n v="1"/>
    <n v="15"/>
    <n v="16.989999999999998"/>
    <n v="16.989999999999998"/>
    <s v="UPI"/>
    <s v="Delivered"/>
    <n v="4"/>
    <n v="36"/>
    <s v="Los Angeles"/>
    <s v="Silver"/>
    <s v="Female"/>
    <b v="1"/>
    <x v="28"/>
  </r>
  <r>
    <s v="ORD-20277"/>
    <s v="CUST-5033"/>
    <d v="2023-08-18T00:00:00"/>
    <s v="Sports"/>
    <s v="Yoga Mat"/>
    <n v="29.99"/>
    <n v="4"/>
    <n v="5"/>
    <n v="28.49"/>
    <n v="113.96"/>
    <s v="Debit Card"/>
    <s v="Delivered"/>
    <n v="4"/>
    <n v="36"/>
    <s v="Los Angeles"/>
    <s v="Silver"/>
    <s v="Female"/>
    <b v="1"/>
    <x v="24"/>
  </r>
  <r>
    <s v="ORD-20278"/>
    <s v="CUST-5033"/>
    <d v="2023-07-27T00:00:00"/>
    <s v="Books"/>
    <s v="Fiction Novel"/>
    <n v="14.99"/>
    <n v="4"/>
    <n v="0"/>
    <n v="14.99"/>
    <n v="59.96"/>
    <s v="Wallet"/>
    <s v="Delivered"/>
    <m/>
    <n v="36"/>
    <s v="Los Angeles"/>
    <s v="Silver"/>
    <s v="Female"/>
    <b v="1"/>
    <x v="9"/>
  </r>
  <r>
    <s v="ORD-20279"/>
    <s v="CUST-5033"/>
    <d v="2024-02-04T00:00:00"/>
    <s v="Books"/>
    <s v="Fiction Novel"/>
    <n v="14.99"/>
    <n v="3"/>
    <n v="10"/>
    <n v="13.49"/>
    <n v="40.47"/>
    <s v="Credit Card"/>
    <s v="Delivered"/>
    <n v="4"/>
    <n v="36"/>
    <s v="Los Angeles"/>
    <s v="Silver"/>
    <s v="Female"/>
    <b v="1"/>
    <x v="0"/>
  </r>
  <r>
    <s v="ORD-20280"/>
    <s v="CUST-5033"/>
    <d v="2023-06-03T00:00:00"/>
    <s v="Beauty"/>
    <s v="Hair Mask"/>
    <n v="24.99"/>
    <n v="4"/>
    <n v="0"/>
    <n v="24.99"/>
    <n v="99.96"/>
    <s v="Debit Card"/>
    <s v="Delivered"/>
    <m/>
    <n v="36"/>
    <s v="Los Angeles"/>
    <s v="Silver"/>
    <s v="Female"/>
    <b v="1"/>
    <x v="19"/>
  </r>
  <r>
    <s v="ORD-20281"/>
    <s v="CUST-5033"/>
    <d v="2023-01-02T00:00:00"/>
    <s v="Toys"/>
    <s v="Remote Control Car"/>
    <n v="39.99"/>
    <n v="1"/>
    <n v="5"/>
    <n v="37.99"/>
    <n v="37.99"/>
    <s v="PayPal"/>
    <s v="Delivered"/>
    <n v="4"/>
    <n v="36"/>
    <s v="Los Angeles"/>
    <s v="Silver"/>
    <s v="Female"/>
    <b v="1"/>
    <x v="10"/>
  </r>
  <r>
    <s v="ORD-20282"/>
    <s v="CUST-5033"/>
    <d v="2024-01-24T00:00:00"/>
    <s v="Electronics"/>
    <s v="Smart Watch"/>
    <n v="199.99"/>
    <n v="4"/>
    <n v="20"/>
    <n v="159.99"/>
    <n v="639.96"/>
    <s v="Wallet"/>
    <s v="Delivered"/>
    <n v="3"/>
    <n v="36"/>
    <s v="Los Angeles"/>
    <s v="Silver"/>
    <s v="Female"/>
    <b v="1"/>
    <x v="25"/>
  </r>
  <r>
    <s v="ORD-20283"/>
    <s v="CUST-5033"/>
    <d v="2022-12-15T00:00:00"/>
    <s v="Books"/>
    <s v="Fiction Novel"/>
    <n v="14.99"/>
    <n v="1"/>
    <n v="5"/>
    <n v="14.24"/>
    <n v="14.24"/>
    <s v="Wallet"/>
    <s v="Delivered"/>
    <n v="5"/>
    <n v="36"/>
    <s v="Los Angeles"/>
    <s v="Silver"/>
    <s v="Female"/>
    <b v="1"/>
    <x v="28"/>
  </r>
  <r>
    <s v="ORD-20284"/>
    <s v="CUST-5033"/>
    <d v="2023-03-19T00:00:00"/>
    <s v="Beauty"/>
    <s v="Moisturizer SPF 50"/>
    <n v="29.99"/>
    <n v="3"/>
    <n v="0"/>
    <n v="29.99"/>
    <n v="89.97"/>
    <s v="UPI"/>
    <s v="Delivered"/>
    <m/>
    <n v="36"/>
    <s v="Los Angeles"/>
    <s v="Silver"/>
    <s v="Female"/>
    <b v="1"/>
    <x v="23"/>
  </r>
  <r>
    <s v="ORD-20285"/>
    <s v="CUST-5034"/>
    <d v="2022-08-01T00:00:00"/>
    <s v="Books"/>
    <s v="Business Analytics"/>
    <n v="39.99"/>
    <n v="3"/>
    <n v="5"/>
    <n v="37.99"/>
    <n v="113.97"/>
    <s v="PayPal"/>
    <s v="Processing"/>
    <n v="5"/>
    <n v="61"/>
    <s v="San Jose"/>
    <s v="Gold"/>
    <s v="Female"/>
    <b v="1"/>
    <x v="7"/>
  </r>
  <r>
    <s v="ORD-20286"/>
    <s v="CUST-5034"/>
    <d v="2024-10-15T00:00:00"/>
    <s v="Toys"/>
    <s v="Puzzle 1000pcs"/>
    <n v="24.99"/>
    <n v="4"/>
    <n v="0"/>
    <n v="24.99"/>
    <n v="99.96"/>
    <s v="Wallet"/>
    <s v="Delivered"/>
    <m/>
    <n v="61"/>
    <s v="San Jose"/>
    <s v="Gold"/>
    <s v="Female"/>
    <b v="1"/>
    <x v="21"/>
  </r>
  <r>
    <s v="ORD-20287"/>
    <s v="CUST-5034"/>
    <d v="2022-01-04T00:00:00"/>
    <s v="Electronics"/>
    <s v="Wireless Earbuds"/>
    <n v="79.989999999999995"/>
    <n v="1"/>
    <n v="15"/>
    <n v="67.989999999999995"/>
    <n v="67.989999999999995"/>
    <s v="PayPal"/>
    <s v="Delivered"/>
    <n v="5"/>
    <n v="61"/>
    <s v="San Jose"/>
    <s v="Gold"/>
    <s v="Female"/>
    <b v="1"/>
    <x v="2"/>
  </r>
  <r>
    <s v="ORD-20288"/>
    <s v="CUST-5034"/>
    <d v="2022-03-23T00:00:00"/>
    <s v="Beauty"/>
    <s v="Lip Balm Set"/>
    <n v="14.99"/>
    <n v="2"/>
    <n v="0"/>
    <n v="14.99"/>
    <n v="29.98"/>
    <s v="Wallet"/>
    <s v="Delivered"/>
    <m/>
    <n v="61"/>
    <s v="San Jose"/>
    <s v="Gold"/>
    <s v="Female"/>
    <b v="1"/>
    <x v="11"/>
  </r>
  <r>
    <s v="ORD-20289"/>
    <s v="CUST-5035"/>
    <d v="2024-10-03T00:00:00"/>
    <s v="Clothing"/>
    <s v="Cotton T-Shirt"/>
    <n v="24.99"/>
    <n v="2"/>
    <n v="0"/>
    <n v="24.99"/>
    <n v="49.98"/>
    <s v="Wallet"/>
    <s v="Delivered"/>
    <n v="5"/>
    <n v="42"/>
    <s v="Philadelphia"/>
    <s v="Silver"/>
    <s v="Female"/>
    <b v="1"/>
    <x v="21"/>
  </r>
  <r>
    <s v="ORD-20290"/>
    <s v="CUST-5035"/>
    <d v="2024-07-11T00:00:00"/>
    <s v="Clothing"/>
    <s v="Running Shoes"/>
    <n v="89.99"/>
    <n v="3"/>
    <n v="0"/>
    <n v="89.99"/>
    <n v="269.97000000000003"/>
    <s v="Wallet"/>
    <s v="Shipped"/>
    <m/>
    <n v="42"/>
    <s v="Philadelphia"/>
    <s v="Silver"/>
    <s v="Female"/>
    <b v="1"/>
    <x v="4"/>
  </r>
  <r>
    <s v="ORD-20291"/>
    <s v="CUST-5035"/>
    <d v="2022-10-19T00:00:00"/>
    <s v="Sports"/>
    <s v="Jump Rope"/>
    <n v="14.99"/>
    <n v="2"/>
    <n v="0"/>
    <n v="14.99"/>
    <n v="29.98"/>
    <s v="UPI"/>
    <s v="Delivered"/>
    <n v="4"/>
    <n v="42"/>
    <s v="Philadelphia"/>
    <s v="Silver"/>
    <s v="Female"/>
    <b v="1"/>
    <x v="20"/>
  </r>
  <r>
    <s v="ORD-20292"/>
    <s v="CUST-5035"/>
    <d v="2022-02-19T00:00:00"/>
    <s v="Sports"/>
    <s v="Resistance Bands"/>
    <n v="19.989999999999998"/>
    <n v="2"/>
    <n v="0"/>
    <n v="19.989999999999998"/>
    <n v="39.979999999999997"/>
    <s v="UPI"/>
    <s v="Cancelled"/>
    <n v="5"/>
    <n v="42"/>
    <s v="Philadelphia"/>
    <s v="Silver"/>
    <s v="Female"/>
    <b v="1"/>
    <x v="17"/>
  </r>
  <r>
    <s v="ORD-20293"/>
    <s v="CUST-5035"/>
    <d v="2024-09-25T00:00:00"/>
    <s v="Sports"/>
    <s v="Water Bottle"/>
    <n v="24.99"/>
    <n v="3"/>
    <n v="0"/>
    <n v="24.99"/>
    <n v="74.97"/>
    <s v="Credit Card"/>
    <s v="Delivered"/>
    <n v="2"/>
    <n v="42"/>
    <s v="Philadelphia"/>
    <s v="Silver"/>
    <s v="Female"/>
    <b v="1"/>
    <x v="15"/>
  </r>
  <r>
    <s v="ORD-20294"/>
    <s v="CUST-5036"/>
    <d v="2024-07-04T00:00:00"/>
    <s v="Clothing"/>
    <s v="Cotton T-Shirt"/>
    <n v="24.99"/>
    <n v="2"/>
    <n v="0"/>
    <n v="24.99"/>
    <n v="49.98"/>
    <s v="Credit Card"/>
    <s v="Delivered"/>
    <m/>
    <n v="36"/>
    <s v="San Jose"/>
    <s v="Gold"/>
    <s v="Female"/>
    <b v="1"/>
    <x v="4"/>
  </r>
  <r>
    <s v="ORD-20295"/>
    <s v="CUST-5036"/>
    <d v="2023-10-11T00:00:00"/>
    <s v="Books"/>
    <s v="Fiction Novel"/>
    <n v="14.99"/>
    <n v="3"/>
    <n v="0"/>
    <n v="14.99"/>
    <n v="44.97"/>
    <s v="Wallet"/>
    <s v="Delivered"/>
    <n v="3"/>
    <n v="36"/>
    <s v="San Jose"/>
    <s v="Gold"/>
    <s v="Female"/>
    <b v="1"/>
    <x v="13"/>
  </r>
  <r>
    <s v="ORD-20296"/>
    <s v="CUST-5036"/>
    <d v="2024-03-21T00:00:00"/>
    <s v="Electronics"/>
    <s v="Smart Watch"/>
    <n v="199.99"/>
    <n v="4"/>
    <n v="15"/>
    <n v="169.99"/>
    <n v="679.96"/>
    <s v="Credit Card"/>
    <s v="Delivered"/>
    <n v="5"/>
    <n v="36"/>
    <s v="San Jose"/>
    <s v="Gold"/>
    <s v="Female"/>
    <b v="1"/>
    <x v="1"/>
  </r>
  <r>
    <s v="ORD-20297"/>
    <s v="CUST-5036"/>
    <d v="2024-03-02T00:00:00"/>
    <s v="Electronics"/>
    <s v="Wireless Earbuds"/>
    <n v="79.989999999999995"/>
    <n v="1"/>
    <n v="15"/>
    <n v="67.989999999999995"/>
    <n v="67.989999999999995"/>
    <s v="Credit Card"/>
    <s v="Delivered"/>
    <n v="5"/>
    <n v="36"/>
    <s v="San Jose"/>
    <s v="Gold"/>
    <s v="Female"/>
    <b v="1"/>
    <x v="1"/>
  </r>
  <r>
    <s v="ORD-20298"/>
    <s v="CUST-5036"/>
    <d v="2023-02-01T00:00:00"/>
    <s v="Home &amp; Kitchen"/>
    <s v="Blender"/>
    <n v="64.989999999999995"/>
    <n v="1"/>
    <n v="0"/>
    <n v="64.989999999999995"/>
    <n v="64.989999999999995"/>
    <s v="Credit Card"/>
    <s v="Delivered"/>
    <n v="5"/>
    <n v="36"/>
    <s v="San Jose"/>
    <s v="Gold"/>
    <s v="Female"/>
    <b v="1"/>
    <x v="34"/>
  </r>
  <r>
    <s v="ORD-20299"/>
    <s v="CUST-5036"/>
    <d v="2022-04-13T00:00:00"/>
    <s v="Beauty"/>
    <s v="Lip Balm Set"/>
    <n v="14.99"/>
    <n v="3"/>
    <n v="5"/>
    <n v="14.24"/>
    <n v="42.72"/>
    <s v="PayPal"/>
    <s v="Delivered"/>
    <n v="5"/>
    <n v="36"/>
    <s v="San Jose"/>
    <s v="Gold"/>
    <s v="Female"/>
    <b v="1"/>
    <x v="12"/>
  </r>
  <r>
    <s v="ORD-20300"/>
    <s v="CUST-5036"/>
    <d v="2022-09-18T00:00:00"/>
    <s v="Sports"/>
    <s v="Yoga Mat"/>
    <n v="29.99"/>
    <n v="4"/>
    <n v="15"/>
    <n v="25.49"/>
    <n v="101.96"/>
    <s v="PayPal"/>
    <s v="Delivered"/>
    <n v="4"/>
    <n v="36"/>
    <s v="San Jose"/>
    <s v="Gold"/>
    <s v="Female"/>
    <b v="1"/>
    <x v="22"/>
  </r>
  <r>
    <s v="ORD-20301"/>
    <s v="CUST-5036"/>
    <d v="2023-11-17T00:00:00"/>
    <s v="Sports"/>
    <s v="Resistance Bands"/>
    <n v="19.989999999999998"/>
    <n v="2"/>
    <n v="20"/>
    <n v="15.99"/>
    <n v="31.98"/>
    <s v="PayPal"/>
    <s v="Shipped"/>
    <m/>
    <n v="36"/>
    <s v="San Jose"/>
    <s v="Gold"/>
    <s v="Female"/>
    <b v="1"/>
    <x v="29"/>
  </r>
  <r>
    <s v="ORD-20302"/>
    <s v="CUST-5036"/>
    <d v="2024-12-08T00:00:00"/>
    <s v="Toys"/>
    <s v="Action Figure"/>
    <n v="19.989999999999998"/>
    <n v="2"/>
    <n v="5"/>
    <n v="18.989999999999998"/>
    <n v="37.979999999999997"/>
    <s v="Debit Card"/>
    <s v="Delivered"/>
    <n v="5"/>
    <n v="36"/>
    <s v="San Jose"/>
    <s v="Gold"/>
    <s v="Female"/>
    <b v="1"/>
    <x v="32"/>
  </r>
  <r>
    <s v="ORD-20303"/>
    <s v="CUST-5037"/>
    <d v="2024-05-01T00:00:00"/>
    <s v="Toys"/>
    <s v="Puzzle 1000pcs"/>
    <n v="24.99"/>
    <n v="4"/>
    <n v="15"/>
    <n v="21.24"/>
    <n v="84.96"/>
    <s v="UPI"/>
    <s v="Delivered"/>
    <m/>
    <n v="39"/>
    <s v="Austin"/>
    <s v="Free"/>
    <s v="Female"/>
    <b v="1"/>
    <x v="30"/>
  </r>
  <r>
    <s v="ORD-20304"/>
    <s v="CUST-5037"/>
    <d v="2022-02-16T00:00:00"/>
    <s v="Electronics"/>
    <s v="Bluetooth Speaker"/>
    <n v="49.99"/>
    <n v="2"/>
    <n v="20"/>
    <n v="39.99"/>
    <n v="79.98"/>
    <s v="Debit Card"/>
    <s v="Processing"/>
    <m/>
    <n v="39"/>
    <s v="Austin"/>
    <s v="Free"/>
    <s v="Female"/>
    <b v="1"/>
    <x v="17"/>
  </r>
  <r>
    <s v="ORD-20305"/>
    <s v="CUST-5037"/>
    <d v="2022-08-24T00:00:00"/>
    <s v="Clothing"/>
    <s v="Running Shoes"/>
    <n v="89.99"/>
    <n v="1"/>
    <n v="5"/>
    <n v="85.49"/>
    <n v="85.49"/>
    <s v="Debit Card"/>
    <s v="Delivered"/>
    <m/>
    <n v="39"/>
    <s v="Austin"/>
    <s v="Free"/>
    <s v="Female"/>
    <b v="1"/>
    <x v="7"/>
  </r>
  <r>
    <s v="ORD-20306"/>
    <s v="CUST-5037"/>
    <d v="2023-05-24T00:00:00"/>
    <s v="Beauty"/>
    <s v="Hair Mask"/>
    <n v="24.99"/>
    <n v="1"/>
    <n v="10"/>
    <n v="22.49"/>
    <n v="22.49"/>
    <s v="PayPal"/>
    <s v="Delivered"/>
    <n v="2"/>
    <n v="39"/>
    <s v="Austin"/>
    <s v="Free"/>
    <s v="Female"/>
    <b v="1"/>
    <x v="5"/>
  </r>
  <r>
    <s v="ORD-20307"/>
    <s v="CUST-5037"/>
    <d v="2022-09-10T00:00:00"/>
    <s v="Home &amp; Kitchen"/>
    <s v="Non-stick Pan Set"/>
    <n v="44.99"/>
    <n v="1"/>
    <n v="0"/>
    <n v="44.99"/>
    <n v="44.99"/>
    <s v="PayPal"/>
    <s v="Delivered"/>
    <m/>
    <n v="39"/>
    <s v="Austin"/>
    <s v="Free"/>
    <s v="Female"/>
    <b v="1"/>
    <x v="22"/>
  </r>
  <r>
    <s v="ORD-20308"/>
    <s v="CUST-5037"/>
    <d v="2024-06-25T00:00:00"/>
    <s v="Clothing"/>
    <s v="Yoga Pants"/>
    <n v="44.99"/>
    <n v="1"/>
    <n v="0"/>
    <n v="44.99"/>
    <n v="44.99"/>
    <s v="Debit Card"/>
    <s v="Delivered"/>
    <n v="5"/>
    <n v="39"/>
    <s v="Austin"/>
    <s v="Free"/>
    <s v="Female"/>
    <b v="1"/>
    <x v="35"/>
  </r>
  <r>
    <s v="ORD-20309"/>
    <s v="CUST-5037"/>
    <d v="2024-06-13T00:00:00"/>
    <s v="Books"/>
    <s v="Business Analytics"/>
    <n v="39.99"/>
    <n v="3"/>
    <n v="0"/>
    <n v="39.99"/>
    <n v="119.97"/>
    <s v="Debit Card"/>
    <s v="Delivered"/>
    <n v="1"/>
    <n v="39"/>
    <s v="Austin"/>
    <s v="Free"/>
    <s v="Female"/>
    <b v="1"/>
    <x v="35"/>
  </r>
  <r>
    <s v="ORD-20310"/>
    <s v="CUST-5037"/>
    <d v="2023-05-08T00:00:00"/>
    <s v="Home &amp; Kitchen"/>
    <s v="Blender"/>
    <n v="64.989999999999995"/>
    <n v="2"/>
    <n v="0"/>
    <n v="64.989999999999995"/>
    <n v="129.97999999999999"/>
    <s v="PayPal"/>
    <s v="Delivered"/>
    <m/>
    <n v="39"/>
    <s v="Austin"/>
    <s v="Free"/>
    <s v="Female"/>
    <b v="1"/>
    <x v="5"/>
  </r>
  <r>
    <s v="ORD-20311"/>
    <s v="CUST-5037"/>
    <d v="2023-06-06T00:00:00"/>
    <s v="Books"/>
    <s v="Fiction Novel"/>
    <n v="14.99"/>
    <n v="3"/>
    <n v="15"/>
    <n v="12.74"/>
    <n v="38.22"/>
    <s v="PayPal"/>
    <s v="Delivered"/>
    <n v="4"/>
    <n v="39"/>
    <s v="Austin"/>
    <s v="Free"/>
    <s v="Female"/>
    <b v="1"/>
    <x v="19"/>
  </r>
  <r>
    <s v="ORD-20312"/>
    <s v="CUST-5037"/>
    <d v="2024-06-07T00:00:00"/>
    <s v="Home &amp; Kitchen"/>
    <s v="Air Fryer"/>
    <n v="89.99"/>
    <n v="4"/>
    <n v="10"/>
    <n v="80.989999999999995"/>
    <n v="323.95999999999998"/>
    <s v="UPI"/>
    <s v="Delivered"/>
    <n v="4"/>
    <n v="39"/>
    <s v="Austin"/>
    <s v="Free"/>
    <s v="Female"/>
    <b v="1"/>
    <x v="35"/>
  </r>
  <r>
    <s v="ORD-20313"/>
    <s v="CUST-5037"/>
    <d v="2023-02-18T00:00:00"/>
    <s v="Sports"/>
    <s v="Yoga Mat"/>
    <n v="29.99"/>
    <n v="3"/>
    <n v="0"/>
    <n v="29.99"/>
    <n v="89.97"/>
    <s v="Credit Card"/>
    <s v="Processing"/>
    <m/>
    <n v="39"/>
    <s v="Austin"/>
    <s v="Free"/>
    <s v="Female"/>
    <b v="1"/>
    <x v="34"/>
  </r>
  <r>
    <s v="ORD-20314"/>
    <s v="CUST-5037"/>
    <d v="2022-09-16T00:00:00"/>
    <s v="Home &amp; Kitchen"/>
    <s v="Air Fryer"/>
    <n v="89.99"/>
    <n v="2"/>
    <n v="5"/>
    <n v="85.49"/>
    <n v="170.98"/>
    <s v="Wallet"/>
    <s v="Delivered"/>
    <n v="4"/>
    <n v="39"/>
    <s v="Austin"/>
    <s v="Free"/>
    <s v="Female"/>
    <b v="1"/>
    <x v="22"/>
  </r>
  <r>
    <s v="ORD-20315"/>
    <s v="CUST-5037"/>
    <d v="2022-11-06T00:00:00"/>
    <s v="Electronics"/>
    <s v="Wireless Earbuds"/>
    <n v="79.989999999999995"/>
    <n v="1"/>
    <n v="10"/>
    <n v="71.989999999999995"/>
    <n v="71.989999999999995"/>
    <s v="Credit Card"/>
    <s v="Delivered"/>
    <n v="3"/>
    <n v="39"/>
    <s v="Austin"/>
    <s v="Free"/>
    <s v="Female"/>
    <b v="1"/>
    <x v="3"/>
  </r>
  <r>
    <s v="ORD-20316"/>
    <s v="CUST-5037"/>
    <d v="2023-08-23T00:00:00"/>
    <s v="Books"/>
    <s v="Data Science Handbook"/>
    <n v="49.99"/>
    <n v="4"/>
    <n v="20"/>
    <n v="39.99"/>
    <n v="159.96"/>
    <s v="PayPal"/>
    <s v="Delivered"/>
    <n v="3"/>
    <n v="39"/>
    <s v="Austin"/>
    <s v="Free"/>
    <s v="Female"/>
    <b v="1"/>
    <x v="24"/>
  </r>
  <r>
    <s v="ORD-20317"/>
    <s v="CUST-5037"/>
    <d v="2022-06-04T00:00:00"/>
    <s v="Toys"/>
    <s v="LEGO Classic Set"/>
    <n v="49.99"/>
    <n v="1"/>
    <n v="20"/>
    <n v="39.99"/>
    <n v="39.99"/>
    <s v="UPI"/>
    <s v="Delivered"/>
    <n v="2"/>
    <n v="39"/>
    <s v="Austin"/>
    <s v="Free"/>
    <s v="Female"/>
    <b v="1"/>
    <x v="8"/>
  </r>
  <r>
    <s v="ORD-20318"/>
    <s v="CUST-5038"/>
    <d v="2023-07-04T00:00:00"/>
    <s v="Clothing"/>
    <s v="Running Shoes"/>
    <n v="89.99"/>
    <n v="3"/>
    <n v="15"/>
    <n v="76.489999999999995"/>
    <n v="229.47"/>
    <s v="Wallet"/>
    <s v="Delivered"/>
    <n v="5"/>
    <n v="46"/>
    <s v="Los Angeles"/>
    <s v="Free"/>
    <s v="Male"/>
    <b v="1"/>
    <x v="9"/>
  </r>
  <r>
    <s v="ORD-20319"/>
    <s v="CUST-5038"/>
    <d v="2024-03-15T00:00:00"/>
    <s v="Beauty"/>
    <s v="Hair Mask"/>
    <n v="24.99"/>
    <n v="4"/>
    <n v="5"/>
    <n v="23.74"/>
    <n v="94.96"/>
    <s v="Wallet"/>
    <s v="Shipped"/>
    <n v="5"/>
    <n v="46"/>
    <s v="Los Angeles"/>
    <s v="Free"/>
    <s v="Male"/>
    <b v="1"/>
    <x v="1"/>
  </r>
  <r>
    <s v="ORD-20320"/>
    <s v="CUST-5038"/>
    <d v="2024-10-15T00:00:00"/>
    <s v="Sports"/>
    <s v="Water Bottle"/>
    <n v="24.99"/>
    <n v="1"/>
    <n v="0"/>
    <n v="24.99"/>
    <n v="24.99"/>
    <s v="PayPal"/>
    <s v="Shipped"/>
    <n v="5"/>
    <n v="46"/>
    <s v="Los Angeles"/>
    <s v="Free"/>
    <s v="Male"/>
    <b v="1"/>
    <x v="21"/>
  </r>
  <r>
    <s v="ORD-20321"/>
    <s v="CUST-5038"/>
    <d v="2022-06-05T00:00:00"/>
    <s v="Books"/>
    <s v="Python for Beginners"/>
    <n v="29.99"/>
    <n v="1"/>
    <n v="0"/>
    <n v="29.99"/>
    <n v="29.99"/>
    <s v="Wallet"/>
    <s v="Delivered"/>
    <n v="5"/>
    <n v="46"/>
    <s v="Los Angeles"/>
    <s v="Free"/>
    <s v="Male"/>
    <b v="1"/>
    <x v="8"/>
  </r>
  <r>
    <s v="ORD-20322"/>
    <s v="CUST-5038"/>
    <d v="2022-07-16T00:00:00"/>
    <s v="Beauty"/>
    <s v="Hair Mask"/>
    <n v="24.99"/>
    <n v="3"/>
    <n v="0"/>
    <n v="24.99"/>
    <n v="74.97"/>
    <s v="PayPal"/>
    <s v="Delivered"/>
    <m/>
    <n v="46"/>
    <s v="Los Angeles"/>
    <s v="Free"/>
    <s v="Male"/>
    <b v="1"/>
    <x v="33"/>
  </r>
  <r>
    <s v="ORD-20323"/>
    <s v="CUST-5038"/>
    <d v="2023-06-09T00:00:00"/>
    <s v="Sports"/>
    <s v="Yoga Mat"/>
    <n v="29.99"/>
    <n v="3"/>
    <n v="20"/>
    <n v="23.99"/>
    <n v="71.97"/>
    <s v="Credit Card"/>
    <s v="Delivered"/>
    <n v="3"/>
    <n v="46"/>
    <s v="Los Angeles"/>
    <s v="Free"/>
    <s v="Male"/>
    <b v="1"/>
    <x v="19"/>
  </r>
  <r>
    <s v="ORD-20324"/>
    <s v="CUST-5038"/>
    <d v="2022-12-15T00:00:00"/>
    <s v="Beauty"/>
    <s v="Lip Balm Set"/>
    <n v="14.99"/>
    <n v="1"/>
    <n v="0"/>
    <n v="14.99"/>
    <n v="14.99"/>
    <s v="Credit Card"/>
    <s v="Processing"/>
    <m/>
    <n v="46"/>
    <s v="Los Angeles"/>
    <s v="Free"/>
    <s v="Male"/>
    <b v="1"/>
    <x v="28"/>
  </r>
  <r>
    <s v="ORD-20325"/>
    <s v="CUST-5038"/>
    <d v="2024-11-20T00:00:00"/>
    <s v="Books"/>
    <s v="Data Science Handbook"/>
    <n v="49.99"/>
    <n v="4"/>
    <n v="0"/>
    <n v="49.99"/>
    <n v="199.96"/>
    <s v="UPI"/>
    <s v="Delivered"/>
    <n v="5"/>
    <n v="46"/>
    <s v="Los Angeles"/>
    <s v="Free"/>
    <s v="Male"/>
    <b v="1"/>
    <x v="16"/>
  </r>
  <r>
    <s v="ORD-20326"/>
    <s v="CUST-5039"/>
    <d v="2022-09-12T00:00:00"/>
    <s v="Toys"/>
    <s v="LEGO Classic Set"/>
    <n v="49.99"/>
    <n v="3"/>
    <n v="0"/>
    <n v="49.99"/>
    <n v="149.97"/>
    <s v="UPI"/>
    <s v="Delivered"/>
    <n v="5"/>
    <n v="60"/>
    <s v="San Jose"/>
    <s v="Gold"/>
    <s v="Female"/>
    <b v="1"/>
    <x v="22"/>
  </r>
  <r>
    <s v="ORD-20327"/>
    <s v="CUST-5039"/>
    <d v="2022-12-02T00:00:00"/>
    <s v="Toys"/>
    <s v="Remote Control Car"/>
    <n v="39.99"/>
    <n v="4"/>
    <n v="20"/>
    <n v="31.99"/>
    <n v="127.96"/>
    <s v="PayPal"/>
    <s v="Delivered"/>
    <n v="4"/>
    <n v="60"/>
    <s v="San Jose"/>
    <s v="Gold"/>
    <s v="Female"/>
    <b v="1"/>
    <x v="28"/>
  </r>
  <r>
    <s v="ORD-20328"/>
    <s v="CUST-5039"/>
    <d v="2023-08-07T00:00:00"/>
    <s v="Clothing"/>
    <s v="Yoga Pants"/>
    <n v="44.99"/>
    <n v="3"/>
    <n v="0"/>
    <n v="44.99"/>
    <n v="134.97"/>
    <s v="Debit Card"/>
    <s v="Delivered"/>
    <n v="5"/>
    <n v="60"/>
    <s v="San Jose"/>
    <s v="Gold"/>
    <s v="Female"/>
    <b v="1"/>
    <x v="24"/>
  </r>
  <r>
    <s v="ORD-20329"/>
    <s v="CUST-5039"/>
    <d v="2024-04-06T00:00:00"/>
    <s v="Beauty"/>
    <s v="Face Serum"/>
    <n v="39.99"/>
    <n v="1"/>
    <n v="20"/>
    <n v="31.99"/>
    <n v="31.99"/>
    <s v="Wallet"/>
    <s v="Delivered"/>
    <m/>
    <n v="60"/>
    <s v="San Jose"/>
    <s v="Gold"/>
    <s v="Female"/>
    <b v="1"/>
    <x v="27"/>
  </r>
  <r>
    <s v="ORD-20330"/>
    <s v="CUST-5040"/>
    <d v="2022-10-22T00:00:00"/>
    <s v="Clothing"/>
    <s v="Running Shoes"/>
    <n v="89.99"/>
    <n v="4"/>
    <n v="15"/>
    <n v="76.489999999999995"/>
    <n v="305.95999999999998"/>
    <s v="UPI"/>
    <s v="Delivered"/>
    <n v="4"/>
    <n v="55"/>
    <s v="Chicago"/>
    <s v="Silver"/>
    <s v="Male"/>
    <b v="1"/>
    <x v="20"/>
  </r>
  <r>
    <s v="ORD-20331"/>
    <s v="CUST-5040"/>
    <d v="2024-03-27T00:00:00"/>
    <s v="Home &amp; Kitchen"/>
    <s v="Air Fryer"/>
    <n v="89.99"/>
    <n v="3"/>
    <n v="15"/>
    <n v="76.489999999999995"/>
    <n v="229.47"/>
    <s v="Debit Card"/>
    <s v="Delivered"/>
    <n v="4"/>
    <n v="55"/>
    <s v="Chicago"/>
    <s v="Silver"/>
    <s v="Male"/>
    <b v="1"/>
    <x v="1"/>
  </r>
  <r>
    <s v="ORD-20332"/>
    <s v="CUST-5040"/>
    <d v="2023-02-02T00:00:00"/>
    <s v="Toys"/>
    <s v="LEGO Classic Set"/>
    <n v="49.99"/>
    <n v="4"/>
    <n v="20"/>
    <n v="39.99"/>
    <n v="159.96"/>
    <s v="PayPal"/>
    <s v="Delivered"/>
    <n v="5"/>
    <n v="55"/>
    <s v="Chicago"/>
    <s v="Silver"/>
    <s v="Male"/>
    <b v="1"/>
    <x v="34"/>
  </r>
  <r>
    <s v="ORD-20333"/>
    <s v="CUST-5040"/>
    <d v="2023-04-08T00:00:00"/>
    <s v="Beauty"/>
    <s v="Moisturizer SPF 50"/>
    <n v="29.99"/>
    <n v="1"/>
    <n v="5"/>
    <n v="28.49"/>
    <n v="28.49"/>
    <s v="Credit Card"/>
    <s v="Delivered"/>
    <m/>
    <n v="55"/>
    <s v="Chicago"/>
    <s v="Silver"/>
    <s v="Male"/>
    <b v="1"/>
    <x v="18"/>
  </r>
  <r>
    <s v="ORD-20334"/>
    <s v="CUST-5040"/>
    <d v="2023-06-02T00:00:00"/>
    <s v="Sports"/>
    <s v="Resistance Bands"/>
    <n v="19.989999999999998"/>
    <n v="3"/>
    <n v="10"/>
    <n v="17.989999999999998"/>
    <n v="53.97"/>
    <s v="UPI"/>
    <s v="Delivered"/>
    <n v="4"/>
    <n v="55"/>
    <s v="Chicago"/>
    <s v="Silver"/>
    <s v="Male"/>
    <b v="1"/>
    <x v="19"/>
  </r>
  <r>
    <s v="ORD-20335"/>
    <s v="CUST-5040"/>
    <d v="2023-02-06T00:00:00"/>
    <s v="Beauty"/>
    <s v="Face Serum"/>
    <n v="39.99"/>
    <n v="3"/>
    <n v="0"/>
    <n v="39.99"/>
    <n v="119.97"/>
    <s v="Credit Card"/>
    <s v="Delivered"/>
    <m/>
    <n v="55"/>
    <s v="Chicago"/>
    <s v="Silver"/>
    <s v="Male"/>
    <b v="1"/>
    <x v="34"/>
  </r>
  <r>
    <s v="ORD-20336"/>
    <s v="CUST-5040"/>
    <d v="2024-01-21T00:00:00"/>
    <s v="Sports"/>
    <s v="Water Bottle"/>
    <n v="24.99"/>
    <n v="4"/>
    <n v="0"/>
    <n v="24.99"/>
    <n v="99.96"/>
    <s v="UPI"/>
    <s v="Delivered"/>
    <m/>
    <n v="55"/>
    <s v="Chicago"/>
    <s v="Silver"/>
    <s v="Male"/>
    <b v="1"/>
    <x v="25"/>
  </r>
  <r>
    <s v="ORD-20337"/>
    <s v="CUST-5040"/>
    <d v="2023-04-15T00:00:00"/>
    <s v="Books"/>
    <s v="Business Analytics"/>
    <n v="39.99"/>
    <n v="2"/>
    <n v="15"/>
    <n v="33.99"/>
    <n v="67.98"/>
    <s v="UPI"/>
    <s v="Shipped"/>
    <m/>
    <n v="55"/>
    <s v="Chicago"/>
    <s v="Silver"/>
    <s v="Male"/>
    <b v="1"/>
    <x v="18"/>
  </r>
  <r>
    <s v="ORD-20338"/>
    <s v="CUST-5040"/>
    <d v="2022-11-16T00:00:00"/>
    <s v="Clothing"/>
    <s v="Cotton T-Shirt"/>
    <n v="24.99"/>
    <n v="2"/>
    <n v="20"/>
    <n v="19.989999999999998"/>
    <n v="39.979999999999997"/>
    <s v="PayPal"/>
    <s v="Delivered"/>
    <m/>
    <n v="55"/>
    <s v="Chicago"/>
    <s v="Silver"/>
    <s v="Male"/>
    <b v="1"/>
    <x v="3"/>
  </r>
  <r>
    <s v="ORD-20339"/>
    <s v="CUST-5040"/>
    <d v="2024-11-15T00:00:00"/>
    <s v="Books"/>
    <s v="Data Science Handbook"/>
    <n v="49.99"/>
    <n v="3"/>
    <n v="0"/>
    <n v="49.99"/>
    <n v="149.97"/>
    <s v="PayPal"/>
    <s v="Processing"/>
    <m/>
    <n v="55"/>
    <s v="Chicago"/>
    <s v="Silver"/>
    <s v="Male"/>
    <b v="1"/>
    <x v="16"/>
  </r>
  <r>
    <s v="ORD-20340"/>
    <s v="CUST-5041"/>
    <d v="2023-05-26T00:00:00"/>
    <s v="Home &amp; Kitchen"/>
    <s v="Air Fryer"/>
    <n v="89.99"/>
    <n v="2"/>
    <n v="0"/>
    <n v="89.99"/>
    <n v="179.98"/>
    <s v="Debit Card"/>
    <s v="Delivered"/>
    <n v="5"/>
    <n v="48"/>
    <s v="Houston"/>
    <s v="Platinum"/>
    <s v="Male"/>
    <b v="1"/>
    <x v="5"/>
  </r>
  <r>
    <s v="ORD-20341"/>
    <s v="CUST-5041"/>
    <d v="2024-06-14T00:00:00"/>
    <s v="Clothing"/>
    <s v="Running Shoes"/>
    <n v="89.99"/>
    <n v="4"/>
    <n v="0"/>
    <n v="89.99"/>
    <n v="359.96"/>
    <s v="Wallet"/>
    <s v="Delivered"/>
    <n v="4"/>
    <n v="48"/>
    <s v="Houston"/>
    <s v="Platinum"/>
    <s v="Male"/>
    <b v="1"/>
    <x v="35"/>
  </r>
  <r>
    <s v="ORD-20342"/>
    <s v="CUST-5041"/>
    <d v="2024-08-22T00:00:00"/>
    <s v="Sports"/>
    <s v="Water Bottle"/>
    <n v="24.99"/>
    <n v="2"/>
    <n v="20"/>
    <n v="19.989999999999998"/>
    <n v="39.979999999999997"/>
    <s v="Credit Card"/>
    <s v="Delivered"/>
    <m/>
    <n v="48"/>
    <s v="Houston"/>
    <s v="Platinum"/>
    <s v="Male"/>
    <b v="1"/>
    <x v="26"/>
  </r>
  <r>
    <s v="ORD-20343"/>
    <s v="CUST-5041"/>
    <d v="2023-10-25T00:00:00"/>
    <s v="Books"/>
    <s v="Fiction Novel"/>
    <n v="14.99"/>
    <n v="4"/>
    <n v="10"/>
    <n v="13.49"/>
    <n v="53.96"/>
    <s v="Credit Card"/>
    <s v="Delivered"/>
    <n v="4"/>
    <n v="48"/>
    <s v="Houston"/>
    <s v="Platinum"/>
    <s v="Male"/>
    <b v="1"/>
    <x v="13"/>
  </r>
  <r>
    <s v="ORD-20344"/>
    <s v="CUST-5041"/>
    <d v="2023-04-25T00:00:00"/>
    <s v="Sports"/>
    <s v="Water Bottle"/>
    <n v="24.99"/>
    <n v="2"/>
    <n v="15"/>
    <n v="21.24"/>
    <n v="42.48"/>
    <s v="Credit Card"/>
    <s v="Delivered"/>
    <n v="5"/>
    <n v="48"/>
    <s v="Houston"/>
    <s v="Platinum"/>
    <s v="Male"/>
    <b v="1"/>
    <x v="18"/>
  </r>
  <r>
    <s v="ORD-20345"/>
    <s v="CUST-5041"/>
    <d v="2024-03-12T00:00:00"/>
    <s v="Beauty"/>
    <s v="Face Serum"/>
    <n v="39.99"/>
    <n v="1"/>
    <n v="0"/>
    <n v="39.99"/>
    <n v="39.99"/>
    <s v="Wallet"/>
    <s v="Delivered"/>
    <m/>
    <n v="48"/>
    <s v="Houston"/>
    <s v="Platinum"/>
    <s v="Male"/>
    <b v="1"/>
    <x v="1"/>
  </r>
  <r>
    <s v="ORD-20346"/>
    <s v="CUST-5041"/>
    <d v="2022-01-08T00:00:00"/>
    <s v="Home &amp; Kitchen"/>
    <s v="Blender"/>
    <n v="64.989999999999995"/>
    <n v="2"/>
    <n v="10"/>
    <n v="58.49"/>
    <n v="116.98"/>
    <s v="Debit Card"/>
    <s v="Delivered"/>
    <m/>
    <n v="48"/>
    <s v="Houston"/>
    <s v="Platinum"/>
    <s v="Male"/>
    <b v="1"/>
    <x v="2"/>
  </r>
  <r>
    <s v="ORD-20347"/>
    <s v="CUST-5041"/>
    <d v="2024-06-17T00:00:00"/>
    <s v="Electronics"/>
    <s v="Smart Watch"/>
    <n v="199.99"/>
    <n v="4"/>
    <n v="20"/>
    <n v="159.99"/>
    <n v="639.96"/>
    <s v="Credit Card"/>
    <s v="Delivered"/>
    <m/>
    <n v="48"/>
    <s v="Houston"/>
    <s v="Platinum"/>
    <s v="Male"/>
    <b v="1"/>
    <x v="35"/>
  </r>
  <r>
    <s v="ORD-20348"/>
    <s v="CUST-5041"/>
    <d v="2024-08-15T00:00:00"/>
    <s v="Books"/>
    <s v="Fiction Novel"/>
    <n v="14.99"/>
    <n v="2"/>
    <n v="10"/>
    <n v="13.49"/>
    <n v="26.98"/>
    <s v="UPI"/>
    <s v="Delivered"/>
    <n v="4"/>
    <n v="48"/>
    <s v="Houston"/>
    <s v="Platinum"/>
    <s v="Male"/>
    <b v="1"/>
    <x v="26"/>
  </r>
  <r>
    <s v="ORD-20349"/>
    <s v="CUST-5041"/>
    <d v="2024-08-05T00:00:00"/>
    <s v="Sports"/>
    <s v="Jump Rope"/>
    <n v="14.99"/>
    <n v="4"/>
    <n v="0"/>
    <n v="14.99"/>
    <n v="59.96"/>
    <s v="Credit Card"/>
    <s v="Delivered"/>
    <n v="3"/>
    <n v="48"/>
    <s v="Houston"/>
    <s v="Platinum"/>
    <s v="Male"/>
    <b v="1"/>
    <x v="26"/>
  </r>
  <r>
    <s v="ORD-20350"/>
    <s v="CUST-5041"/>
    <d v="2024-11-20T00:00:00"/>
    <s v="Home &amp; Kitchen"/>
    <s v="Non-stick Pan Set"/>
    <n v="44.99"/>
    <n v="3"/>
    <n v="5"/>
    <n v="42.74"/>
    <n v="128.22"/>
    <s v="Credit Card"/>
    <s v="Shipped"/>
    <n v="5"/>
    <n v="48"/>
    <s v="Houston"/>
    <s v="Platinum"/>
    <s v="Male"/>
    <b v="1"/>
    <x v="16"/>
  </r>
  <r>
    <s v="ORD-20351"/>
    <s v="CUST-5042"/>
    <d v="2022-09-01T00:00:00"/>
    <s v="Home &amp; Kitchen"/>
    <s v="Blender"/>
    <n v="64.989999999999995"/>
    <n v="3"/>
    <n v="15"/>
    <n v="55.24"/>
    <n v="165.72"/>
    <s v="PayPal"/>
    <s v="Delivered"/>
    <m/>
    <n v="49"/>
    <s v="New York"/>
    <s v="Free"/>
    <s v="Female"/>
    <b v="1"/>
    <x v="22"/>
  </r>
  <r>
    <s v="ORD-20352"/>
    <s v="CUST-5042"/>
    <d v="2023-03-16T00:00:00"/>
    <s v="Home &amp; Kitchen"/>
    <s v="Blender"/>
    <n v="64.989999999999995"/>
    <n v="4"/>
    <n v="15"/>
    <n v="55.24"/>
    <n v="220.96"/>
    <s v="UPI"/>
    <s v="Delivered"/>
    <n v="5"/>
    <n v="49"/>
    <s v="New York"/>
    <s v="Free"/>
    <s v="Female"/>
    <b v="1"/>
    <x v="23"/>
  </r>
  <r>
    <s v="ORD-20353"/>
    <s v="CUST-5042"/>
    <d v="2022-03-16T00:00:00"/>
    <s v="Home &amp; Kitchen"/>
    <s v="Air Fryer"/>
    <n v="89.99"/>
    <n v="3"/>
    <n v="10"/>
    <n v="80.989999999999995"/>
    <n v="242.97"/>
    <s v="UPI"/>
    <s v="Delivered"/>
    <m/>
    <n v="49"/>
    <s v="New York"/>
    <s v="Free"/>
    <s v="Female"/>
    <b v="1"/>
    <x v="11"/>
  </r>
  <r>
    <s v="ORD-20354"/>
    <s v="CUST-5042"/>
    <d v="2023-10-17T00:00:00"/>
    <s v="Home &amp; Kitchen"/>
    <s v="Blender"/>
    <n v="64.989999999999995"/>
    <n v="2"/>
    <n v="5"/>
    <n v="61.74"/>
    <n v="123.48"/>
    <s v="Wallet"/>
    <s v="Delivered"/>
    <n v="5"/>
    <n v="49"/>
    <s v="New York"/>
    <s v="Free"/>
    <s v="Female"/>
    <b v="1"/>
    <x v="13"/>
  </r>
  <r>
    <s v="ORD-20355"/>
    <s v="CUST-5042"/>
    <d v="2022-10-17T00:00:00"/>
    <s v="Home &amp; Kitchen"/>
    <s v="Air Fryer"/>
    <n v="89.99"/>
    <n v="3"/>
    <n v="5"/>
    <n v="85.49"/>
    <n v="256.47000000000003"/>
    <s v="Wallet"/>
    <s v="Delivered"/>
    <m/>
    <n v="49"/>
    <s v="New York"/>
    <s v="Free"/>
    <s v="Female"/>
    <b v="1"/>
    <x v="20"/>
  </r>
  <r>
    <s v="ORD-20356"/>
    <s v="CUST-5042"/>
    <d v="2024-10-16T00:00:00"/>
    <s v="Books"/>
    <s v="Python for Beginners"/>
    <n v="29.99"/>
    <n v="2"/>
    <n v="0"/>
    <n v="29.99"/>
    <n v="59.98"/>
    <s v="Credit Card"/>
    <s v="Delivered"/>
    <n v="4"/>
    <n v="49"/>
    <s v="New York"/>
    <s v="Free"/>
    <s v="Female"/>
    <b v="1"/>
    <x v="21"/>
  </r>
  <r>
    <s v="ORD-20357"/>
    <s v="CUST-5043"/>
    <d v="2022-02-18T00:00:00"/>
    <s v="Beauty"/>
    <s v="Lip Balm Set"/>
    <n v="14.99"/>
    <n v="3"/>
    <n v="15"/>
    <n v="12.74"/>
    <n v="38.22"/>
    <s v="Debit Card"/>
    <s v="Delivered"/>
    <m/>
    <n v="32"/>
    <s v="Los Angeles"/>
    <s v="Silver"/>
    <s v="Male"/>
    <b v="1"/>
    <x v="17"/>
  </r>
  <r>
    <s v="ORD-20358"/>
    <s v="CUST-5043"/>
    <d v="2023-10-02T00:00:00"/>
    <s v="Toys"/>
    <s v="LEGO Classic Set"/>
    <n v="49.99"/>
    <n v="3"/>
    <n v="5"/>
    <n v="47.49"/>
    <n v="142.47"/>
    <s v="UPI"/>
    <s v="Returned"/>
    <n v="5"/>
    <n v="32"/>
    <s v="Los Angeles"/>
    <s v="Silver"/>
    <s v="Male"/>
    <b v="1"/>
    <x v="13"/>
  </r>
  <r>
    <s v="ORD-20359"/>
    <s v="CUST-5043"/>
    <d v="2024-06-09T00:00:00"/>
    <s v="Toys"/>
    <s v="Action Figure"/>
    <n v="19.989999999999998"/>
    <n v="1"/>
    <n v="20"/>
    <n v="15.99"/>
    <n v="15.99"/>
    <s v="Credit Card"/>
    <s v="Delivered"/>
    <m/>
    <n v="32"/>
    <s v="Los Angeles"/>
    <s v="Silver"/>
    <s v="Male"/>
    <b v="1"/>
    <x v="35"/>
  </r>
  <r>
    <s v="ORD-20360"/>
    <s v="CUST-5043"/>
    <d v="2024-12-18T00:00:00"/>
    <s v="Home &amp; Kitchen"/>
    <s v="Air Fryer"/>
    <n v="89.99"/>
    <n v="2"/>
    <n v="0"/>
    <n v="89.99"/>
    <n v="179.98"/>
    <s v="UPI"/>
    <s v="Delivered"/>
    <n v="4"/>
    <n v="32"/>
    <s v="Los Angeles"/>
    <s v="Silver"/>
    <s v="Male"/>
    <b v="1"/>
    <x v="32"/>
  </r>
  <r>
    <s v="ORD-20361"/>
    <s v="CUST-5043"/>
    <d v="2022-07-28T00:00:00"/>
    <s v="Sports"/>
    <s v="Jump Rope"/>
    <n v="14.99"/>
    <n v="2"/>
    <n v="15"/>
    <n v="12.74"/>
    <n v="25.48"/>
    <s v="UPI"/>
    <s v="Delivered"/>
    <m/>
    <n v="32"/>
    <s v="Los Angeles"/>
    <s v="Silver"/>
    <s v="Male"/>
    <b v="1"/>
    <x v="33"/>
  </r>
  <r>
    <s v="ORD-20362"/>
    <s v="CUST-5043"/>
    <d v="2022-05-22T00:00:00"/>
    <s v="Sports"/>
    <s v="Resistance Bands"/>
    <n v="19.989999999999998"/>
    <n v="2"/>
    <n v="0"/>
    <n v="19.989999999999998"/>
    <n v="39.979999999999997"/>
    <s v="Debit Card"/>
    <s v="Delivered"/>
    <m/>
    <n v="32"/>
    <s v="Los Angeles"/>
    <s v="Silver"/>
    <s v="Male"/>
    <b v="1"/>
    <x v="31"/>
  </r>
  <r>
    <s v="ORD-20363"/>
    <s v="CUST-5043"/>
    <d v="2023-12-03T00:00:00"/>
    <s v="Clothing"/>
    <s v="Yoga Pants"/>
    <n v="44.99"/>
    <n v="2"/>
    <n v="0"/>
    <n v="44.99"/>
    <n v="89.98"/>
    <s v="Debit Card"/>
    <s v="Delivered"/>
    <n v="4"/>
    <n v="32"/>
    <s v="Los Angeles"/>
    <s v="Silver"/>
    <s v="Male"/>
    <b v="1"/>
    <x v="14"/>
  </r>
  <r>
    <s v="ORD-20364"/>
    <s v="CUST-5043"/>
    <d v="2022-04-28T00:00:00"/>
    <s v="Beauty"/>
    <s v="Moisturizer SPF 50"/>
    <n v="29.99"/>
    <n v="1"/>
    <n v="5"/>
    <n v="28.49"/>
    <n v="28.49"/>
    <s v="Debit Card"/>
    <s v="Shipped"/>
    <n v="5"/>
    <n v="32"/>
    <s v="Los Angeles"/>
    <s v="Silver"/>
    <s v="Male"/>
    <b v="1"/>
    <x v="12"/>
  </r>
  <r>
    <s v="ORD-20365"/>
    <s v="CUST-5043"/>
    <d v="2022-09-12T00:00:00"/>
    <s v="Beauty"/>
    <s v="Hair Mask"/>
    <n v="24.99"/>
    <n v="1"/>
    <n v="0"/>
    <n v="24.99"/>
    <n v="24.99"/>
    <s v="Debit Card"/>
    <s v="Delivered"/>
    <m/>
    <n v="32"/>
    <s v="Los Angeles"/>
    <s v="Silver"/>
    <s v="Male"/>
    <b v="1"/>
    <x v="22"/>
  </r>
  <r>
    <s v="ORD-20366"/>
    <s v="CUST-5043"/>
    <d v="2022-06-22T00:00:00"/>
    <s v="Clothing"/>
    <s v="Running Shoes"/>
    <n v="89.99"/>
    <n v="3"/>
    <n v="0"/>
    <n v="89.99"/>
    <n v="269.97000000000003"/>
    <s v="Debit Card"/>
    <s v="Delivered"/>
    <m/>
    <n v="32"/>
    <s v="Los Angeles"/>
    <s v="Silver"/>
    <s v="Male"/>
    <b v="1"/>
    <x v="8"/>
  </r>
  <r>
    <s v="ORD-20367"/>
    <s v="CUST-5044"/>
    <d v="2023-03-21T00:00:00"/>
    <s v="Home &amp; Kitchen"/>
    <s v="Air Fryer"/>
    <n v="89.99"/>
    <n v="2"/>
    <n v="0"/>
    <n v="89.99"/>
    <n v="179.98"/>
    <s v="PayPal"/>
    <s v="Delivered"/>
    <n v="4"/>
    <n v="35"/>
    <s v="San Jose"/>
    <s v="Free"/>
    <s v="Female"/>
    <b v="1"/>
    <x v="23"/>
  </r>
  <r>
    <s v="ORD-20368"/>
    <s v="CUST-5044"/>
    <d v="2022-02-12T00:00:00"/>
    <s v="Books"/>
    <s v="Fiction Novel"/>
    <n v="14.99"/>
    <n v="1"/>
    <n v="0"/>
    <n v="14.99"/>
    <n v="14.99"/>
    <s v="Credit Card"/>
    <s v="Delivered"/>
    <n v="5"/>
    <n v="35"/>
    <s v="San Jose"/>
    <s v="Free"/>
    <s v="Female"/>
    <b v="1"/>
    <x v="17"/>
  </r>
  <r>
    <s v="ORD-20369"/>
    <s v="CUST-5044"/>
    <d v="2023-09-18T00:00:00"/>
    <s v="Clothing"/>
    <s v="Yoga Pants"/>
    <n v="44.99"/>
    <n v="1"/>
    <n v="0"/>
    <n v="44.99"/>
    <n v="44.99"/>
    <s v="Debit Card"/>
    <s v="Delivered"/>
    <n v="5"/>
    <n v="35"/>
    <s v="San Jose"/>
    <s v="Free"/>
    <s v="Female"/>
    <b v="1"/>
    <x v="6"/>
  </r>
  <r>
    <s v="ORD-20370"/>
    <s v="CUST-5044"/>
    <d v="2022-09-25T00:00:00"/>
    <s v="Clothing"/>
    <s v="Denim Jacket"/>
    <n v="69.989999999999995"/>
    <n v="1"/>
    <n v="0"/>
    <n v="69.989999999999995"/>
    <n v="69.989999999999995"/>
    <s v="PayPal"/>
    <s v="Delivered"/>
    <n v="5"/>
    <n v="35"/>
    <s v="San Jose"/>
    <s v="Free"/>
    <s v="Female"/>
    <b v="1"/>
    <x v="22"/>
  </r>
  <r>
    <s v="ORD-20371"/>
    <s v="CUST-5044"/>
    <d v="2022-09-08T00:00:00"/>
    <s v="Electronics"/>
    <s v="USB-C Hub"/>
    <n v="34.99"/>
    <n v="3"/>
    <n v="15"/>
    <n v="29.74"/>
    <n v="89.22"/>
    <s v="Wallet"/>
    <s v="Delivered"/>
    <n v="5"/>
    <n v="35"/>
    <s v="San Jose"/>
    <s v="Free"/>
    <s v="Female"/>
    <b v="1"/>
    <x v="22"/>
  </r>
  <r>
    <s v="ORD-20372"/>
    <s v="CUST-5044"/>
    <d v="2022-07-08T00:00:00"/>
    <s v="Electronics"/>
    <s v="Smart Watch"/>
    <n v="199.99"/>
    <n v="1"/>
    <n v="15"/>
    <n v="169.99"/>
    <n v="169.99"/>
    <s v="Wallet"/>
    <s v="Delivered"/>
    <n v="4"/>
    <n v="35"/>
    <s v="San Jose"/>
    <s v="Free"/>
    <s v="Female"/>
    <b v="1"/>
    <x v="33"/>
  </r>
  <r>
    <s v="ORD-20373"/>
    <s v="CUST-5044"/>
    <d v="2024-02-18T00:00:00"/>
    <s v="Beauty"/>
    <s v="Hair Mask"/>
    <n v="24.99"/>
    <n v="4"/>
    <n v="5"/>
    <n v="23.74"/>
    <n v="94.96"/>
    <s v="Credit Card"/>
    <s v="Returned"/>
    <n v="5"/>
    <n v="35"/>
    <s v="San Jose"/>
    <s v="Free"/>
    <s v="Female"/>
    <b v="1"/>
    <x v="0"/>
  </r>
  <r>
    <s v="ORD-20374"/>
    <s v="CUST-5044"/>
    <d v="2024-12-25T00:00:00"/>
    <s v="Electronics"/>
    <s v="Wireless Earbuds"/>
    <n v="79.989999999999995"/>
    <n v="1"/>
    <n v="0"/>
    <n v="79.989999999999995"/>
    <n v="79.989999999999995"/>
    <s v="UPI"/>
    <s v="Delivered"/>
    <n v="5"/>
    <n v="35"/>
    <s v="San Jose"/>
    <s v="Free"/>
    <s v="Female"/>
    <b v="1"/>
    <x v="32"/>
  </r>
  <r>
    <s v="ORD-20375"/>
    <s v="CUST-5045"/>
    <d v="2023-02-10T00:00:00"/>
    <s v="Clothing"/>
    <s v="Cotton T-Shirt"/>
    <n v="24.99"/>
    <n v="4"/>
    <n v="5"/>
    <n v="23.74"/>
    <n v="94.96"/>
    <s v="UPI"/>
    <s v="Delivered"/>
    <n v="4"/>
    <n v="58"/>
    <s v="Dallas"/>
    <s v="Silver"/>
    <s v="Female"/>
    <b v="1"/>
    <x v="34"/>
  </r>
  <r>
    <s v="ORD-20376"/>
    <s v="CUST-5046"/>
    <d v="2024-05-21T00:00:00"/>
    <s v="Electronics"/>
    <s v="Bluetooth Speaker"/>
    <n v="49.99"/>
    <n v="1"/>
    <n v="0"/>
    <n v="49.99"/>
    <n v="49.99"/>
    <s v="PayPal"/>
    <s v="Delivered"/>
    <m/>
    <n v="64"/>
    <s v="Houston"/>
    <s v="Free"/>
    <s v="Female"/>
    <b v="1"/>
    <x v="30"/>
  </r>
  <r>
    <s v="ORD-20377"/>
    <s v="CUST-5046"/>
    <d v="2024-04-11T00:00:00"/>
    <s v="Beauty"/>
    <s v="Hair Mask"/>
    <n v="24.99"/>
    <n v="2"/>
    <n v="5"/>
    <n v="23.74"/>
    <n v="47.48"/>
    <s v="Debit Card"/>
    <s v="Delivered"/>
    <n v="2"/>
    <n v="64"/>
    <s v="Houston"/>
    <s v="Free"/>
    <s v="Female"/>
    <b v="1"/>
    <x v="27"/>
  </r>
  <r>
    <s v="ORD-20378"/>
    <s v="CUST-5047"/>
    <d v="2022-06-26T00:00:00"/>
    <s v="Sports"/>
    <s v="Resistance Bands"/>
    <n v="19.989999999999998"/>
    <n v="4"/>
    <n v="0"/>
    <n v="19.989999999999998"/>
    <n v="79.959999999999994"/>
    <s v="Debit Card"/>
    <s v="Delivered"/>
    <n v="2"/>
    <n v="58"/>
    <s v="San Diego"/>
    <s v="Free"/>
    <s v="Female"/>
    <b v="1"/>
    <x v="8"/>
  </r>
  <r>
    <s v="ORD-20379"/>
    <s v="CUST-5047"/>
    <d v="2022-07-01T00:00:00"/>
    <s v="Clothing"/>
    <s v="Denim Jacket"/>
    <n v="69.989999999999995"/>
    <n v="1"/>
    <n v="5"/>
    <n v="66.489999999999995"/>
    <n v="66.489999999999995"/>
    <s v="PayPal"/>
    <s v="Delivered"/>
    <n v="1"/>
    <n v="58"/>
    <s v="San Diego"/>
    <s v="Free"/>
    <s v="Female"/>
    <b v="1"/>
    <x v="33"/>
  </r>
  <r>
    <s v="ORD-20380"/>
    <s v="CUST-5047"/>
    <d v="2024-01-28T00:00:00"/>
    <s v="Toys"/>
    <s v="Puzzle 1000pcs"/>
    <n v="24.99"/>
    <n v="4"/>
    <n v="10"/>
    <n v="22.49"/>
    <n v="89.96"/>
    <s v="UPI"/>
    <s v="Delivered"/>
    <m/>
    <n v="58"/>
    <s v="San Diego"/>
    <s v="Free"/>
    <s v="Female"/>
    <b v="1"/>
    <x v="25"/>
  </r>
  <r>
    <s v="ORD-20381"/>
    <s v="CUST-5047"/>
    <d v="2023-09-08T00:00:00"/>
    <s v="Electronics"/>
    <s v="Bluetooth Speaker"/>
    <n v="49.99"/>
    <n v="3"/>
    <n v="0"/>
    <n v="49.99"/>
    <n v="149.97"/>
    <s v="UPI"/>
    <s v="Delivered"/>
    <n v="5"/>
    <n v="58"/>
    <s v="San Diego"/>
    <s v="Free"/>
    <s v="Female"/>
    <b v="1"/>
    <x v="6"/>
  </r>
  <r>
    <s v="ORD-20382"/>
    <s v="CUST-5047"/>
    <d v="2023-09-27T00:00:00"/>
    <s v="Toys"/>
    <s v="Remote Control Car"/>
    <n v="39.99"/>
    <n v="3"/>
    <n v="0"/>
    <n v="39.99"/>
    <n v="119.97"/>
    <s v="Wallet"/>
    <s v="Delivered"/>
    <n v="4"/>
    <n v="58"/>
    <s v="San Diego"/>
    <s v="Free"/>
    <s v="Female"/>
    <b v="1"/>
    <x v="6"/>
  </r>
  <r>
    <s v="ORD-20383"/>
    <s v="CUST-5048"/>
    <d v="2023-02-21T00:00:00"/>
    <s v="Beauty"/>
    <s v="Hair Mask"/>
    <n v="24.99"/>
    <n v="2"/>
    <n v="0"/>
    <n v="24.99"/>
    <n v="49.98"/>
    <s v="Wallet"/>
    <s v="Delivered"/>
    <n v="5"/>
    <n v="48"/>
    <s v="Dallas"/>
    <s v="Free"/>
    <s v="Female"/>
    <b v="1"/>
    <x v="34"/>
  </r>
  <r>
    <s v="ORD-20384"/>
    <s v="CUST-5048"/>
    <d v="2024-05-21T00:00:00"/>
    <s v="Home &amp; Kitchen"/>
    <s v="Coffee Maker"/>
    <n v="59.99"/>
    <n v="1"/>
    <n v="0"/>
    <n v="59.99"/>
    <n v="59.99"/>
    <s v="Debit Card"/>
    <s v="Delivered"/>
    <m/>
    <n v="48"/>
    <s v="Dallas"/>
    <s v="Free"/>
    <s v="Female"/>
    <b v="1"/>
    <x v="30"/>
  </r>
  <r>
    <s v="ORD-20385"/>
    <s v="CUST-5048"/>
    <d v="2022-03-01T00:00:00"/>
    <s v="Books"/>
    <s v="Python for Beginners"/>
    <n v="29.99"/>
    <n v="2"/>
    <n v="0"/>
    <n v="29.99"/>
    <n v="59.98"/>
    <s v="PayPal"/>
    <s v="Delivered"/>
    <n v="4"/>
    <n v="48"/>
    <s v="Dallas"/>
    <s v="Free"/>
    <s v="Female"/>
    <b v="1"/>
    <x v="11"/>
  </r>
  <r>
    <s v="ORD-20386"/>
    <s v="CUST-5049"/>
    <d v="2023-11-28T00:00:00"/>
    <s v="Electronics"/>
    <s v="Wireless Earbuds"/>
    <n v="79.989999999999995"/>
    <n v="2"/>
    <n v="0"/>
    <n v="79.989999999999995"/>
    <n v="159.97999999999999"/>
    <s v="Wallet"/>
    <s v="Delivered"/>
    <m/>
    <n v="56"/>
    <s v="New York"/>
    <s v="Gold"/>
    <s v="Male"/>
    <b v="1"/>
    <x v="29"/>
  </r>
  <r>
    <s v="ORD-20387"/>
    <s v="CUST-5049"/>
    <d v="2024-05-05T00:00:00"/>
    <s v="Books"/>
    <s v="Fiction Novel"/>
    <n v="14.99"/>
    <n v="3"/>
    <n v="0"/>
    <n v="14.99"/>
    <n v="44.97"/>
    <s v="Credit Card"/>
    <s v="Processing"/>
    <n v="5"/>
    <n v="56"/>
    <s v="New York"/>
    <s v="Gold"/>
    <s v="Male"/>
    <b v="1"/>
    <x v="30"/>
  </r>
  <r>
    <s v="ORD-20388"/>
    <s v="CUST-5049"/>
    <d v="2022-04-12T00:00:00"/>
    <s v="Electronics"/>
    <s v="Bluetooth Speaker"/>
    <n v="49.99"/>
    <n v="3"/>
    <n v="0"/>
    <n v="49.99"/>
    <n v="149.97"/>
    <s v="UPI"/>
    <s v="Returned"/>
    <n v="4"/>
    <n v="56"/>
    <s v="New York"/>
    <s v="Gold"/>
    <s v="Male"/>
    <b v="1"/>
    <x v="12"/>
  </r>
  <r>
    <s v="ORD-20389"/>
    <s v="CUST-5049"/>
    <d v="2024-06-04T00:00:00"/>
    <s v="Sports"/>
    <s v="Yoga Mat"/>
    <n v="29.99"/>
    <n v="1"/>
    <n v="15"/>
    <n v="25.49"/>
    <n v="25.49"/>
    <s v="UPI"/>
    <s v="Delivered"/>
    <n v="3"/>
    <n v="56"/>
    <s v="New York"/>
    <s v="Gold"/>
    <s v="Male"/>
    <b v="1"/>
    <x v="35"/>
  </r>
  <r>
    <s v="ORD-20390"/>
    <s v="CUST-5049"/>
    <d v="2023-09-28T00:00:00"/>
    <s v="Home &amp; Kitchen"/>
    <s v="Non-stick Pan Set"/>
    <n v="44.99"/>
    <n v="4"/>
    <n v="20"/>
    <n v="35.99"/>
    <n v="143.96"/>
    <s v="Credit Card"/>
    <s v="Delivered"/>
    <n v="3"/>
    <n v="56"/>
    <s v="New York"/>
    <s v="Gold"/>
    <s v="Male"/>
    <b v="1"/>
    <x v="6"/>
  </r>
  <r>
    <s v="ORD-20391"/>
    <s v="CUST-5049"/>
    <d v="2024-06-11T00:00:00"/>
    <s v="Clothing"/>
    <s v="Denim Jacket"/>
    <n v="69.989999999999995"/>
    <n v="3"/>
    <n v="5"/>
    <n v="66.489999999999995"/>
    <n v="199.47"/>
    <s v="Wallet"/>
    <s v="Delivered"/>
    <m/>
    <n v="56"/>
    <s v="New York"/>
    <s v="Gold"/>
    <s v="Male"/>
    <b v="1"/>
    <x v="35"/>
  </r>
  <r>
    <s v="ORD-20392"/>
    <s v="CUST-5049"/>
    <d v="2022-12-03T00:00:00"/>
    <s v="Sports"/>
    <s v="Yoga Mat"/>
    <n v="29.99"/>
    <n v="2"/>
    <n v="15"/>
    <n v="25.49"/>
    <n v="50.98"/>
    <s v="Debit Card"/>
    <s v="Delivered"/>
    <n v="4"/>
    <n v="56"/>
    <s v="New York"/>
    <s v="Gold"/>
    <s v="Male"/>
    <b v="1"/>
    <x v="28"/>
  </r>
  <r>
    <s v="ORD-20393"/>
    <s v="CUST-5049"/>
    <d v="2024-04-21T00:00:00"/>
    <s v="Electronics"/>
    <s v="Smart Watch"/>
    <n v="199.99"/>
    <n v="2"/>
    <n v="15"/>
    <n v="169.99"/>
    <n v="339.98"/>
    <s v="UPI"/>
    <s v="Delivered"/>
    <m/>
    <n v="56"/>
    <s v="New York"/>
    <s v="Gold"/>
    <s v="Male"/>
    <b v="1"/>
    <x v="27"/>
  </r>
  <r>
    <s v="ORD-20394"/>
    <s v="CUST-5049"/>
    <d v="2023-04-09T00:00:00"/>
    <s v="Clothing"/>
    <s v="Yoga Pants"/>
    <n v="44.99"/>
    <n v="2"/>
    <n v="0"/>
    <n v="44.99"/>
    <n v="89.98"/>
    <s v="PayPal"/>
    <s v="Delivered"/>
    <n v="3"/>
    <n v="56"/>
    <s v="New York"/>
    <s v="Gold"/>
    <s v="Male"/>
    <b v="1"/>
    <x v="18"/>
  </r>
  <r>
    <s v="ORD-20395"/>
    <s v="CUST-5049"/>
    <d v="2024-04-25T00:00:00"/>
    <s v="Electronics"/>
    <s v="Wireless Earbuds"/>
    <n v="79.989999999999995"/>
    <n v="2"/>
    <n v="5"/>
    <n v="75.989999999999995"/>
    <n v="151.97999999999999"/>
    <s v="Wallet"/>
    <s v="Returned"/>
    <n v="3"/>
    <n v="56"/>
    <s v="New York"/>
    <s v="Gold"/>
    <s v="Male"/>
    <b v="1"/>
    <x v="27"/>
  </r>
  <r>
    <s v="ORD-20396"/>
    <s v="CUST-5049"/>
    <d v="2024-01-26T00:00:00"/>
    <s v="Toys"/>
    <s v="Puzzle 1000pcs"/>
    <n v="24.99"/>
    <n v="1"/>
    <n v="5"/>
    <n v="23.74"/>
    <n v="23.74"/>
    <s v="Wallet"/>
    <s v="Delivered"/>
    <n v="5"/>
    <n v="56"/>
    <s v="New York"/>
    <s v="Gold"/>
    <s v="Male"/>
    <b v="1"/>
    <x v="25"/>
  </r>
  <r>
    <s v="ORD-20397"/>
    <s v="CUST-5049"/>
    <d v="2023-04-05T00:00:00"/>
    <s v="Clothing"/>
    <s v="Cotton T-Shirt"/>
    <n v="24.99"/>
    <n v="4"/>
    <n v="10"/>
    <n v="22.49"/>
    <n v="89.96"/>
    <s v="PayPal"/>
    <s v="Processing"/>
    <n v="4"/>
    <n v="56"/>
    <s v="New York"/>
    <s v="Gold"/>
    <s v="Male"/>
    <b v="1"/>
    <x v="18"/>
  </r>
  <r>
    <s v="ORD-20398"/>
    <s v="CUST-5049"/>
    <d v="2024-10-10T00:00:00"/>
    <s v="Sports"/>
    <s v="Water Bottle"/>
    <n v="24.99"/>
    <n v="4"/>
    <n v="5"/>
    <n v="23.74"/>
    <n v="94.96"/>
    <s v="UPI"/>
    <s v="Delivered"/>
    <n v="4"/>
    <n v="56"/>
    <s v="New York"/>
    <s v="Gold"/>
    <s v="Male"/>
    <b v="1"/>
    <x v="21"/>
  </r>
  <r>
    <s v="ORD-20399"/>
    <s v="CUST-5050"/>
    <d v="2023-11-16T00:00:00"/>
    <s v="Books"/>
    <s v="Data Science Handbook"/>
    <n v="49.99"/>
    <n v="4"/>
    <n v="5"/>
    <n v="47.49"/>
    <n v="189.96"/>
    <s v="Debit Card"/>
    <s v="Delivered"/>
    <n v="5"/>
    <n v="63"/>
    <s v="Houston"/>
    <s v="Free"/>
    <s v="Male"/>
    <b v="1"/>
    <x v="29"/>
  </r>
  <r>
    <s v="ORD-20400"/>
    <s v="CUST-5050"/>
    <d v="2024-03-05T00:00:00"/>
    <s v="Toys"/>
    <s v="LEGO Classic Set"/>
    <n v="49.99"/>
    <n v="2"/>
    <n v="20"/>
    <n v="39.99"/>
    <n v="79.98"/>
    <s v="Wallet"/>
    <s v="Shipped"/>
    <m/>
    <n v="63"/>
    <s v="Houston"/>
    <s v="Free"/>
    <s v="Male"/>
    <b v="1"/>
    <x v="1"/>
  </r>
  <r>
    <s v="ORD-20401"/>
    <s v="CUST-5050"/>
    <d v="2022-01-05T00:00:00"/>
    <s v="Electronics"/>
    <s v="Wireless Earbuds"/>
    <n v="79.989999999999995"/>
    <n v="3"/>
    <n v="0"/>
    <n v="79.989999999999995"/>
    <n v="239.97"/>
    <s v="Wallet"/>
    <s v="Delivered"/>
    <n v="5"/>
    <n v="63"/>
    <s v="Houston"/>
    <s v="Free"/>
    <s v="Male"/>
    <b v="1"/>
    <x v="2"/>
  </r>
  <r>
    <s v="ORD-20402"/>
    <s v="CUST-5050"/>
    <d v="2022-05-27T00:00:00"/>
    <s v="Books"/>
    <s v="Fiction Novel"/>
    <n v="14.99"/>
    <n v="1"/>
    <n v="5"/>
    <n v="14.24"/>
    <n v="14.24"/>
    <s v="UPI"/>
    <s v="Delivered"/>
    <n v="4"/>
    <n v="63"/>
    <s v="Houston"/>
    <s v="Free"/>
    <s v="Male"/>
    <b v="1"/>
    <x v="31"/>
  </r>
  <r>
    <s v="ORD-20403"/>
    <s v="CUST-5050"/>
    <d v="2023-04-15T00:00:00"/>
    <s v="Clothing"/>
    <s v="Cotton T-Shirt"/>
    <n v="24.99"/>
    <n v="4"/>
    <n v="0"/>
    <n v="24.99"/>
    <n v="99.96"/>
    <s v="Wallet"/>
    <s v="Delivered"/>
    <m/>
    <n v="63"/>
    <s v="Houston"/>
    <s v="Free"/>
    <s v="Male"/>
    <b v="1"/>
    <x v="18"/>
  </r>
  <r>
    <s v="ORD-20404"/>
    <s v="CUST-5050"/>
    <d v="2022-04-21T00:00:00"/>
    <s v="Electronics"/>
    <s v="Smart Watch"/>
    <n v="199.99"/>
    <n v="2"/>
    <n v="20"/>
    <n v="159.99"/>
    <n v="319.98"/>
    <s v="Debit Card"/>
    <s v="Cancelled"/>
    <n v="1"/>
    <n v="63"/>
    <s v="Houston"/>
    <s v="Free"/>
    <s v="Male"/>
    <b v="1"/>
    <x v="12"/>
  </r>
  <r>
    <s v="ORD-20405"/>
    <s v="CUST-5050"/>
    <d v="2022-12-20T00:00:00"/>
    <s v="Beauty"/>
    <s v="Lip Balm Set"/>
    <n v="14.99"/>
    <n v="2"/>
    <n v="15"/>
    <n v="12.74"/>
    <n v="25.48"/>
    <s v="Debit Card"/>
    <s v="Delivered"/>
    <n v="5"/>
    <n v="63"/>
    <s v="Houston"/>
    <s v="Free"/>
    <s v="Male"/>
    <b v="1"/>
    <x v="28"/>
  </r>
  <r>
    <s v="ORD-20406"/>
    <s v="CUST-5051"/>
    <d v="2022-01-06T00:00:00"/>
    <s v="Electronics"/>
    <s v="USB-C Hub"/>
    <n v="34.99"/>
    <n v="2"/>
    <n v="20"/>
    <n v="27.99"/>
    <n v="55.98"/>
    <s v="UPI"/>
    <s v="Delivered"/>
    <m/>
    <n v="29"/>
    <s v="Los Angeles"/>
    <s v="Platinum"/>
    <s v="Female"/>
    <b v="1"/>
    <x v="2"/>
  </r>
  <r>
    <s v="ORD-20407"/>
    <s v="CUST-5052"/>
    <d v="2024-05-02T00:00:00"/>
    <s v="Books"/>
    <s v="Fiction Novel"/>
    <n v="14.99"/>
    <n v="2"/>
    <n v="20"/>
    <n v="11.99"/>
    <n v="23.98"/>
    <s v="Debit Card"/>
    <s v="Delivered"/>
    <m/>
    <n v="28"/>
    <s v="Chicago"/>
    <s v="Platinum"/>
    <s v="Male"/>
    <b v="1"/>
    <x v="30"/>
  </r>
  <r>
    <s v="ORD-20408"/>
    <s v="CUST-5052"/>
    <d v="2022-11-14T00:00:00"/>
    <s v="Clothing"/>
    <s v="Yoga Pants"/>
    <n v="44.99"/>
    <n v="3"/>
    <n v="0"/>
    <n v="44.99"/>
    <n v="134.97"/>
    <s v="Debit Card"/>
    <s v="Delivered"/>
    <n v="5"/>
    <n v="28"/>
    <s v="Chicago"/>
    <s v="Platinum"/>
    <s v="Male"/>
    <b v="1"/>
    <x v="3"/>
  </r>
  <r>
    <s v="ORD-20409"/>
    <s v="CUST-5052"/>
    <d v="2024-06-22T00:00:00"/>
    <s v="Toys"/>
    <s v="Remote Control Car"/>
    <n v="39.99"/>
    <n v="3"/>
    <n v="0"/>
    <n v="39.99"/>
    <n v="119.97"/>
    <s v="PayPal"/>
    <s v="Delivered"/>
    <n v="5"/>
    <n v="28"/>
    <s v="Chicago"/>
    <s v="Platinum"/>
    <s v="Male"/>
    <b v="1"/>
    <x v="35"/>
  </r>
  <r>
    <s v="ORD-20410"/>
    <s v="CUST-5052"/>
    <d v="2022-10-16T00:00:00"/>
    <s v="Home &amp; Kitchen"/>
    <s v="Blender"/>
    <n v="64.989999999999995"/>
    <n v="4"/>
    <n v="0"/>
    <n v="64.989999999999995"/>
    <n v="259.95999999999998"/>
    <s v="Wallet"/>
    <s v="Delivered"/>
    <n v="5"/>
    <n v="28"/>
    <s v="Chicago"/>
    <s v="Platinum"/>
    <s v="Male"/>
    <b v="1"/>
    <x v="20"/>
  </r>
  <r>
    <s v="ORD-20411"/>
    <s v="CUST-5052"/>
    <d v="2023-06-19T00:00:00"/>
    <s v="Books"/>
    <s v="Fiction Novel"/>
    <n v="14.99"/>
    <n v="2"/>
    <n v="5"/>
    <n v="14.24"/>
    <n v="28.48"/>
    <s v="Debit Card"/>
    <s v="Delivered"/>
    <n v="4"/>
    <n v="28"/>
    <s v="Chicago"/>
    <s v="Platinum"/>
    <s v="Male"/>
    <b v="1"/>
    <x v="19"/>
  </r>
  <r>
    <s v="ORD-20412"/>
    <s v="CUST-5052"/>
    <d v="2024-11-09T00:00:00"/>
    <s v="Electronics"/>
    <s v="Wireless Earbuds"/>
    <n v="79.989999999999995"/>
    <n v="2"/>
    <n v="5"/>
    <n v="75.989999999999995"/>
    <n v="151.97999999999999"/>
    <s v="UPI"/>
    <s v="Shipped"/>
    <m/>
    <n v="28"/>
    <s v="Chicago"/>
    <s v="Platinum"/>
    <s v="Male"/>
    <b v="1"/>
    <x v="16"/>
  </r>
  <r>
    <s v="ORD-20413"/>
    <s v="CUST-5052"/>
    <d v="2023-10-06T00:00:00"/>
    <s v="Home &amp; Kitchen"/>
    <s v="Air Fryer"/>
    <n v="89.99"/>
    <n v="4"/>
    <n v="20"/>
    <n v="71.989999999999995"/>
    <n v="287.95999999999998"/>
    <s v="Credit Card"/>
    <s v="Shipped"/>
    <m/>
    <n v="28"/>
    <s v="Chicago"/>
    <s v="Platinum"/>
    <s v="Male"/>
    <b v="1"/>
    <x v="13"/>
  </r>
  <r>
    <s v="ORD-20414"/>
    <s v="CUST-5052"/>
    <d v="2024-07-06T00:00:00"/>
    <s v="Books"/>
    <s v="Python for Beginners"/>
    <n v="29.99"/>
    <n v="3"/>
    <n v="10"/>
    <n v="26.99"/>
    <n v="80.97"/>
    <s v="Debit Card"/>
    <s v="Delivered"/>
    <m/>
    <n v="28"/>
    <s v="Chicago"/>
    <s v="Platinum"/>
    <s v="Male"/>
    <b v="1"/>
    <x v="4"/>
  </r>
  <r>
    <s v="ORD-20415"/>
    <s v="CUST-5053"/>
    <d v="2024-09-09T00:00:00"/>
    <s v="Toys"/>
    <s v="LEGO Classic Set"/>
    <n v="49.99"/>
    <n v="1"/>
    <n v="0"/>
    <n v="49.99"/>
    <n v="49.99"/>
    <s v="Debit Card"/>
    <s v="Delivered"/>
    <n v="5"/>
    <n v="23"/>
    <s v="San Diego"/>
    <s v="Platinum"/>
    <s v="Female"/>
    <b v="1"/>
    <x v="15"/>
  </r>
  <r>
    <s v="ORD-20416"/>
    <s v="CUST-5053"/>
    <d v="2023-12-25T00:00:00"/>
    <s v="Electronics"/>
    <s v="Smart Watch"/>
    <n v="199.99"/>
    <n v="1"/>
    <n v="0"/>
    <n v="199.99"/>
    <n v="199.99"/>
    <s v="Wallet"/>
    <s v="Delivered"/>
    <n v="4"/>
    <n v="23"/>
    <s v="San Diego"/>
    <s v="Platinum"/>
    <s v="Female"/>
    <b v="1"/>
    <x v="14"/>
  </r>
  <r>
    <s v="ORD-20417"/>
    <s v="CUST-5053"/>
    <d v="2022-01-09T00:00:00"/>
    <s v="Sports"/>
    <s v="Jump Rope"/>
    <n v="14.99"/>
    <n v="4"/>
    <n v="20"/>
    <n v="11.99"/>
    <n v="47.96"/>
    <s v="UPI"/>
    <s v="Shipped"/>
    <m/>
    <n v="23"/>
    <s v="San Diego"/>
    <s v="Platinum"/>
    <s v="Female"/>
    <b v="1"/>
    <x v="2"/>
  </r>
  <r>
    <s v="ORD-20418"/>
    <s v="CUST-5053"/>
    <d v="2022-12-04T00:00:00"/>
    <s v="Toys"/>
    <s v="Remote Control Car"/>
    <n v="39.99"/>
    <n v="1"/>
    <n v="10"/>
    <n v="35.99"/>
    <n v="35.99"/>
    <s v="Wallet"/>
    <s v="Delivered"/>
    <n v="5"/>
    <n v="23"/>
    <s v="San Diego"/>
    <s v="Platinum"/>
    <s v="Female"/>
    <b v="1"/>
    <x v="28"/>
  </r>
  <r>
    <s v="ORD-20419"/>
    <s v="CUST-5053"/>
    <d v="2023-06-19T00:00:00"/>
    <s v="Books"/>
    <s v="Fiction Novel"/>
    <n v="14.99"/>
    <n v="3"/>
    <n v="20"/>
    <n v="11.99"/>
    <n v="35.97"/>
    <s v="Credit Card"/>
    <s v="Delivered"/>
    <n v="4"/>
    <n v="23"/>
    <s v="San Diego"/>
    <s v="Platinum"/>
    <s v="Female"/>
    <b v="1"/>
    <x v="19"/>
  </r>
  <r>
    <s v="ORD-20420"/>
    <s v="CUST-5053"/>
    <d v="2023-02-03T00:00:00"/>
    <s v="Books"/>
    <s v="Fiction Novel"/>
    <n v="14.99"/>
    <n v="3"/>
    <n v="0"/>
    <n v="14.99"/>
    <n v="44.97"/>
    <s v="Credit Card"/>
    <s v="Delivered"/>
    <m/>
    <n v="23"/>
    <s v="San Diego"/>
    <s v="Platinum"/>
    <s v="Female"/>
    <b v="1"/>
    <x v="34"/>
  </r>
  <r>
    <s v="ORD-20421"/>
    <s v="CUST-5053"/>
    <d v="2022-01-09T00:00:00"/>
    <s v="Toys"/>
    <s v="Puzzle 1000pcs"/>
    <n v="24.99"/>
    <n v="2"/>
    <n v="0"/>
    <n v="24.99"/>
    <n v="49.98"/>
    <s v="Credit Card"/>
    <s v="Delivered"/>
    <n v="3"/>
    <n v="23"/>
    <s v="San Diego"/>
    <s v="Platinum"/>
    <s v="Female"/>
    <b v="1"/>
    <x v="2"/>
  </r>
  <r>
    <s v="ORD-20422"/>
    <s v="CUST-5053"/>
    <d v="2024-08-14T00:00:00"/>
    <s v="Electronics"/>
    <s v="Wireless Earbuds"/>
    <n v="79.989999999999995"/>
    <n v="1"/>
    <n v="0"/>
    <n v="79.989999999999995"/>
    <n v="79.989999999999995"/>
    <s v="Wallet"/>
    <s v="Delivered"/>
    <n v="3"/>
    <n v="23"/>
    <s v="San Diego"/>
    <s v="Platinum"/>
    <s v="Female"/>
    <b v="1"/>
    <x v="26"/>
  </r>
  <r>
    <s v="ORD-20423"/>
    <s v="CUST-5053"/>
    <d v="2022-08-11T00:00:00"/>
    <s v="Beauty"/>
    <s v="Hair Mask"/>
    <n v="24.99"/>
    <n v="2"/>
    <n v="5"/>
    <n v="23.74"/>
    <n v="47.48"/>
    <s v="PayPal"/>
    <s v="Delivered"/>
    <n v="5"/>
    <n v="23"/>
    <s v="San Diego"/>
    <s v="Platinum"/>
    <s v="Female"/>
    <b v="1"/>
    <x v="7"/>
  </r>
  <r>
    <s v="ORD-20424"/>
    <s v="CUST-5054"/>
    <d v="2024-04-13T00:00:00"/>
    <s v="Toys"/>
    <s v="Action Figure"/>
    <n v="19.989999999999998"/>
    <n v="2"/>
    <n v="10"/>
    <n v="17.989999999999998"/>
    <n v="35.979999999999997"/>
    <s v="Wallet"/>
    <s v="Delivered"/>
    <m/>
    <n v="26"/>
    <s v="Dallas"/>
    <s v="Platinum"/>
    <s v="Female"/>
    <b v="1"/>
    <x v="27"/>
  </r>
  <r>
    <s v="ORD-20425"/>
    <s v="CUST-5054"/>
    <d v="2024-05-27T00:00:00"/>
    <s v="Home &amp; Kitchen"/>
    <s v="Air Fryer"/>
    <n v="89.99"/>
    <n v="3"/>
    <n v="15"/>
    <n v="76.489999999999995"/>
    <n v="229.47"/>
    <s v="Debit Card"/>
    <s v="Delivered"/>
    <n v="4"/>
    <n v="26"/>
    <s v="Dallas"/>
    <s v="Platinum"/>
    <s v="Female"/>
    <b v="1"/>
    <x v="30"/>
  </r>
  <r>
    <s v="ORD-20426"/>
    <s v="CUST-5054"/>
    <d v="2022-04-05T00:00:00"/>
    <s v="Home &amp; Kitchen"/>
    <s v="Blender"/>
    <n v="64.989999999999995"/>
    <n v="1"/>
    <n v="0"/>
    <n v="64.989999999999995"/>
    <n v="64.989999999999995"/>
    <s v="UPI"/>
    <s v="Cancelled"/>
    <n v="4"/>
    <n v="26"/>
    <s v="Dallas"/>
    <s v="Platinum"/>
    <s v="Female"/>
    <b v="1"/>
    <x v="12"/>
  </r>
  <r>
    <s v="ORD-20427"/>
    <s v="CUST-5054"/>
    <d v="2024-04-03T00:00:00"/>
    <s v="Sports"/>
    <s v="Jump Rope"/>
    <n v="14.99"/>
    <n v="4"/>
    <n v="5"/>
    <n v="14.24"/>
    <n v="56.96"/>
    <s v="Debit Card"/>
    <s v="Delivered"/>
    <n v="4"/>
    <n v="26"/>
    <s v="Dallas"/>
    <s v="Platinum"/>
    <s v="Female"/>
    <b v="1"/>
    <x v="27"/>
  </r>
  <r>
    <s v="ORD-20428"/>
    <s v="CUST-5054"/>
    <d v="2023-06-26T00:00:00"/>
    <s v="Home &amp; Kitchen"/>
    <s v="Coffee Maker"/>
    <n v="59.99"/>
    <n v="2"/>
    <n v="20"/>
    <n v="47.99"/>
    <n v="95.98"/>
    <s v="Wallet"/>
    <s v="Delivered"/>
    <n v="4"/>
    <n v="26"/>
    <s v="Dallas"/>
    <s v="Platinum"/>
    <s v="Female"/>
    <b v="1"/>
    <x v="19"/>
  </r>
  <r>
    <s v="ORD-20429"/>
    <s v="CUST-5054"/>
    <d v="2024-04-20T00:00:00"/>
    <s v="Sports"/>
    <s v="Yoga Mat"/>
    <n v="29.99"/>
    <n v="1"/>
    <n v="0"/>
    <n v="29.99"/>
    <n v="29.99"/>
    <s v="UPI"/>
    <s v="Delivered"/>
    <m/>
    <n v="26"/>
    <s v="Dallas"/>
    <s v="Platinum"/>
    <s v="Female"/>
    <b v="1"/>
    <x v="27"/>
  </r>
  <r>
    <s v="ORD-20430"/>
    <s v="CUST-5054"/>
    <d v="2024-11-10T00:00:00"/>
    <s v="Electronics"/>
    <s v="Wireless Earbuds"/>
    <n v="79.989999999999995"/>
    <n v="3"/>
    <n v="15"/>
    <n v="67.989999999999995"/>
    <n v="203.97"/>
    <s v="Wallet"/>
    <s v="Delivered"/>
    <n v="4"/>
    <n v="26"/>
    <s v="Dallas"/>
    <s v="Platinum"/>
    <s v="Female"/>
    <b v="1"/>
    <x v="16"/>
  </r>
  <r>
    <s v="ORD-20431"/>
    <s v="CUST-5054"/>
    <d v="2022-04-20T00:00:00"/>
    <s v="Home &amp; Kitchen"/>
    <s v="Coffee Maker"/>
    <n v="59.99"/>
    <n v="2"/>
    <n v="0"/>
    <n v="59.99"/>
    <n v="119.98"/>
    <s v="Debit Card"/>
    <s v="Delivered"/>
    <n v="5"/>
    <n v="26"/>
    <s v="Dallas"/>
    <s v="Platinum"/>
    <s v="Female"/>
    <b v="1"/>
    <x v="12"/>
  </r>
  <r>
    <s v="ORD-20432"/>
    <s v="CUST-5054"/>
    <d v="2024-10-08T00:00:00"/>
    <s v="Home &amp; Kitchen"/>
    <s v="Air Fryer"/>
    <n v="89.99"/>
    <n v="2"/>
    <n v="10"/>
    <n v="80.989999999999995"/>
    <n v="161.97999999999999"/>
    <s v="Wallet"/>
    <s v="Delivered"/>
    <n v="5"/>
    <n v="26"/>
    <s v="Dallas"/>
    <s v="Platinum"/>
    <s v="Female"/>
    <b v="1"/>
    <x v="21"/>
  </r>
  <r>
    <s v="ORD-20433"/>
    <s v="CUST-5054"/>
    <d v="2024-06-17T00:00:00"/>
    <s v="Electronics"/>
    <s v="Smart Watch"/>
    <n v="199.99"/>
    <n v="2"/>
    <n v="0"/>
    <n v="199.99"/>
    <n v="399.98"/>
    <s v="Debit Card"/>
    <s v="Delivered"/>
    <n v="5"/>
    <n v="26"/>
    <s v="Dallas"/>
    <s v="Platinum"/>
    <s v="Female"/>
    <b v="1"/>
    <x v="35"/>
  </r>
  <r>
    <s v="ORD-20434"/>
    <s v="CUST-5054"/>
    <d v="2023-06-10T00:00:00"/>
    <s v="Sports"/>
    <s v="Resistance Bands"/>
    <n v="19.989999999999998"/>
    <n v="3"/>
    <n v="0"/>
    <n v="19.989999999999998"/>
    <n v="59.97"/>
    <s v="Credit Card"/>
    <s v="Processing"/>
    <n v="4"/>
    <n v="26"/>
    <s v="Dallas"/>
    <s v="Platinum"/>
    <s v="Female"/>
    <b v="1"/>
    <x v="19"/>
  </r>
  <r>
    <s v="ORD-20435"/>
    <s v="CUST-5054"/>
    <d v="2022-04-05T00:00:00"/>
    <s v="Clothing"/>
    <s v="Denim Jacket"/>
    <n v="69.989999999999995"/>
    <n v="1"/>
    <n v="20"/>
    <n v="55.99"/>
    <n v="55.99"/>
    <s v="Wallet"/>
    <s v="Delivered"/>
    <m/>
    <n v="26"/>
    <s v="Dallas"/>
    <s v="Platinum"/>
    <s v="Female"/>
    <b v="1"/>
    <x v="12"/>
  </r>
  <r>
    <s v="ORD-20436"/>
    <s v="CUST-5054"/>
    <d v="2022-02-10T00:00:00"/>
    <s v="Clothing"/>
    <s v="Denim Jacket"/>
    <n v="69.989999999999995"/>
    <n v="1"/>
    <n v="15"/>
    <n v="59.49"/>
    <n v="59.49"/>
    <s v="Debit Card"/>
    <s v="Delivered"/>
    <n v="4"/>
    <n v="26"/>
    <s v="Dallas"/>
    <s v="Platinum"/>
    <s v="Female"/>
    <b v="1"/>
    <x v="17"/>
  </r>
  <r>
    <s v="ORD-20437"/>
    <s v="CUST-5054"/>
    <d v="2024-05-09T00:00:00"/>
    <s v="Books"/>
    <s v="Data Science Handbook"/>
    <n v="49.99"/>
    <n v="2"/>
    <n v="0"/>
    <n v="49.99"/>
    <n v="99.98"/>
    <s v="Credit Card"/>
    <s v="Delivered"/>
    <n v="1"/>
    <n v="26"/>
    <s v="Dallas"/>
    <s v="Platinum"/>
    <s v="Female"/>
    <b v="1"/>
    <x v="30"/>
  </r>
  <r>
    <s v="ORD-20438"/>
    <s v="CUST-5054"/>
    <d v="2024-06-23T00:00:00"/>
    <s v="Books"/>
    <s v="Fiction Novel"/>
    <n v="14.99"/>
    <n v="3"/>
    <n v="0"/>
    <n v="14.99"/>
    <n v="44.97"/>
    <s v="Wallet"/>
    <s v="Delivered"/>
    <n v="5"/>
    <n v="26"/>
    <s v="Dallas"/>
    <s v="Platinum"/>
    <s v="Female"/>
    <b v="1"/>
    <x v="35"/>
  </r>
  <r>
    <s v="ORD-20439"/>
    <s v="CUST-5055"/>
    <d v="2022-09-26T00:00:00"/>
    <s v="Home &amp; Kitchen"/>
    <s v="Blender"/>
    <n v="64.989999999999995"/>
    <n v="2"/>
    <n v="15"/>
    <n v="55.24"/>
    <n v="110.48"/>
    <s v="Wallet"/>
    <s v="Delivered"/>
    <n v="4"/>
    <n v="36"/>
    <s v="Chicago"/>
    <s v="Free"/>
    <s v="Male"/>
    <b v="1"/>
    <x v="22"/>
  </r>
  <r>
    <s v="ORD-20440"/>
    <s v="CUST-5055"/>
    <d v="2022-02-23T00:00:00"/>
    <s v="Electronics"/>
    <s v="Smart Watch"/>
    <n v="199.99"/>
    <n v="2"/>
    <n v="0"/>
    <n v="199.99"/>
    <n v="399.98"/>
    <s v="PayPal"/>
    <s v="Delivered"/>
    <m/>
    <n v="36"/>
    <s v="Chicago"/>
    <s v="Free"/>
    <s v="Male"/>
    <b v="1"/>
    <x v="17"/>
  </r>
  <r>
    <s v="ORD-20441"/>
    <s v="CUST-5055"/>
    <d v="2022-04-06T00:00:00"/>
    <s v="Beauty"/>
    <s v="Hair Mask"/>
    <n v="24.99"/>
    <n v="2"/>
    <n v="5"/>
    <n v="23.74"/>
    <n v="47.48"/>
    <s v="Credit Card"/>
    <s v="Delivered"/>
    <n v="4"/>
    <n v="36"/>
    <s v="Chicago"/>
    <s v="Free"/>
    <s v="Male"/>
    <b v="1"/>
    <x v="12"/>
  </r>
  <r>
    <s v="ORD-20442"/>
    <s v="CUST-5055"/>
    <d v="2023-01-25T00:00:00"/>
    <s v="Toys"/>
    <s v="Remote Control Car"/>
    <n v="39.99"/>
    <n v="4"/>
    <n v="0"/>
    <n v="39.99"/>
    <n v="159.96"/>
    <s v="Credit Card"/>
    <s v="Delivered"/>
    <m/>
    <n v="36"/>
    <s v="Chicago"/>
    <s v="Free"/>
    <s v="Male"/>
    <b v="1"/>
    <x v="10"/>
  </r>
  <r>
    <s v="ORD-20443"/>
    <s v="CUST-5055"/>
    <d v="2024-08-13T00:00:00"/>
    <s v="Beauty"/>
    <s v="Lip Balm Set"/>
    <n v="14.99"/>
    <n v="4"/>
    <n v="15"/>
    <n v="12.74"/>
    <n v="50.96"/>
    <s v="Debit Card"/>
    <s v="Delivered"/>
    <n v="3"/>
    <n v="36"/>
    <s v="Chicago"/>
    <s v="Free"/>
    <s v="Male"/>
    <b v="1"/>
    <x v="26"/>
  </r>
  <r>
    <s v="ORD-20444"/>
    <s v="CUST-5055"/>
    <d v="2022-10-24T00:00:00"/>
    <s v="Electronics"/>
    <s v="Wireless Earbuds"/>
    <n v="79.989999999999995"/>
    <n v="2"/>
    <n v="0"/>
    <n v="79.989999999999995"/>
    <n v="159.97999999999999"/>
    <s v="UPI"/>
    <s v="Delivered"/>
    <n v="3"/>
    <n v="36"/>
    <s v="Chicago"/>
    <s v="Free"/>
    <s v="Male"/>
    <b v="1"/>
    <x v="20"/>
  </r>
  <r>
    <s v="ORD-20445"/>
    <s v="CUST-5055"/>
    <d v="2022-05-11T00:00:00"/>
    <s v="Home &amp; Kitchen"/>
    <s v="Non-stick Pan Set"/>
    <n v="44.99"/>
    <n v="4"/>
    <n v="20"/>
    <n v="35.99"/>
    <n v="143.96"/>
    <s v="Debit Card"/>
    <s v="Delivered"/>
    <n v="4"/>
    <n v="36"/>
    <s v="Chicago"/>
    <s v="Free"/>
    <s v="Male"/>
    <b v="1"/>
    <x v="31"/>
  </r>
  <r>
    <s v="ORD-20446"/>
    <s v="CUST-5055"/>
    <d v="2022-04-02T00:00:00"/>
    <s v="Clothing"/>
    <s v="Yoga Pants"/>
    <n v="44.99"/>
    <n v="1"/>
    <n v="15"/>
    <n v="38.24"/>
    <n v="38.24"/>
    <s v="Debit Card"/>
    <s v="Delivered"/>
    <n v="4"/>
    <n v="36"/>
    <s v="Chicago"/>
    <s v="Free"/>
    <s v="Male"/>
    <b v="1"/>
    <x v="12"/>
  </r>
  <r>
    <s v="ORD-20447"/>
    <s v="CUST-5055"/>
    <d v="2023-11-17T00:00:00"/>
    <s v="Electronics"/>
    <s v="USB-C Hub"/>
    <n v="34.99"/>
    <n v="2"/>
    <n v="5"/>
    <n v="33.24"/>
    <n v="66.48"/>
    <s v="Credit Card"/>
    <s v="Delivered"/>
    <n v="4"/>
    <n v="36"/>
    <s v="Chicago"/>
    <s v="Free"/>
    <s v="Male"/>
    <b v="1"/>
    <x v="29"/>
  </r>
  <r>
    <s v="ORD-20448"/>
    <s v="CUST-5055"/>
    <d v="2024-01-12T00:00:00"/>
    <s v="Clothing"/>
    <s v="Yoga Pants"/>
    <n v="44.99"/>
    <n v="1"/>
    <n v="5"/>
    <n v="42.74"/>
    <n v="42.74"/>
    <s v="Wallet"/>
    <s v="Delivered"/>
    <n v="5"/>
    <n v="36"/>
    <s v="Chicago"/>
    <s v="Free"/>
    <s v="Male"/>
    <b v="1"/>
    <x v="25"/>
  </r>
  <r>
    <s v="ORD-20449"/>
    <s v="CUST-5055"/>
    <d v="2023-09-02T00:00:00"/>
    <s v="Toys"/>
    <s v="LEGO Classic Set"/>
    <n v="49.99"/>
    <n v="2"/>
    <n v="5"/>
    <n v="47.49"/>
    <n v="94.98"/>
    <s v="UPI"/>
    <s v="Shipped"/>
    <n v="3"/>
    <n v="36"/>
    <s v="Chicago"/>
    <s v="Free"/>
    <s v="Male"/>
    <b v="1"/>
    <x v="6"/>
  </r>
  <r>
    <s v="ORD-20450"/>
    <s v="CUST-5055"/>
    <d v="2023-03-21T00:00:00"/>
    <s v="Books"/>
    <s v="Fiction Novel"/>
    <n v="14.99"/>
    <n v="4"/>
    <n v="10"/>
    <n v="13.49"/>
    <n v="53.96"/>
    <s v="UPI"/>
    <s v="Delivered"/>
    <n v="4"/>
    <n v="36"/>
    <s v="Chicago"/>
    <s v="Free"/>
    <s v="Male"/>
    <b v="1"/>
    <x v="23"/>
  </r>
  <r>
    <s v="ORD-20451"/>
    <s v="CUST-5055"/>
    <d v="2023-02-12T00:00:00"/>
    <s v="Toys"/>
    <s v="Remote Control Car"/>
    <n v="39.99"/>
    <n v="4"/>
    <n v="0"/>
    <n v="39.99"/>
    <n v="159.96"/>
    <s v="Wallet"/>
    <s v="Delivered"/>
    <m/>
    <n v="36"/>
    <s v="Chicago"/>
    <s v="Free"/>
    <s v="Male"/>
    <b v="1"/>
    <x v="34"/>
  </r>
  <r>
    <s v="ORD-20452"/>
    <s v="CUST-5055"/>
    <d v="2022-06-25T00:00:00"/>
    <s v="Home &amp; Kitchen"/>
    <s v="Blender"/>
    <n v="64.989999999999995"/>
    <n v="2"/>
    <n v="0"/>
    <n v="64.989999999999995"/>
    <n v="129.97999999999999"/>
    <s v="Credit Card"/>
    <s v="Cancelled"/>
    <m/>
    <n v="36"/>
    <s v="Chicago"/>
    <s v="Free"/>
    <s v="Male"/>
    <b v="1"/>
    <x v="8"/>
  </r>
  <r>
    <s v="ORD-20453"/>
    <s v="CUST-5056"/>
    <d v="2024-11-13T00:00:00"/>
    <s v="Electronics"/>
    <s v="Bluetooth Speaker"/>
    <n v="49.99"/>
    <n v="4"/>
    <n v="0"/>
    <n v="49.99"/>
    <n v="199.96"/>
    <s v="PayPal"/>
    <s v="Delivered"/>
    <n v="4"/>
    <n v="35"/>
    <s v="Dallas"/>
    <s v="Free"/>
    <s v="Female"/>
    <b v="1"/>
    <x v="16"/>
  </r>
  <r>
    <s v="ORD-20454"/>
    <s v="CUST-5056"/>
    <d v="2022-06-27T00:00:00"/>
    <s v="Electronics"/>
    <s v="Wireless Earbuds"/>
    <n v="79.989999999999995"/>
    <n v="3"/>
    <n v="0"/>
    <n v="79.989999999999995"/>
    <n v="239.97"/>
    <s v="PayPal"/>
    <s v="Delivered"/>
    <n v="5"/>
    <n v="35"/>
    <s v="Dallas"/>
    <s v="Free"/>
    <s v="Female"/>
    <b v="1"/>
    <x v="8"/>
  </r>
  <r>
    <s v="ORD-20455"/>
    <s v="CUST-5056"/>
    <d v="2022-10-08T00:00:00"/>
    <s v="Clothing"/>
    <s v="Yoga Pants"/>
    <n v="44.99"/>
    <n v="2"/>
    <n v="15"/>
    <n v="38.24"/>
    <n v="76.48"/>
    <s v="PayPal"/>
    <s v="Delivered"/>
    <n v="5"/>
    <n v="35"/>
    <s v="Dallas"/>
    <s v="Free"/>
    <s v="Female"/>
    <b v="1"/>
    <x v="20"/>
  </r>
  <r>
    <s v="ORD-20456"/>
    <s v="CUST-5056"/>
    <d v="2022-10-25T00:00:00"/>
    <s v="Clothing"/>
    <s v="Running Shoes"/>
    <n v="89.99"/>
    <n v="3"/>
    <n v="5"/>
    <n v="85.49"/>
    <n v="256.47000000000003"/>
    <s v="Wallet"/>
    <s v="Shipped"/>
    <n v="3"/>
    <n v="35"/>
    <s v="Dallas"/>
    <s v="Free"/>
    <s v="Female"/>
    <b v="1"/>
    <x v="20"/>
  </r>
  <r>
    <s v="ORD-20457"/>
    <s v="CUST-5056"/>
    <d v="2023-05-12T00:00:00"/>
    <s v="Beauty"/>
    <s v="Face Serum"/>
    <n v="39.99"/>
    <n v="4"/>
    <n v="0"/>
    <n v="39.99"/>
    <n v="159.96"/>
    <s v="Wallet"/>
    <s v="Delivered"/>
    <n v="4"/>
    <n v="35"/>
    <s v="Dallas"/>
    <s v="Free"/>
    <s v="Female"/>
    <b v="1"/>
    <x v="5"/>
  </r>
  <r>
    <s v="ORD-20458"/>
    <s v="CUST-5056"/>
    <d v="2022-02-01T00:00:00"/>
    <s v="Electronics"/>
    <s v="Bluetooth Speaker"/>
    <n v="49.99"/>
    <n v="3"/>
    <n v="0"/>
    <n v="49.99"/>
    <n v="149.97"/>
    <s v="Wallet"/>
    <s v="Delivered"/>
    <n v="5"/>
    <n v="35"/>
    <s v="Dallas"/>
    <s v="Free"/>
    <s v="Female"/>
    <b v="1"/>
    <x v="17"/>
  </r>
  <r>
    <s v="ORD-20459"/>
    <s v="CUST-5056"/>
    <d v="2022-05-04T00:00:00"/>
    <s v="Sports"/>
    <s v="Jump Rope"/>
    <n v="14.99"/>
    <n v="4"/>
    <n v="10"/>
    <n v="13.49"/>
    <n v="53.96"/>
    <s v="Credit Card"/>
    <s v="Delivered"/>
    <n v="5"/>
    <n v="35"/>
    <s v="Dallas"/>
    <s v="Free"/>
    <s v="Female"/>
    <b v="1"/>
    <x v="31"/>
  </r>
  <r>
    <s v="ORD-20460"/>
    <s v="CUST-5056"/>
    <d v="2024-09-21T00:00:00"/>
    <s v="Books"/>
    <s v="Data Science Handbook"/>
    <n v="49.99"/>
    <n v="2"/>
    <n v="20"/>
    <n v="39.99"/>
    <n v="79.98"/>
    <s v="UPI"/>
    <s v="Delivered"/>
    <n v="5"/>
    <n v="35"/>
    <s v="Dallas"/>
    <s v="Free"/>
    <s v="Female"/>
    <b v="1"/>
    <x v="15"/>
  </r>
  <r>
    <s v="ORD-20461"/>
    <s v="CUST-5056"/>
    <d v="2022-04-15T00:00:00"/>
    <s v="Beauty"/>
    <s v="Moisturizer SPF 50"/>
    <n v="29.99"/>
    <n v="2"/>
    <n v="20"/>
    <n v="23.99"/>
    <n v="47.98"/>
    <s v="UPI"/>
    <s v="Delivered"/>
    <m/>
    <n v="35"/>
    <s v="Dallas"/>
    <s v="Free"/>
    <s v="Female"/>
    <b v="1"/>
    <x v="12"/>
  </r>
  <r>
    <s v="ORD-20462"/>
    <s v="CUST-5056"/>
    <d v="2023-04-11T00:00:00"/>
    <s v="Clothing"/>
    <s v="Running Shoes"/>
    <n v="89.99"/>
    <n v="1"/>
    <n v="0"/>
    <n v="89.99"/>
    <n v="89.99"/>
    <s v="Debit Card"/>
    <s v="Returned"/>
    <n v="4"/>
    <n v="35"/>
    <s v="Dallas"/>
    <s v="Free"/>
    <s v="Female"/>
    <b v="1"/>
    <x v="18"/>
  </r>
  <r>
    <s v="ORD-20463"/>
    <s v="CUST-5056"/>
    <d v="2023-08-16T00:00:00"/>
    <s v="Toys"/>
    <s v="Action Figure"/>
    <n v="19.989999999999998"/>
    <n v="3"/>
    <n v="0"/>
    <n v="19.989999999999998"/>
    <n v="59.97"/>
    <s v="Wallet"/>
    <s v="Delivered"/>
    <m/>
    <n v="35"/>
    <s v="Dallas"/>
    <s v="Free"/>
    <s v="Female"/>
    <b v="1"/>
    <x v="24"/>
  </r>
  <r>
    <s v="ORD-20464"/>
    <s v="CUST-5057"/>
    <d v="2023-01-06T00:00:00"/>
    <s v="Home &amp; Kitchen"/>
    <s v="Coffee Maker"/>
    <n v="59.99"/>
    <n v="4"/>
    <n v="5"/>
    <n v="56.99"/>
    <n v="227.96"/>
    <s v="PayPal"/>
    <s v="Delivered"/>
    <n v="5"/>
    <n v="60"/>
    <s v="Jacksonville"/>
    <s v="Silver"/>
    <s v="Female"/>
    <b v="1"/>
    <x v="10"/>
  </r>
  <r>
    <s v="ORD-20465"/>
    <s v="CUST-5057"/>
    <d v="2022-02-28T00:00:00"/>
    <s v="Books"/>
    <s v="Fiction Novel"/>
    <n v="14.99"/>
    <n v="2"/>
    <n v="5"/>
    <n v="14.24"/>
    <n v="28.48"/>
    <s v="PayPal"/>
    <s v="Delivered"/>
    <n v="5"/>
    <n v="60"/>
    <s v="Jacksonville"/>
    <s v="Silver"/>
    <s v="Female"/>
    <b v="1"/>
    <x v="17"/>
  </r>
  <r>
    <s v="ORD-20466"/>
    <s v="CUST-5057"/>
    <d v="2023-11-07T00:00:00"/>
    <s v="Toys"/>
    <s v="LEGO Classic Set"/>
    <n v="49.99"/>
    <n v="1"/>
    <n v="20"/>
    <n v="39.99"/>
    <n v="39.99"/>
    <s v="Wallet"/>
    <s v="Delivered"/>
    <n v="5"/>
    <n v="60"/>
    <s v="Jacksonville"/>
    <s v="Silver"/>
    <s v="Female"/>
    <b v="1"/>
    <x v="29"/>
  </r>
  <r>
    <s v="ORD-20467"/>
    <s v="CUST-5057"/>
    <d v="2023-07-07T00:00:00"/>
    <s v="Toys"/>
    <s v="Remote Control Car"/>
    <n v="39.99"/>
    <n v="2"/>
    <n v="0"/>
    <n v="39.99"/>
    <n v="79.98"/>
    <s v="Debit Card"/>
    <s v="Delivered"/>
    <n v="4"/>
    <n v="60"/>
    <s v="Jacksonville"/>
    <s v="Silver"/>
    <s v="Female"/>
    <b v="1"/>
    <x v="9"/>
  </r>
  <r>
    <s v="ORD-20468"/>
    <s v="CUST-5057"/>
    <d v="2022-06-23T00:00:00"/>
    <s v="Beauty"/>
    <s v="Moisturizer SPF 50"/>
    <n v="29.99"/>
    <n v="4"/>
    <n v="0"/>
    <n v="29.99"/>
    <n v="119.96"/>
    <s v="Wallet"/>
    <s v="Delivered"/>
    <n v="4"/>
    <n v="60"/>
    <s v="Jacksonville"/>
    <s v="Silver"/>
    <s v="Female"/>
    <b v="1"/>
    <x v="8"/>
  </r>
  <r>
    <s v="ORD-20469"/>
    <s v="CUST-5057"/>
    <d v="2022-12-24T00:00:00"/>
    <s v="Electronics"/>
    <s v="Smart Watch"/>
    <n v="199.99"/>
    <n v="3"/>
    <n v="0"/>
    <n v="199.99"/>
    <n v="599.97"/>
    <s v="Wallet"/>
    <s v="Delivered"/>
    <m/>
    <n v="60"/>
    <s v="Jacksonville"/>
    <s v="Silver"/>
    <s v="Female"/>
    <b v="1"/>
    <x v="28"/>
  </r>
  <r>
    <s v="ORD-20470"/>
    <s v="CUST-5057"/>
    <d v="2023-08-17T00:00:00"/>
    <s v="Clothing"/>
    <s v="Running Shoes"/>
    <n v="89.99"/>
    <n v="4"/>
    <n v="10"/>
    <n v="80.989999999999995"/>
    <n v="323.95999999999998"/>
    <s v="Credit Card"/>
    <s v="Processing"/>
    <m/>
    <n v="60"/>
    <s v="Jacksonville"/>
    <s v="Silver"/>
    <s v="Female"/>
    <b v="1"/>
    <x v="24"/>
  </r>
  <r>
    <s v="ORD-20471"/>
    <s v="CUST-5057"/>
    <d v="2022-07-21T00:00:00"/>
    <s v="Home &amp; Kitchen"/>
    <s v="Coffee Maker"/>
    <n v="59.99"/>
    <n v="3"/>
    <n v="5"/>
    <n v="56.99"/>
    <n v="170.97"/>
    <s v="Debit Card"/>
    <s v="Delivered"/>
    <m/>
    <n v="60"/>
    <s v="Jacksonville"/>
    <s v="Silver"/>
    <s v="Female"/>
    <b v="1"/>
    <x v="33"/>
  </r>
  <r>
    <s v="ORD-20472"/>
    <s v="CUST-5057"/>
    <d v="2024-07-28T00:00:00"/>
    <s v="Sports"/>
    <s v="Water Bottle"/>
    <n v="24.99"/>
    <n v="4"/>
    <n v="15"/>
    <n v="21.24"/>
    <n v="84.96"/>
    <s v="UPI"/>
    <s v="Delivered"/>
    <n v="4"/>
    <n v="60"/>
    <s v="Jacksonville"/>
    <s v="Silver"/>
    <s v="Female"/>
    <b v="1"/>
    <x v="4"/>
  </r>
  <r>
    <s v="ORD-20473"/>
    <s v="CUST-5057"/>
    <d v="2023-11-09T00:00:00"/>
    <s v="Books"/>
    <s v="Fiction Novel"/>
    <n v="14.99"/>
    <n v="2"/>
    <n v="0"/>
    <n v="14.99"/>
    <n v="29.98"/>
    <s v="UPI"/>
    <s v="Delivered"/>
    <n v="3"/>
    <n v="60"/>
    <s v="Jacksonville"/>
    <s v="Silver"/>
    <s v="Female"/>
    <b v="1"/>
    <x v="29"/>
  </r>
  <r>
    <s v="ORD-20474"/>
    <s v="CUST-5057"/>
    <d v="2024-01-18T00:00:00"/>
    <s v="Beauty"/>
    <s v="Moisturizer SPF 50"/>
    <n v="29.99"/>
    <n v="3"/>
    <n v="5"/>
    <n v="28.49"/>
    <n v="85.47"/>
    <s v="UPI"/>
    <s v="Delivered"/>
    <m/>
    <n v="60"/>
    <s v="Jacksonville"/>
    <s v="Silver"/>
    <s v="Female"/>
    <b v="1"/>
    <x v="25"/>
  </r>
  <r>
    <s v="ORD-20475"/>
    <s v="CUST-5057"/>
    <d v="2024-05-02T00:00:00"/>
    <s v="Electronics"/>
    <s v="Bluetooth Speaker"/>
    <n v="49.99"/>
    <n v="4"/>
    <n v="10"/>
    <n v="44.99"/>
    <n v="179.96"/>
    <s v="Credit Card"/>
    <s v="Delivered"/>
    <m/>
    <n v="60"/>
    <s v="Jacksonville"/>
    <s v="Silver"/>
    <s v="Female"/>
    <b v="1"/>
    <x v="30"/>
  </r>
  <r>
    <s v="ORD-20476"/>
    <s v="CUST-5057"/>
    <d v="2024-02-05T00:00:00"/>
    <s v="Toys"/>
    <s v="Puzzle 1000pcs"/>
    <n v="24.99"/>
    <n v="2"/>
    <n v="5"/>
    <n v="23.74"/>
    <n v="47.48"/>
    <s v="Credit Card"/>
    <s v="Delivered"/>
    <n v="4"/>
    <n v="60"/>
    <s v="Jacksonville"/>
    <s v="Silver"/>
    <s v="Female"/>
    <b v="1"/>
    <x v="0"/>
  </r>
  <r>
    <s v="ORD-20477"/>
    <s v="CUST-5058"/>
    <d v="2022-04-12T00:00:00"/>
    <s v="Sports"/>
    <s v="Resistance Bands"/>
    <n v="19.989999999999998"/>
    <n v="4"/>
    <n v="5"/>
    <n v="18.989999999999998"/>
    <n v="75.959999999999994"/>
    <s v="PayPal"/>
    <s v="Delivered"/>
    <n v="4"/>
    <n v="59"/>
    <s v="Jacksonville"/>
    <s v="Gold"/>
    <s v="Female"/>
    <b v="1"/>
    <x v="12"/>
  </r>
  <r>
    <s v="ORD-20478"/>
    <s v="CUST-5058"/>
    <d v="2023-03-23T00:00:00"/>
    <s v="Books"/>
    <s v="Fiction Novel"/>
    <n v="14.99"/>
    <n v="4"/>
    <n v="15"/>
    <n v="12.74"/>
    <n v="50.96"/>
    <s v="Wallet"/>
    <s v="Delivered"/>
    <n v="4"/>
    <n v="59"/>
    <s v="Jacksonville"/>
    <s v="Gold"/>
    <s v="Female"/>
    <b v="1"/>
    <x v="23"/>
  </r>
  <r>
    <s v="ORD-20479"/>
    <s v="CUST-5058"/>
    <d v="2024-07-06T00:00:00"/>
    <s v="Toys"/>
    <s v="Action Figure"/>
    <n v="19.989999999999998"/>
    <n v="3"/>
    <n v="0"/>
    <n v="19.989999999999998"/>
    <n v="59.97"/>
    <s v="Credit Card"/>
    <s v="Delivered"/>
    <m/>
    <n v="59"/>
    <s v="Jacksonville"/>
    <s v="Gold"/>
    <s v="Female"/>
    <b v="1"/>
    <x v="4"/>
  </r>
  <r>
    <s v="ORD-20480"/>
    <s v="CUST-5058"/>
    <d v="2022-05-14T00:00:00"/>
    <s v="Home &amp; Kitchen"/>
    <s v="Blender"/>
    <n v="64.989999999999995"/>
    <n v="1"/>
    <n v="10"/>
    <n v="58.49"/>
    <n v="58.49"/>
    <s v="Wallet"/>
    <s v="Delivered"/>
    <m/>
    <n v="59"/>
    <s v="Jacksonville"/>
    <s v="Gold"/>
    <s v="Female"/>
    <b v="1"/>
    <x v="31"/>
  </r>
  <r>
    <s v="ORD-20481"/>
    <s v="CUST-5058"/>
    <d v="2023-11-21T00:00:00"/>
    <s v="Home &amp; Kitchen"/>
    <s v="Air Fryer"/>
    <n v="89.99"/>
    <n v="3"/>
    <n v="5"/>
    <n v="85.49"/>
    <n v="256.47000000000003"/>
    <s v="UPI"/>
    <s v="Delivered"/>
    <n v="5"/>
    <n v="59"/>
    <s v="Jacksonville"/>
    <s v="Gold"/>
    <s v="Female"/>
    <b v="1"/>
    <x v="29"/>
  </r>
  <r>
    <s v="ORD-20482"/>
    <s v="CUST-5058"/>
    <d v="2022-02-04T00:00:00"/>
    <s v="Electronics"/>
    <s v="USB-C Hub"/>
    <n v="34.99"/>
    <n v="1"/>
    <n v="0"/>
    <n v="34.99"/>
    <n v="34.99"/>
    <s v="Debit Card"/>
    <s v="Delivered"/>
    <n v="5"/>
    <n v="59"/>
    <s v="Jacksonville"/>
    <s v="Gold"/>
    <s v="Female"/>
    <b v="1"/>
    <x v="17"/>
  </r>
  <r>
    <s v="ORD-20483"/>
    <s v="CUST-5058"/>
    <d v="2022-12-27T00:00:00"/>
    <s v="Home &amp; Kitchen"/>
    <s v="Blender"/>
    <n v="64.989999999999995"/>
    <n v="4"/>
    <n v="0"/>
    <n v="64.989999999999995"/>
    <n v="259.95999999999998"/>
    <s v="Debit Card"/>
    <s v="Delivered"/>
    <m/>
    <n v="59"/>
    <s v="Jacksonville"/>
    <s v="Gold"/>
    <s v="Female"/>
    <b v="1"/>
    <x v="28"/>
  </r>
  <r>
    <s v="ORD-20484"/>
    <s v="CUST-5058"/>
    <d v="2023-10-12T00:00:00"/>
    <s v="Clothing"/>
    <s v="Denim Jacket"/>
    <n v="69.989999999999995"/>
    <n v="1"/>
    <n v="15"/>
    <n v="59.49"/>
    <n v="59.49"/>
    <s v="UPI"/>
    <s v="Delivered"/>
    <n v="4"/>
    <n v="59"/>
    <s v="Jacksonville"/>
    <s v="Gold"/>
    <s v="Female"/>
    <b v="1"/>
    <x v="13"/>
  </r>
  <r>
    <s v="ORD-20485"/>
    <s v="CUST-5058"/>
    <d v="2022-11-25T00:00:00"/>
    <s v="Toys"/>
    <s v="Action Figure"/>
    <n v="19.989999999999998"/>
    <n v="3"/>
    <n v="10"/>
    <n v="17.989999999999998"/>
    <n v="53.97"/>
    <s v="UPI"/>
    <s v="Delivered"/>
    <n v="4"/>
    <n v="59"/>
    <s v="Jacksonville"/>
    <s v="Gold"/>
    <s v="Female"/>
    <b v="1"/>
    <x v="3"/>
  </r>
  <r>
    <s v="ORD-20486"/>
    <s v="CUST-5058"/>
    <d v="2023-09-11T00:00:00"/>
    <s v="Sports"/>
    <s v="Water Bottle"/>
    <n v="24.99"/>
    <n v="3"/>
    <n v="15"/>
    <n v="21.24"/>
    <n v="63.72"/>
    <s v="Debit Card"/>
    <s v="Delivered"/>
    <n v="4"/>
    <n v="59"/>
    <s v="Jacksonville"/>
    <s v="Gold"/>
    <s v="Female"/>
    <b v="1"/>
    <x v="6"/>
  </r>
  <r>
    <s v="ORD-20487"/>
    <s v="CUST-5058"/>
    <d v="2023-03-17T00:00:00"/>
    <s v="Toys"/>
    <s v="Remote Control Car"/>
    <n v="39.99"/>
    <n v="3"/>
    <n v="0"/>
    <n v="39.99"/>
    <n v="119.97"/>
    <s v="Debit Card"/>
    <s v="Delivered"/>
    <m/>
    <n v="59"/>
    <s v="Jacksonville"/>
    <s v="Gold"/>
    <s v="Female"/>
    <b v="1"/>
    <x v="23"/>
  </r>
  <r>
    <s v="ORD-20488"/>
    <s v="CUST-5058"/>
    <d v="2023-09-04T00:00:00"/>
    <s v="Home &amp; Kitchen"/>
    <s v="Coffee Maker"/>
    <n v="59.99"/>
    <n v="2"/>
    <n v="15"/>
    <n v="50.99"/>
    <n v="101.98"/>
    <s v="PayPal"/>
    <s v="Delivered"/>
    <n v="5"/>
    <n v="59"/>
    <s v="Jacksonville"/>
    <s v="Gold"/>
    <s v="Female"/>
    <b v="1"/>
    <x v="6"/>
  </r>
  <r>
    <s v="ORD-20489"/>
    <s v="CUST-5058"/>
    <d v="2024-02-24T00:00:00"/>
    <s v="Books"/>
    <s v="Data Science Handbook"/>
    <n v="49.99"/>
    <n v="1"/>
    <n v="0"/>
    <n v="49.99"/>
    <n v="49.99"/>
    <s v="Credit Card"/>
    <s v="Delivered"/>
    <n v="2"/>
    <n v="59"/>
    <s v="Jacksonville"/>
    <s v="Gold"/>
    <s v="Female"/>
    <b v="1"/>
    <x v="0"/>
  </r>
  <r>
    <s v="ORD-20490"/>
    <s v="CUST-5059"/>
    <d v="2022-06-07T00:00:00"/>
    <s v="Sports"/>
    <s v="Jump Rope"/>
    <n v="14.99"/>
    <n v="2"/>
    <n v="0"/>
    <n v="14.99"/>
    <n v="29.98"/>
    <s v="Wallet"/>
    <s v="Delivered"/>
    <n v="5"/>
    <n v="37"/>
    <s v="Chicago"/>
    <s v="Silver"/>
    <s v="Male"/>
    <b v="1"/>
    <x v="8"/>
  </r>
  <r>
    <s v="ORD-20491"/>
    <s v="CUST-5059"/>
    <d v="2023-08-01T00:00:00"/>
    <s v="Beauty"/>
    <s v="Hair Mask"/>
    <n v="24.99"/>
    <n v="3"/>
    <n v="15"/>
    <n v="21.24"/>
    <n v="63.72"/>
    <s v="Credit Card"/>
    <s v="Delivered"/>
    <m/>
    <n v="37"/>
    <s v="Chicago"/>
    <s v="Silver"/>
    <s v="Male"/>
    <b v="1"/>
    <x v="24"/>
  </r>
  <r>
    <s v="ORD-20492"/>
    <s v="CUST-5059"/>
    <d v="2022-09-07T00:00:00"/>
    <s v="Books"/>
    <s v="Python for Beginners"/>
    <n v="29.99"/>
    <n v="1"/>
    <n v="0"/>
    <n v="29.99"/>
    <n v="29.99"/>
    <s v="Wallet"/>
    <s v="Delivered"/>
    <m/>
    <n v="37"/>
    <s v="Chicago"/>
    <s v="Silver"/>
    <s v="Male"/>
    <b v="1"/>
    <x v="22"/>
  </r>
  <r>
    <s v="ORD-20493"/>
    <s v="CUST-5059"/>
    <d v="2023-10-09T00:00:00"/>
    <s v="Toys"/>
    <s v="Remote Control Car"/>
    <n v="39.99"/>
    <n v="2"/>
    <n v="15"/>
    <n v="33.99"/>
    <n v="67.98"/>
    <s v="Debit Card"/>
    <s v="Delivered"/>
    <n v="5"/>
    <n v="37"/>
    <s v="Chicago"/>
    <s v="Silver"/>
    <s v="Male"/>
    <b v="1"/>
    <x v="13"/>
  </r>
  <r>
    <s v="ORD-20494"/>
    <s v="CUST-5059"/>
    <d v="2022-06-01T00:00:00"/>
    <s v="Clothing"/>
    <s v="Denim Jacket"/>
    <n v="69.989999999999995"/>
    <n v="1"/>
    <n v="15"/>
    <n v="59.49"/>
    <n v="59.49"/>
    <s v="Debit Card"/>
    <s v="Delivered"/>
    <n v="4"/>
    <n v="37"/>
    <s v="Chicago"/>
    <s v="Silver"/>
    <s v="Male"/>
    <b v="1"/>
    <x v="8"/>
  </r>
  <r>
    <s v="ORD-20495"/>
    <s v="CUST-5059"/>
    <d v="2023-03-02T00:00:00"/>
    <s v="Beauty"/>
    <s v="Moisturizer SPF 50"/>
    <n v="29.99"/>
    <n v="1"/>
    <n v="15"/>
    <n v="25.49"/>
    <n v="25.49"/>
    <s v="Debit Card"/>
    <s v="Delivered"/>
    <n v="5"/>
    <n v="37"/>
    <s v="Chicago"/>
    <s v="Silver"/>
    <s v="Male"/>
    <b v="1"/>
    <x v="23"/>
  </r>
  <r>
    <s v="ORD-20496"/>
    <s v="CUST-5059"/>
    <d v="2023-04-07T00:00:00"/>
    <s v="Clothing"/>
    <s v="Running Shoes"/>
    <n v="89.99"/>
    <n v="3"/>
    <n v="20"/>
    <n v="71.989999999999995"/>
    <n v="215.97"/>
    <s v="PayPal"/>
    <s v="Delivered"/>
    <n v="5"/>
    <n v="37"/>
    <s v="Chicago"/>
    <s v="Silver"/>
    <s v="Male"/>
    <b v="1"/>
    <x v="18"/>
  </r>
  <r>
    <s v="ORD-20497"/>
    <s v="CUST-5059"/>
    <d v="2024-10-07T00:00:00"/>
    <s v="Toys"/>
    <s v="Remote Control Car"/>
    <n v="39.99"/>
    <n v="1"/>
    <n v="15"/>
    <n v="33.99"/>
    <n v="33.99"/>
    <s v="PayPal"/>
    <s v="Delivered"/>
    <n v="3"/>
    <n v="37"/>
    <s v="Chicago"/>
    <s v="Silver"/>
    <s v="Male"/>
    <b v="1"/>
    <x v="21"/>
  </r>
  <r>
    <s v="ORD-20498"/>
    <s v="CUST-5060"/>
    <d v="2022-11-16T00:00:00"/>
    <s v="Electronics"/>
    <s v="Bluetooth Speaker"/>
    <n v="49.99"/>
    <n v="3"/>
    <n v="15"/>
    <n v="42.49"/>
    <n v="127.47"/>
    <s v="PayPal"/>
    <s v="Delivered"/>
    <n v="5"/>
    <n v="26"/>
    <s v="Houston"/>
    <s v="Silver"/>
    <s v="Male"/>
    <b v="1"/>
    <x v="3"/>
  </r>
  <r>
    <s v="ORD-20499"/>
    <s v="CUST-5060"/>
    <d v="2024-07-24T00:00:00"/>
    <s v="Beauty"/>
    <s v="Face Serum"/>
    <n v="39.99"/>
    <n v="4"/>
    <n v="0"/>
    <n v="39.99"/>
    <n v="159.96"/>
    <s v="Debit Card"/>
    <s v="Delivered"/>
    <n v="1"/>
    <n v="26"/>
    <s v="Houston"/>
    <s v="Silver"/>
    <s v="Male"/>
    <b v="1"/>
    <x v="4"/>
  </r>
  <r>
    <s v="ORD-20500"/>
    <s v="CUST-5060"/>
    <d v="2023-02-18T00:00:00"/>
    <s v="Beauty"/>
    <s v="Moisturizer SPF 50"/>
    <n v="29.99"/>
    <n v="2"/>
    <n v="0"/>
    <n v="29.99"/>
    <n v="59.98"/>
    <s v="Credit Card"/>
    <s v="Delivered"/>
    <n v="5"/>
    <n v="26"/>
    <s v="Houston"/>
    <s v="Silver"/>
    <s v="Male"/>
    <b v="1"/>
    <x v="34"/>
  </r>
  <r>
    <s v="ORD-20501"/>
    <s v="CUST-5060"/>
    <d v="2024-10-01T00:00:00"/>
    <s v="Books"/>
    <s v="Data Science Handbook"/>
    <n v="49.99"/>
    <n v="2"/>
    <n v="0"/>
    <n v="49.99"/>
    <n v="99.98"/>
    <s v="UPI"/>
    <s v="Delivered"/>
    <n v="4"/>
    <n v="26"/>
    <s v="Houston"/>
    <s v="Silver"/>
    <s v="Male"/>
    <b v="1"/>
    <x v="21"/>
  </r>
  <r>
    <s v="ORD-20502"/>
    <s v="CUST-5060"/>
    <d v="2023-04-11T00:00:00"/>
    <s v="Home &amp; Kitchen"/>
    <s v="Air Fryer"/>
    <n v="89.99"/>
    <n v="2"/>
    <n v="0"/>
    <n v="89.99"/>
    <n v="179.98"/>
    <s v="Credit Card"/>
    <s v="Delivered"/>
    <n v="2"/>
    <n v="26"/>
    <s v="Houston"/>
    <s v="Silver"/>
    <s v="Male"/>
    <b v="1"/>
    <x v="18"/>
  </r>
  <r>
    <s v="ORD-20503"/>
    <s v="CUST-5060"/>
    <d v="2024-08-13T00:00:00"/>
    <s v="Sports"/>
    <s v="Yoga Mat"/>
    <n v="29.99"/>
    <n v="3"/>
    <n v="5"/>
    <n v="28.49"/>
    <n v="85.47"/>
    <s v="Wallet"/>
    <s v="Delivered"/>
    <m/>
    <n v="26"/>
    <s v="Houston"/>
    <s v="Silver"/>
    <s v="Male"/>
    <b v="1"/>
    <x v="26"/>
  </r>
  <r>
    <s v="ORD-20504"/>
    <s v="CUST-5060"/>
    <d v="2022-03-10T00:00:00"/>
    <s v="Toys"/>
    <s v="Remote Control Car"/>
    <n v="39.99"/>
    <n v="2"/>
    <n v="0"/>
    <n v="39.99"/>
    <n v="79.98"/>
    <s v="Wallet"/>
    <s v="Delivered"/>
    <n v="2"/>
    <n v="26"/>
    <s v="Houston"/>
    <s v="Silver"/>
    <s v="Male"/>
    <b v="1"/>
    <x v="11"/>
  </r>
  <r>
    <s v="ORD-20505"/>
    <s v="CUST-5060"/>
    <d v="2022-11-01T00:00:00"/>
    <s v="Home &amp; Kitchen"/>
    <s v="Blender"/>
    <n v="64.989999999999995"/>
    <n v="4"/>
    <n v="0"/>
    <n v="64.989999999999995"/>
    <n v="259.95999999999998"/>
    <s v="Wallet"/>
    <s v="Delivered"/>
    <n v="5"/>
    <n v="26"/>
    <s v="Houston"/>
    <s v="Silver"/>
    <s v="Male"/>
    <b v="1"/>
    <x v="3"/>
  </r>
  <r>
    <s v="ORD-20506"/>
    <s v="CUST-5060"/>
    <d v="2023-03-04T00:00:00"/>
    <s v="Home &amp; Kitchen"/>
    <s v="Coffee Maker"/>
    <n v="59.99"/>
    <n v="2"/>
    <n v="10"/>
    <n v="53.99"/>
    <n v="107.98"/>
    <s v="PayPal"/>
    <s v="Shipped"/>
    <n v="4"/>
    <n v="26"/>
    <s v="Houston"/>
    <s v="Silver"/>
    <s v="Male"/>
    <b v="1"/>
    <x v="23"/>
  </r>
  <r>
    <s v="ORD-20507"/>
    <s v="CUST-5060"/>
    <d v="2023-10-19T00:00:00"/>
    <s v="Books"/>
    <s v="Python for Beginners"/>
    <n v="29.99"/>
    <n v="4"/>
    <n v="0"/>
    <n v="29.99"/>
    <n v="119.96"/>
    <s v="Wallet"/>
    <s v="Delivered"/>
    <n v="4"/>
    <n v="26"/>
    <s v="Houston"/>
    <s v="Silver"/>
    <s v="Male"/>
    <b v="1"/>
    <x v="13"/>
  </r>
  <r>
    <s v="ORD-20508"/>
    <s v="CUST-5060"/>
    <d v="2022-02-19T00:00:00"/>
    <s v="Home &amp; Kitchen"/>
    <s v="Blender"/>
    <n v="64.989999999999995"/>
    <n v="2"/>
    <n v="20"/>
    <n v="51.99"/>
    <n v="103.98"/>
    <s v="Wallet"/>
    <s v="Delivered"/>
    <m/>
    <n v="26"/>
    <s v="Houston"/>
    <s v="Silver"/>
    <s v="Male"/>
    <b v="1"/>
    <x v="17"/>
  </r>
  <r>
    <s v="ORD-20509"/>
    <s v="CUST-5060"/>
    <d v="2024-04-27T00:00:00"/>
    <s v="Home &amp; Kitchen"/>
    <s v="Blender"/>
    <n v="64.989999999999995"/>
    <n v="1"/>
    <n v="0"/>
    <n v="64.989999999999995"/>
    <n v="64.989999999999995"/>
    <s v="Credit Card"/>
    <s v="Delivered"/>
    <n v="5"/>
    <n v="26"/>
    <s v="Houston"/>
    <s v="Silver"/>
    <s v="Male"/>
    <b v="1"/>
    <x v="27"/>
  </r>
  <r>
    <s v="ORD-20510"/>
    <s v="CUST-5061"/>
    <d v="2022-11-25T00:00:00"/>
    <s v="Books"/>
    <s v="Data Science Handbook"/>
    <n v="49.99"/>
    <n v="3"/>
    <n v="0"/>
    <n v="49.99"/>
    <n v="149.97"/>
    <s v="PayPal"/>
    <s v="Delivered"/>
    <n v="5"/>
    <n v="46"/>
    <s v="New York"/>
    <s v="Free"/>
    <s v="Female"/>
    <b v="1"/>
    <x v="3"/>
  </r>
  <r>
    <s v="ORD-20511"/>
    <s v="CUST-5061"/>
    <d v="2022-12-08T00:00:00"/>
    <s v="Home &amp; Kitchen"/>
    <s v="Air Fryer"/>
    <n v="89.99"/>
    <n v="1"/>
    <n v="0"/>
    <n v="89.99"/>
    <n v="89.99"/>
    <s v="PayPal"/>
    <s v="Delivered"/>
    <n v="4"/>
    <n v="46"/>
    <s v="New York"/>
    <s v="Free"/>
    <s v="Female"/>
    <b v="1"/>
    <x v="28"/>
  </r>
  <r>
    <s v="ORD-20512"/>
    <s v="CUST-5061"/>
    <d v="2024-05-19T00:00:00"/>
    <s v="Sports"/>
    <s v="Jump Rope"/>
    <n v="14.99"/>
    <n v="3"/>
    <n v="20"/>
    <n v="11.99"/>
    <n v="35.97"/>
    <s v="Wallet"/>
    <s v="Delivered"/>
    <n v="5"/>
    <n v="46"/>
    <s v="New York"/>
    <s v="Free"/>
    <s v="Female"/>
    <b v="1"/>
    <x v="30"/>
  </r>
  <r>
    <s v="ORD-20513"/>
    <s v="CUST-5061"/>
    <d v="2022-06-15T00:00:00"/>
    <s v="Sports"/>
    <s v="Yoga Mat"/>
    <n v="29.99"/>
    <n v="4"/>
    <n v="0"/>
    <n v="29.99"/>
    <n v="119.96"/>
    <s v="PayPal"/>
    <s v="Shipped"/>
    <n v="4"/>
    <n v="46"/>
    <s v="New York"/>
    <s v="Free"/>
    <s v="Female"/>
    <b v="1"/>
    <x v="8"/>
  </r>
  <r>
    <s v="ORD-20514"/>
    <s v="CUST-5061"/>
    <d v="2023-02-06T00:00:00"/>
    <s v="Electronics"/>
    <s v="Wireless Earbuds"/>
    <n v="79.989999999999995"/>
    <n v="2"/>
    <n v="20"/>
    <n v="63.99"/>
    <n v="127.98"/>
    <s v="Credit Card"/>
    <s v="Delivered"/>
    <n v="5"/>
    <n v="46"/>
    <s v="New York"/>
    <s v="Free"/>
    <s v="Female"/>
    <b v="1"/>
    <x v="34"/>
  </r>
  <r>
    <s v="ORD-20515"/>
    <s v="CUST-5062"/>
    <d v="2023-04-18T00:00:00"/>
    <s v="Toys"/>
    <s v="Puzzle 1000pcs"/>
    <n v="24.99"/>
    <n v="2"/>
    <n v="15"/>
    <n v="21.24"/>
    <n v="42.48"/>
    <s v="UPI"/>
    <s v="Delivered"/>
    <m/>
    <n v="56"/>
    <s v="Austin"/>
    <s v="Silver"/>
    <s v="Male"/>
    <b v="1"/>
    <x v="18"/>
  </r>
  <r>
    <s v="ORD-20516"/>
    <s v="CUST-5062"/>
    <d v="2022-02-19T00:00:00"/>
    <s v="Beauty"/>
    <s v="Face Serum"/>
    <n v="39.99"/>
    <n v="1"/>
    <n v="10"/>
    <n v="35.99"/>
    <n v="35.99"/>
    <s v="Credit Card"/>
    <s v="Delivered"/>
    <n v="4"/>
    <n v="56"/>
    <s v="Austin"/>
    <s v="Silver"/>
    <s v="Male"/>
    <b v="1"/>
    <x v="17"/>
  </r>
  <r>
    <s v="ORD-20517"/>
    <s v="CUST-5062"/>
    <d v="2022-12-27T00:00:00"/>
    <s v="Sports"/>
    <s v="Resistance Bands"/>
    <n v="19.989999999999998"/>
    <n v="1"/>
    <n v="0"/>
    <n v="19.989999999999998"/>
    <n v="19.989999999999998"/>
    <s v="Credit Card"/>
    <s v="Delivered"/>
    <m/>
    <n v="56"/>
    <s v="Austin"/>
    <s v="Silver"/>
    <s v="Male"/>
    <b v="1"/>
    <x v="28"/>
  </r>
  <r>
    <s v="ORD-20518"/>
    <s v="CUST-5062"/>
    <d v="2024-09-06T00:00:00"/>
    <s v="Electronics"/>
    <s v="Wireless Earbuds"/>
    <n v="79.989999999999995"/>
    <n v="1"/>
    <n v="20"/>
    <n v="63.99"/>
    <n v="63.99"/>
    <s v="UPI"/>
    <s v="Delivered"/>
    <n v="4"/>
    <n v="56"/>
    <s v="Austin"/>
    <s v="Silver"/>
    <s v="Male"/>
    <b v="1"/>
    <x v="15"/>
  </r>
  <r>
    <s v="ORD-20519"/>
    <s v="CUST-5062"/>
    <d v="2024-02-04T00:00:00"/>
    <s v="Books"/>
    <s v="Business Analytics"/>
    <n v="39.99"/>
    <n v="1"/>
    <n v="0"/>
    <n v="39.99"/>
    <n v="39.99"/>
    <s v="PayPal"/>
    <s v="Delivered"/>
    <m/>
    <n v="56"/>
    <s v="Austin"/>
    <s v="Silver"/>
    <s v="Male"/>
    <b v="1"/>
    <x v="0"/>
  </r>
  <r>
    <s v="ORD-20520"/>
    <s v="CUST-5062"/>
    <d v="2024-01-07T00:00:00"/>
    <s v="Electronics"/>
    <s v="USB-C Hub"/>
    <n v="34.99"/>
    <n v="3"/>
    <n v="0"/>
    <n v="34.99"/>
    <n v="104.97"/>
    <s v="UPI"/>
    <s v="Delivered"/>
    <m/>
    <n v="56"/>
    <s v="Austin"/>
    <s v="Silver"/>
    <s v="Male"/>
    <b v="1"/>
    <x v="25"/>
  </r>
  <r>
    <s v="ORD-20521"/>
    <s v="CUST-5062"/>
    <d v="2022-03-21T00:00:00"/>
    <s v="Beauty"/>
    <s v="Face Serum"/>
    <n v="39.99"/>
    <n v="1"/>
    <n v="10"/>
    <n v="35.99"/>
    <n v="35.99"/>
    <s v="Wallet"/>
    <s v="Delivered"/>
    <n v="2"/>
    <n v="56"/>
    <s v="Austin"/>
    <s v="Silver"/>
    <s v="Male"/>
    <b v="1"/>
    <x v="11"/>
  </r>
  <r>
    <s v="ORD-20522"/>
    <s v="CUST-5062"/>
    <d v="2023-01-15T00:00:00"/>
    <s v="Sports"/>
    <s v="Yoga Mat"/>
    <n v="29.99"/>
    <n v="1"/>
    <n v="20"/>
    <n v="23.99"/>
    <n v="23.99"/>
    <s v="Wallet"/>
    <s v="Returned"/>
    <n v="4"/>
    <n v="56"/>
    <s v="Austin"/>
    <s v="Silver"/>
    <s v="Male"/>
    <b v="1"/>
    <x v="10"/>
  </r>
  <r>
    <s v="ORD-20523"/>
    <s v="CUST-5062"/>
    <d v="2024-11-06T00:00:00"/>
    <s v="Electronics"/>
    <s v="USB-C Hub"/>
    <n v="34.99"/>
    <n v="1"/>
    <n v="10"/>
    <n v="31.49"/>
    <n v="31.49"/>
    <s v="Wallet"/>
    <s v="Delivered"/>
    <n v="5"/>
    <n v="56"/>
    <s v="Austin"/>
    <s v="Silver"/>
    <s v="Male"/>
    <b v="1"/>
    <x v="16"/>
  </r>
  <r>
    <s v="ORD-20524"/>
    <s v="CUST-5062"/>
    <d v="2022-12-10T00:00:00"/>
    <s v="Clothing"/>
    <s v="Cotton T-Shirt"/>
    <n v="24.99"/>
    <n v="1"/>
    <n v="10"/>
    <n v="22.49"/>
    <n v="22.49"/>
    <s v="Credit Card"/>
    <s v="Delivered"/>
    <m/>
    <n v="56"/>
    <s v="Austin"/>
    <s v="Silver"/>
    <s v="Male"/>
    <b v="1"/>
    <x v="28"/>
  </r>
  <r>
    <s v="ORD-20525"/>
    <s v="CUST-5062"/>
    <d v="2022-09-18T00:00:00"/>
    <s v="Electronics"/>
    <s v="Smart Watch"/>
    <n v="199.99"/>
    <n v="4"/>
    <n v="15"/>
    <n v="169.99"/>
    <n v="679.96"/>
    <s v="Wallet"/>
    <s v="Returned"/>
    <n v="2"/>
    <n v="56"/>
    <s v="Austin"/>
    <s v="Silver"/>
    <s v="Male"/>
    <b v="1"/>
    <x v="22"/>
  </r>
  <r>
    <s v="ORD-20526"/>
    <s v="CUST-5062"/>
    <d v="2023-09-22T00:00:00"/>
    <s v="Books"/>
    <s v="Fiction Novel"/>
    <n v="14.99"/>
    <n v="4"/>
    <n v="0"/>
    <n v="14.99"/>
    <n v="59.96"/>
    <s v="PayPal"/>
    <s v="Delivered"/>
    <n v="4"/>
    <n v="56"/>
    <s v="Austin"/>
    <s v="Silver"/>
    <s v="Male"/>
    <b v="1"/>
    <x v="6"/>
  </r>
  <r>
    <s v="ORD-20527"/>
    <s v="CUST-5062"/>
    <d v="2024-12-27T00:00:00"/>
    <s v="Sports"/>
    <s v="Water Bottle"/>
    <n v="24.99"/>
    <n v="1"/>
    <n v="15"/>
    <n v="21.24"/>
    <n v="21.24"/>
    <s v="Wallet"/>
    <s v="Delivered"/>
    <m/>
    <n v="56"/>
    <s v="Austin"/>
    <s v="Silver"/>
    <s v="Male"/>
    <b v="1"/>
    <x v="32"/>
  </r>
  <r>
    <s v="ORD-20528"/>
    <s v="CUST-5062"/>
    <d v="2022-06-01T00:00:00"/>
    <s v="Clothing"/>
    <s v="Yoga Pants"/>
    <n v="44.99"/>
    <n v="2"/>
    <n v="0"/>
    <n v="44.99"/>
    <n v="89.98"/>
    <s v="Wallet"/>
    <s v="Delivered"/>
    <m/>
    <n v="56"/>
    <s v="Austin"/>
    <s v="Silver"/>
    <s v="Male"/>
    <b v="1"/>
    <x v="8"/>
  </r>
  <r>
    <s v="ORD-20529"/>
    <s v="CUST-5062"/>
    <d v="2023-02-23T00:00:00"/>
    <s v="Toys"/>
    <s v="LEGO Classic Set"/>
    <n v="49.99"/>
    <n v="4"/>
    <n v="20"/>
    <n v="39.99"/>
    <n v="159.96"/>
    <s v="Credit Card"/>
    <s v="Delivered"/>
    <n v="4"/>
    <n v="56"/>
    <s v="Austin"/>
    <s v="Silver"/>
    <s v="Male"/>
    <b v="1"/>
    <x v="34"/>
  </r>
  <r>
    <s v="ORD-20530"/>
    <s v="CUST-5063"/>
    <d v="2024-12-11T00:00:00"/>
    <s v="Sports"/>
    <s v="Resistance Bands"/>
    <n v="19.989999999999998"/>
    <n v="2"/>
    <n v="10"/>
    <n v="17.989999999999998"/>
    <n v="35.979999999999997"/>
    <s v="Credit Card"/>
    <s v="Delivered"/>
    <n v="2"/>
    <n v="30"/>
    <s v="San Antonio"/>
    <s v="Silver"/>
    <s v="Male"/>
    <b v="1"/>
    <x v="32"/>
  </r>
  <r>
    <s v="ORD-20531"/>
    <s v="CUST-5063"/>
    <d v="2022-11-23T00:00:00"/>
    <s v="Home &amp; Kitchen"/>
    <s v="Coffee Maker"/>
    <n v="59.99"/>
    <n v="1"/>
    <n v="10"/>
    <n v="53.99"/>
    <n v="53.99"/>
    <s v="PayPal"/>
    <s v="Delivered"/>
    <m/>
    <n v="30"/>
    <s v="San Antonio"/>
    <s v="Silver"/>
    <s v="Male"/>
    <b v="1"/>
    <x v="3"/>
  </r>
  <r>
    <s v="ORD-20532"/>
    <s v="CUST-5063"/>
    <d v="2024-12-06T00:00:00"/>
    <s v="Electronics"/>
    <s v="Smart Watch"/>
    <n v="199.99"/>
    <n v="2"/>
    <n v="5"/>
    <n v="189.99"/>
    <n v="379.98"/>
    <s v="Wallet"/>
    <s v="Delivered"/>
    <n v="5"/>
    <n v="30"/>
    <s v="San Antonio"/>
    <s v="Silver"/>
    <s v="Male"/>
    <b v="1"/>
    <x v="32"/>
  </r>
  <r>
    <s v="ORD-20533"/>
    <s v="CUST-5063"/>
    <d v="2023-03-09T00:00:00"/>
    <s v="Electronics"/>
    <s v="Wireless Earbuds"/>
    <n v="79.989999999999995"/>
    <n v="1"/>
    <n v="0"/>
    <n v="79.989999999999995"/>
    <n v="79.989999999999995"/>
    <s v="PayPal"/>
    <s v="Shipped"/>
    <n v="4"/>
    <n v="30"/>
    <s v="San Antonio"/>
    <s v="Silver"/>
    <s v="Male"/>
    <b v="1"/>
    <x v="23"/>
  </r>
  <r>
    <s v="ORD-20534"/>
    <s v="CUST-5063"/>
    <d v="2022-11-03T00:00:00"/>
    <s v="Books"/>
    <s v="Data Science Handbook"/>
    <n v="49.99"/>
    <n v="1"/>
    <n v="10"/>
    <n v="44.99"/>
    <n v="44.99"/>
    <s v="Credit Card"/>
    <s v="Delivered"/>
    <m/>
    <n v="30"/>
    <s v="San Antonio"/>
    <s v="Silver"/>
    <s v="Male"/>
    <b v="1"/>
    <x v="3"/>
  </r>
  <r>
    <s v="ORD-20535"/>
    <s v="CUST-5063"/>
    <d v="2024-11-21T00:00:00"/>
    <s v="Sports"/>
    <s v="Yoga Mat"/>
    <n v="29.99"/>
    <n v="2"/>
    <n v="0"/>
    <n v="29.99"/>
    <n v="59.98"/>
    <s v="PayPal"/>
    <s v="Delivered"/>
    <n v="2"/>
    <n v="30"/>
    <s v="San Antonio"/>
    <s v="Silver"/>
    <s v="Male"/>
    <b v="1"/>
    <x v="16"/>
  </r>
  <r>
    <s v="ORD-20536"/>
    <s v="CUST-5063"/>
    <d v="2024-11-11T00:00:00"/>
    <s v="Sports"/>
    <s v="Jump Rope"/>
    <n v="14.99"/>
    <n v="1"/>
    <n v="15"/>
    <n v="12.74"/>
    <n v="12.74"/>
    <s v="PayPal"/>
    <s v="Processing"/>
    <n v="5"/>
    <n v="30"/>
    <s v="San Antonio"/>
    <s v="Silver"/>
    <s v="Male"/>
    <b v="1"/>
    <x v="16"/>
  </r>
  <r>
    <s v="ORD-20537"/>
    <s v="CUST-5063"/>
    <d v="2024-04-22T00:00:00"/>
    <s v="Sports"/>
    <s v="Water Bottle"/>
    <n v="24.99"/>
    <n v="3"/>
    <n v="0"/>
    <n v="24.99"/>
    <n v="74.97"/>
    <s v="PayPal"/>
    <s v="Delivered"/>
    <n v="4"/>
    <n v="30"/>
    <s v="San Antonio"/>
    <s v="Silver"/>
    <s v="Male"/>
    <b v="1"/>
    <x v="27"/>
  </r>
  <r>
    <s v="ORD-20538"/>
    <s v="CUST-5063"/>
    <d v="2024-03-10T00:00:00"/>
    <s v="Beauty"/>
    <s v="Lip Balm Set"/>
    <n v="14.99"/>
    <n v="2"/>
    <n v="5"/>
    <n v="14.24"/>
    <n v="28.48"/>
    <s v="Credit Card"/>
    <s v="Delivered"/>
    <n v="5"/>
    <n v="30"/>
    <s v="San Antonio"/>
    <s v="Silver"/>
    <s v="Male"/>
    <b v="1"/>
    <x v="1"/>
  </r>
  <r>
    <s v="ORD-20539"/>
    <s v="CUST-5063"/>
    <d v="2024-07-01T00:00:00"/>
    <s v="Home &amp; Kitchen"/>
    <s v="Coffee Maker"/>
    <n v="59.99"/>
    <n v="4"/>
    <n v="0"/>
    <n v="59.99"/>
    <n v="239.96"/>
    <s v="UPI"/>
    <s v="Delivered"/>
    <m/>
    <n v="30"/>
    <s v="San Antonio"/>
    <s v="Silver"/>
    <s v="Male"/>
    <b v="1"/>
    <x v="4"/>
  </r>
  <r>
    <s v="ORD-20540"/>
    <s v="CUST-5063"/>
    <d v="2024-12-03T00:00:00"/>
    <s v="Clothing"/>
    <s v="Cotton T-Shirt"/>
    <n v="24.99"/>
    <n v="3"/>
    <n v="0"/>
    <n v="24.99"/>
    <n v="74.97"/>
    <s v="PayPal"/>
    <s v="Delivered"/>
    <n v="5"/>
    <n v="30"/>
    <s v="San Antonio"/>
    <s v="Silver"/>
    <s v="Male"/>
    <b v="1"/>
    <x v="32"/>
  </r>
  <r>
    <s v="ORD-20541"/>
    <s v="CUST-5063"/>
    <d v="2024-04-08T00:00:00"/>
    <s v="Sports"/>
    <s v="Water Bottle"/>
    <n v="24.99"/>
    <n v="1"/>
    <n v="15"/>
    <n v="21.24"/>
    <n v="21.24"/>
    <s v="PayPal"/>
    <s v="Delivered"/>
    <n v="4"/>
    <n v="30"/>
    <s v="San Antonio"/>
    <s v="Silver"/>
    <s v="Male"/>
    <b v="1"/>
    <x v="27"/>
  </r>
  <r>
    <s v="ORD-20542"/>
    <s v="CUST-5063"/>
    <d v="2023-09-07T00:00:00"/>
    <s v="Beauty"/>
    <s v="Lip Balm Set"/>
    <n v="14.99"/>
    <n v="3"/>
    <n v="10"/>
    <n v="13.49"/>
    <n v="40.47"/>
    <s v="PayPal"/>
    <s v="Shipped"/>
    <n v="5"/>
    <n v="30"/>
    <s v="San Antonio"/>
    <s v="Silver"/>
    <s v="Male"/>
    <b v="1"/>
    <x v="6"/>
  </r>
  <r>
    <s v="ORD-20543"/>
    <s v="CUST-5063"/>
    <d v="2023-03-27T00:00:00"/>
    <s v="Clothing"/>
    <s v="Yoga Pants"/>
    <n v="44.99"/>
    <n v="2"/>
    <n v="10"/>
    <n v="40.49"/>
    <n v="80.98"/>
    <s v="PayPal"/>
    <s v="Delivered"/>
    <n v="5"/>
    <n v="30"/>
    <s v="San Antonio"/>
    <s v="Silver"/>
    <s v="Male"/>
    <b v="1"/>
    <x v="23"/>
  </r>
  <r>
    <s v="ORD-20544"/>
    <s v="CUST-5063"/>
    <d v="2022-12-15T00:00:00"/>
    <s v="Books"/>
    <s v="Data Science Handbook"/>
    <n v="49.99"/>
    <n v="2"/>
    <n v="0"/>
    <n v="49.99"/>
    <n v="99.98"/>
    <s v="Debit Card"/>
    <s v="Delivered"/>
    <n v="3"/>
    <n v="30"/>
    <s v="San Antonio"/>
    <s v="Silver"/>
    <s v="Male"/>
    <b v="1"/>
    <x v="28"/>
  </r>
  <r>
    <s v="ORD-20545"/>
    <s v="CUST-5064"/>
    <d v="2022-10-26T00:00:00"/>
    <s v="Electronics"/>
    <s v="Bluetooth Speaker"/>
    <n v="49.99"/>
    <n v="2"/>
    <n v="10"/>
    <n v="44.99"/>
    <n v="89.98"/>
    <s v="Credit Card"/>
    <s v="Delivered"/>
    <n v="1"/>
    <n v="27"/>
    <s v="San Antonio"/>
    <s v="Platinum"/>
    <s v="Female"/>
    <b v="1"/>
    <x v="20"/>
  </r>
  <r>
    <s v="ORD-20546"/>
    <s v="CUST-5064"/>
    <d v="2024-07-12T00:00:00"/>
    <s v="Sports"/>
    <s v="Resistance Bands"/>
    <n v="19.989999999999998"/>
    <n v="4"/>
    <n v="15"/>
    <n v="16.989999999999998"/>
    <n v="67.959999999999994"/>
    <s v="Debit Card"/>
    <s v="Delivered"/>
    <n v="4"/>
    <n v="27"/>
    <s v="San Antonio"/>
    <s v="Platinum"/>
    <s v="Female"/>
    <b v="1"/>
    <x v="4"/>
  </r>
  <r>
    <s v="ORD-20547"/>
    <s v="CUST-5065"/>
    <d v="2022-01-18T00:00:00"/>
    <s v="Home &amp; Kitchen"/>
    <s v="Blender"/>
    <n v="64.989999999999995"/>
    <n v="3"/>
    <n v="0"/>
    <n v="64.989999999999995"/>
    <n v="194.97"/>
    <s v="Debit Card"/>
    <s v="Delivered"/>
    <m/>
    <n v="62"/>
    <s v="San Jose"/>
    <s v="Silver"/>
    <s v="Male"/>
    <b v="1"/>
    <x v="2"/>
  </r>
  <r>
    <s v="ORD-20548"/>
    <s v="CUST-5065"/>
    <d v="2022-05-08T00:00:00"/>
    <s v="Books"/>
    <s v="Fiction Novel"/>
    <n v="14.99"/>
    <n v="1"/>
    <n v="15"/>
    <n v="12.74"/>
    <n v="12.74"/>
    <s v="Wallet"/>
    <s v="Shipped"/>
    <n v="5"/>
    <n v="62"/>
    <s v="San Jose"/>
    <s v="Silver"/>
    <s v="Male"/>
    <b v="1"/>
    <x v="31"/>
  </r>
  <r>
    <s v="ORD-20549"/>
    <s v="CUST-5065"/>
    <d v="2023-11-16T00:00:00"/>
    <s v="Toys"/>
    <s v="LEGO Classic Set"/>
    <n v="49.99"/>
    <n v="4"/>
    <n v="15"/>
    <n v="42.49"/>
    <n v="169.96"/>
    <s v="Wallet"/>
    <s v="Delivered"/>
    <n v="3"/>
    <n v="62"/>
    <s v="San Jose"/>
    <s v="Silver"/>
    <s v="Male"/>
    <b v="1"/>
    <x v="29"/>
  </r>
  <r>
    <s v="ORD-20550"/>
    <s v="CUST-5065"/>
    <d v="2024-01-03T00:00:00"/>
    <s v="Books"/>
    <s v="Data Science Handbook"/>
    <n v="49.99"/>
    <n v="2"/>
    <n v="20"/>
    <n v="39.99"/>
    <n v="79.98"/>
    <s v="Credit Card"/>
    <s v="Delivered"/>
    <n v="3"/>
    <n v="62"/>
    <s v="San Jose"/>
    <s v="Silver"/>
    <s v="Male"/>
    <b v="1"/>
    <x v="25"/>
  </r>
  <r>
    <s v="ORD-20551"/>
    <s v="CUST-5065"/>
    <d v="2022-02-10T00:00:00"/>
    <s v="Sports"/>
    <s v="Jump Rope"/>
    <n v="14.99"/>
    <n v="3"/>
    <n v="15"/>
    <n v="12.74"/>
    <n v="38.22"/>
    <s v="Debit Card"/>
    <s v="Delivered"/>
    <n v="3"/>
    <n v="62"/>
    <s v="San Jose"/>
    <s v="Silver"/>
    <s v="Male"/>
    <b v="1"/>
    <x v="17"/>
  </r>
  <r>
    <s v="ORD-20552"/>
    <s v="CUST-5065"/>
    <d v="2023-03-04T00:00:00"/>
    <s v="Beauty"/>
    <s v="Moisturizer SPF 50"/>
    <n v="29.99"/>
    <n v="1"/>
    <n v="20"/>
    <n v="23.99"/>
    <n v="23.99"/>
    <s v="PayPal"/>
    <s v="Shipped"/>
    <n v="4"/>
    <n v="62"/>
    <s v="San Jose"/>
    <s v="Silver"/>
    <s v="Male"/>
    <b v="1"/>
    <x v="23"/>
  </r>
  <r>
    <s v="ORD-20553"/>
    <s v="CUST-5065"/>
    <d v="2022-03-23T00:00:00"/>
    <s v="Beauty"/>
    <s v="Lip Balm Set"/>
    <n v="14.99"/>
    <n v="2"/>
    <n v="0"/>
    <n v="14.99"/>
    <n v="29.98"/>
    <s v="Debit Card"/>
    <s v="Delivered"/>
    <m/>
    <n v="62"/>
    <s v="San Jose"/>
    <s v="Silver"/>
    <s v="Male"/>
    <b v="1"/>
    <x v="11"/>
  </r>
  <r>
    <s v="ORD-20554"/>
    <s v="CUST-5065"/>
    <d v="2022-08-23T00:00:00"/>
    <s v="Clothing"/>
    <s v="Yoga Pants"/>
    <n v="44.99"/>
    <n v="2"/>
    <n v="20"/>
    <n v="35.99"/>
    <n v="71.98"/>
    <s v="Debit Card"/>
    <s v="Delivered"/>
    <n v="3"/>
    <n v="62"/>
    <s v="San Jose"/>
    <s v="Silver"/>
    <s v="Male"/>
    <b v="1"/>
    <x v="7"/>
  </r>
  <r>
    <s v="ORD-20555"/>
    <s v="CUST-5065"/>
    <d v="2024-05-03T00:00:00"/>
    <s v="Home &amp; Kitchen"/>
    <s v="Coffee Maker"/>
    <n v="59.99"/>
    <n v="1"/>
    <n v="0"/>
    <n v="59.99"/>
    <n v="59.99"/>
    <s v="Debit Card"/>
    <s v="Delivered"/>
    <n v="4"/>
    <n v="62"/>
    <s v="San Jose"/>
    <s v="Silver"/>
    <s v="Male"/>
    <b v="1"/>
    <x v="30"/>
  </r>
  <r>
    <s v="ORD-20556"/>
    <s v="CUST-5065"/>
    <d v="2023-10-15T00:00:00"/>
    <s v="Home &amp; Kitchen"/>
    <s v="Air Fryer"/>
    <n v="89.99"/>
    <n v="2"/>
    <n v="10"/>
    <n v="80.989999999999995"/>
    <n v="161.97999999999999"/>
    <s v="Wallet"/>
    <s v="Delivered"/>
    <m/>
    <n v="62"/>
    <s v="San Jose"/>
    <s v="Silver"/>
    <s v="Male"/>
    <b v="1"/>
    <x v="13"/>
  </r>
  <r>
    <s v="ORD-20557"/>
    <s v="CUST-5065"/>
    <d v="2022-04-06T00:00:00"/>
    <s v="Toys"/>
    <s v="LEGO Classic Set"/>
    <n v="49.99"/>
    <n v="3"/>
    <n v="0"/>
    <n v="49.99"/>
    <n v="149.97"/>
    <s v="Debit Card"/>
    <s v="Delivered"/>
    <n v="5"/>
    <n v="62"/>
    <s v="San Jose"/>
    <s v="Silver"/>
    <s v="Male"/>
    <b v="1"/>
    <x v="12"/>
  </r>
  <r>
    <s v="ORD-20558"/>
    <s v="CUST-5065"/>
    <d v="2023-02-05T00:00:00"/>
    <s v="Books"/>
    <s v="Python for Beginners"/>
    <n v="29.99"/>
    <n v="2"/>
    <n v="20"/>
    <n v="23.99"/>
    <n v="47.98"/>
    <s v="Debit Card"/>
    <s v="Cancelled"/>
    <m/>
    <n v="62"/>
    <s v="San Jose"/>
    <s v="Silver"/>
    <s v="Male"/>
    <b v="1"/>
    <x v="34"/>
  </r>
  <r>
    <s v="ORD-20559"/>
    <s v="CUST-5065"/>
    <d v="2022-11-20T00:00:00"/>
    <s v="Beauty"/>
    <s v="Moisturizer SPF 50"/>
    <n v="29.99"/>
    <n v="4"/>
    <n v="10"/>
    <n v="26.99"/>
    <n v="107.96"/>
    <s v="UPI"/>
    <s v="Delivered"/>
    <m/>
    <n v="62"/>
    <s v="San Jose"/>
    <s v="Silver"/>
    <s v="Male"/>
    <b v="1"/>
    <x v="3"/>
  </r>
  <r>
    <s v="ORD-20560"/>
    <s v="CUST-5065"/>
    <d v="2022-06-11T00:00:00"/>
    <s v="Toys"/>
    <s v="Puzzle 1000pcs"/>
    <n v="24.99"/>
    <n v="3"/>
    <n v="20"/>
    <n v="19.989999999999998"/>
    <n v="59.97"/>
    <s v="Wallet"/>
    <s v="Shipped"/>
    <m/>
    <n v="62"/>
    <s v="San Jose"/>
    <s v="Silver"/>
    <s v="Male"/>
    <b v="1"/>
    <x v="8"/>
  </r>
  <r>
    <s v="ORD-20561"/>
    <s v="CUST-5066"/>
    <d v="2022-06-19T00:00:00"/>
    <s v="Sports"/>
    <s v="Jump Rope"/>
    <n v="14.99"/>
    <n v="4"/>
    <n v="15"/>
    <n v="12.74"/>
    <n v="50.96"/>
    <s v="UPI"/>
    <s v="Processing"/>
    <n v="2"/>
    <n v="36"/>
    <s v="Los Angeles"/>
    <s v="Free"/>
    <s v="Male"/>
    <b v="1"/>
    <x v="8"/>
  </r>
  <r>
    <s v="ORD-20562"/>
    <s v="CUST-5066"/>
    <d v="2022-11-03T00:00:00"/>
    <s v="Clothing"/>
    <s v="Denim Jacket"/>
    <n v="69.989999999999995"/>
    <n v="2"/>
    <n v="10"/>
    <n v="62.99"/>
    <n v="125.98"/>
    <s v="PayPal"/>
    <s v="Delivered"/>
    <n v="5"/>
    <n v="36"/>
    <s v="Los Angeles"/>
    <s v="Free"/>
    <s v="Male"/>
    <b v="1"/>
    <x v="3"/>
  </r>
  <r>
    <s v="ORD-20563"/>
    <s v="CUST-5066"/>
    <d v="2023-07-08T00:00:00"/>
    <s v="Beauty"/>
    <s v="Moisturizer SPF 50"/>
    <n v="29.99"/>
    <n v="3"/>
    <n v="10"/>
    <n v="26.99"/>
    <n v="80.97"/>
    <s v="Credit Card"/>
    <s v="Delivered"/>
    <m/>
    <n v="36"/>
    <s v="Los Angeles"/>
    <s v="Free"/>
    <s v="Male"/>
    <b v="1"/>
    <x v="9"/>
  </r>
  <r>
    <s v="ORD-20564"/>
    <s v="CUST-5067"/>
    <d v="2024-07-05T00:00:00"/>
    <s v="Beauty"/>
    <s v="Lip Balm Set"/>
    <n v="14.99"/>
    <n v="2"/>
    <n v="0"/>
    <n v="14.99"/>
    <n v="29.98"/>
    <s v="Credit Card"/>
    <s v="Delivered"/>
    <n v="4"/>
    <n v="43"/>
    <s v="San Diego"/>
    <s v="Gold"/>
    <s v="Female"/>
    <b v="1"/>
    <x v="4"/>
  </r>
  <r>
    <s v="ORD-20565"/>
    <s v="CUST-5067"/>
    <d v="2023-09-23T00:00:00"/>
    <s v="Toys"/>
    <s v="LEGO Classic Set"/>
    <n v="49.99"/>
    <n v="1"/>
    <n v="5"/>
    <n v="47.49"/>
    <n v="47.49"/>
    <s v="Debit Card"/>
    <s v="Delivered"/>
    <n v="4"/>
    <n v="43"/>
    <s v="San Diego"/>
    <s v="Gold"/>
    <s v="Female"/>
    <b v="1"/>
    <x v="6"/>
  </r>
  <r>
    <s v="ORD-20566"/>
    <s v="CUST-5067"/>
    <d v="2024-12-21T00:00:00"/>
    <s v="Clothing"/>
    <s v="Yoga Pants"/>
    <n v="44.99"/>
    <n v="2"/>
    <n v="0"/>
    <n v="44.99"/>
    <n v="89.98"/>
    <s v="Credit Card"/>
    <s v="Delivered"/>
    <n v="4"/>
    <n v="43"/>
    <s v="San Diego"/>
    <s v="Gold"/>
    <s v="Female"/>
    <b v="1"/>
    <x v="32"/>
  </r>
  <r>
    <s v="ORD-20567"/>
    <s v="CUST-5067"/>
    <d v="2024-07-20T00:00:00"/>
    <s v="Beauty"/>
    <s v="Face Serum"/>
    <n v="39.99"/>
    <n v="3"/>
    <n v="0"/>
    <n v="39.99"/>
    <n v="119.97"/>
    <s v="PayPal"/>
    <s v="Delivered"/>
    <n v="5"/>
    <n v="43"/>
    <s v="San Diego"/>
    <s v="Gold"/>
    <s v="Female"/>
    <b v="1"/>
    <x v="4"/>
  </r>
  <r>
    <s v="ORD-20568"/>
    <s v="CUST-5067"/>
    <d v="2023-05-26T00:00:00"/>
    <s v="Sports"/>
    <s v="Jump Rope"/>
    <n v="14.99"/>
    <n v="2"/>
    <n v="0"/>
    <n v="14.99"/>
    <n v="29.98"/>
    <s v="UPI"/>
    <s v="Delivered"/>
    <n v="4"/>
    <n v="43"/>
    <s v="San Diego"/>
    <s v="Gold"/>
    <s v="Female"/>
    <b v="1"/>
    <x v="5"/>
  </r>
  <r>
    <s v="ORD-20569"/>
    <s v="CUST-5067"/>
    <d v="2023-09-18T00:00:00"/>
    <s v="Clothing"/>
    <s v="Cotton T-Shirt"/>
    <n v="24.99"/>
    <n v="3"/>
    <n v="0"/>
    <n v="24.99"/>
    <n v="74.97"/>
    <s v="UPI"/>
    <s v="Delivered"/>
    <n v="4"/>
    <n v="43"/>
    <s v="San Diego"/>
    <s v="Gold"/>
    <s v="Female"/>
    <b v="1"/>
    <x v="6"/>
  </r>
  <r>
    <s v="ORD-20570"/>
    <s v="CUST-5067"/>
    <d v="2023-05-19T00:00:00"/>
    <s v="Electronics"/>
    <s v="Wireless Earbuds"/>
    <n v="79.989999999999995"/>
    <n v="1"/>
    <n v="10"/>
    <n v="71.989999999999995"/>
    <n v="71.989999999999995"/>
    <s v="Wallet"/>
    <s v="Delivered"/>
    <m/>
    <n v="43"/>
    <s v="San Diego"/>
    <s v="Gold"/>
    <s v="Female"/>
    <b v="1"/>
    <x v="5"/>
  </r>
  <r>
    <s v="ORD-20571"/>
    <s v="CUST-5068"/>
    <d v="2023-10-03T00:00:00"/>
    <s v="Books"/>
    <s v="Data Science Handbook"/>
    <n v="49.99"/>
    <n v="4"/>
    <n v="0"/>
    <n v="49.99"/>
    <n v="199.96"/>
    <s v="Wallet"/>
    <s v="Delivered"/>
    <m/>
    <n v="21"/>
    <s v="Austin"/>
    <s v="Gold"/>
    <s v="Male"/>
    <b v="1"/>
    <x v="13"/>
  </r>
  <r>
    <s v="ORD-20572"/>
    <s v="CUST-5069"/>
    <d v="2024-08-10T00:00:00"/>
    <s v="Sports"/>
    <s v="Water Bottle"/>
    <n v="24.99"/>
    <n v="4"/>
    <n v="10"/>
    <n v="22.49"/>
    <n v="89.96"/>
    <s v="Credit Card"/>
    <s v="Delivered"/>
    <n v="2"/>
    <n v="38"/>
    <s v="Los Angeles"/>
    <s v="Free"/>
    <s v="Male"/>
    <b v="1"/>
    <x v="26"/>
  </r>
  <r>
    <s v="ORD-20573"/>
    <s v="CUST-5069"/>
    <d v="2023-04-21T00:00:00"/>
    <s v="Beauty"/>
    <s v="Moisturizer SPF 50"/>
    <n v="29.99"/>
    <n v="3"/>
    <n v="0"/>
    <n v="29.99"/>
    <n v="89.97"/>
    <s v="PayPal"/>
    <s v="Delivered"/>
    <n v="4"/>
    <n v="38"/>
    <s v="Los Angeles"/>
    <s v="Free"/>
    <s v="Male"/>
    <b v="1"/>
    <x v="18"/>
  </r>
  <r>
    <s v="ORD-20574"/>
    <s v="CUST-5069"/>
    <d v="2022-01-06T00:00:00"/>
    <s v="Beauty"/>
    <s v="Face Serum"/>
    <n v="39.99"/>
    <n v="3"/>
    <n v="0"/>
    <n v="39.99"/>
    <n v="119.97"/>
    <s v="PayPal"/>
    <s v="Delivered"/>
    <m/>
    <n v="38"/>
    <s v="Los Angeles"/>
    <s v="Free"/>
    <s v="Male"/>
    <b v="1"/>
    <x v="2"/>
  </r>
  <r>
    <s v="ORD-20575"/>
    <s v="CUST-5069"/>
    <d v="2024-02-19T00:00:00"/>
    <s v="Toys"/>
    <s v="Remote Control Car"/>
    <n v="39.99"/>
    <n v="4"/>
    <n v="0"/>
    <n v="39.99"/>
    <n v="159.96"/>
    <s v="Wallet"/>
    <s v="Delivered"/>
    <m/>
    <n v="38"/>
    <s v="Los Angeles"/>
    <s v="Free"/>
    <s v="Male"/>
    <b v="1"/>
    <x v="0"/>
  </r>
  <r>
    <s v="ORD-20576"/>
    <s v="CUST-5069"/>
    <d v="2023-10-22T00:00:00"/>
    <s v="Electronics"/>
    <s v="USB-C Hub"/>
    <n v="34.99"/>
    <n v="1"/>
    <n v="0"/>
    <n v="34.99"/>
    <n v="34.99"/>
    <s v="UPI"/>
    <s v="Delivered"/>
    <m/>
    <n v="38"/>
    <s v="Los Angeles"/>
    <s v="Free"/>
    <s v="Male"/>
    <b v="1"/>
    <x v="13"/>
  </r>
  <r>
    <s v="ORD-20577"/>
    <s v="CUST-5069"/>
    <d v="2023-05-17T00:00:00"/>
    <s v="Toys"/>
    <s v="Puzzle 1000pcs"/>
    <n v="24.99"/>
    <n v="1"/>
    <n v="10"/>
    <n v="22.49"/>
    <n v="22.49"/>
    <s v="Debit Card"/>
    <s v="Delivered"/>
    <m/>
    <n v="38"/>
    <s v="Los Angeles"/>
    <s v="Free"/>
    <s v="Male"/>
    <b v="1"/>
    <x v="5"/>
  </r>
  <r>
    <s v="ORD-20578"/>
    <s v="CUST-5069"/>
    <d v="2024-06-06T00:00:00"/>
    <s v="Clothing"/>
    <s v="Running Shoes"/>
    <n v="89.99"/>
    <n v="2"/>
    <n v="10"/>
    <n v="80.989999999999995"/>
    <n v="161.97999999999999"/>
    <s v="Credit Card"/>
    <s v="Delivered"/>
    <n v="3"/>
    <n v="38"/>
    <s v="Los Angeles"/>
    <s v="Free"/>
    <s v="Male"/>
    <b v="1"/>
    <x v="35"/>
  </r>
  <r>
    <s v="ORD-20579"/>
    <s v="CUST-5069"/>
    <d v="2023-05-26T00:00:00"/>
    <s v="Clothing"/>
    <s v="Cotton T-Shirt"/>
    <n v="24.99"/>
    <n v="1"/>
    <n v="15"/>
    <n v="21.24"/>
    <n v="21.24"/>
    <s v="Credit Card"/>
    <s v="Delivered"/>
    <n v="5"/>
    <n v="38"/>
    <s v="Los Angeles"/>
    <s v="Free"/>
    <s v="Male"/>
    <b v="1"/>
    <x v="5"/>
  </r>
  <r>
    <s v="ORD-20580"/>
    <s v="CUST-5069"/>
    <d v="2023-09-01T00:00:00"/>
    <s v="Home &amp; Kitchen"/>
    <s v="Blender"/>
    <n v="64.989999999999995"/>
    <n v="3"/>
    <n v="5"/>
    <n v="61.74"/>
    <n v="185.22"/>
    <s v="PayPal"/>
    <s v="Delivered"/>
    <n v="5"/>
    <n v="38"/>
    <s v="Los Angeles"/>
    <s v="Free"/>
    <s v="Male"/>
    <b v="1"/>
    <x v="6"/>
  </r>
  <r>
    <s v="ORD-20581"/>
    <s v="CUST-5069"/>
    <d v="2023-09-01T00:00:00"/>
    <s v="Electronics"/>
    <s v="Wireless Earbuds"/>
    <n v="79.989999999999995"/>
    <n v="4"/>
    <n v="0"/>
    <n v="79.989999999999995"/>
    <n v="319.95999999999998"/>
    <s v="PayPal"/>
    <s v="Delivered"/>
    <m/>
    <n v="38"/>
    <s v="Los Angeles"/>
    <s v="Free"/>
    <s v="Male"/>
    <b v="1"/>
    <x v="6"/>
  </r>
  <r>
    <s v="ORD-20582"/>
    <s v="CUST-5069"/>
    <d v="2024-12-05T00:00:00"/>
    <s v="Clothing"/>
    <s v="Cotton T-Shirt"/>
    <n v="24.99"/>
    <n v="2"/>
    <n v="0"/>
    <n v="24.99"/>
    <n v="49.98"/>
    <s v="Debit Card"/>
    <s v="Delivered"/>
    <m/>
    <n v="38"/>
    <s v="Los Angeles"/>
    <s v="Free"/>
    <s v="Male"/>
    <b v="1"/>
    <x v="32"/>
  </r>
  <r>
    <s v="ORD-20583"/>
    <s v="CUST-5069"/>
    <d v="2023-04-09T00:00:00"/>
    <s v="Clothing"/>
    <s v="Cotton T-Shirt"/>
    <n v="24.99"/>
    <n v="3"/>
    <n v="0"/>
    <n v="24.99"/>
    <n v="74.97"/>
    <s v="Debit Card"/>
    <s v="Delivered"/>
    <n v="2"/>
    <n v="38"/>
    <s v="Los Angeles"/>
    <s v="Free"/>
    <s v="Male"/>
    <b v="1"/>
    <x v="18"/>
  </r>
  <r>
    <s v="ORD-20584"/>
    <s v="CUST-5069"/>
    <d v="2024-03-28T00:00:00"/>
    <s v="Toys"/>
    <s v="Action Figure"/>
    <n v="19.989999999999998"/>
    <n v="2"/>
    <n v="10"/>
    <n v="17.989999999999998"/>
    <n v="35.979999999999997"/>
    <s v="Wallet"/>
    <s v="Shipped"/>
    <n v="5"/>
    <n v="38"/>
    <s v="Los Angeles"/>
    <s v="Free"/>
    <s v="Male"/>
    <b v="1"/>
    <x v="1"/>
  </r>
  <r>
    <s v="ORD-20585"/>
    <s v="CUST-5070"/>
    <d v="2022-03-14T00:00:00"/>
    <s v="Electronics"/>
    <s v="Bluetooth Speaker"/>
    <n v="49.99"/>
    <n v="2"/>
    <n v="15"/>
    <n v="42.49"/>
    <n v="84.98"/>
    <s v="Wallet"/>
    <s v="Delivered"/>
    <n v="3"/>
    <n v="62"/>
    <s v="Philadelphia"/>
    <s v="Free"/>
    <s v="Female"/>
    <b v="1"/>
    <x v="11"/>
  </r>
  <r>
    <s v="ORD-20586"/>
    <s v="CUST-5071"/>
    <d v="2023-11-14T00:00:00"/>
    <s v="Beauty"/>
    <s v="Lip Balm Set"/>
    <n v="14.99"/>
    <n v="4"/>
    <n v="0"/>
    <n v="14.99"/>
    <n v="59.96"/>
    <s v="Debit Card"/>
    <s v="Delivered"/>
    <n v="5"/>
    <n v="25"/>
    <s v="Houston"/>
    <s v="Free"/>
    <s v="Female"/>
    <b v="1"/>
    <x v="29"/>
  </r>
  <r>
    <s v="ORD-20587"/>
    <s v="CUST-5071"/>
    <d v="2023-10-23T00:00:00"/>
    <s v="Books"/>
    <s v="Fiction Novel"/>
    <n v="14.99"/>
    <n v="4"/>
    <n v="0"/>
    <n v="14.99"/>
    <n v="59.96"/>
    <s v="PayPal"/>
    <s v="Delivered"/>
    <n v="4"/>
    <n v="25"/>
    <s v="Houston"/>
    <s v="Free"/>
    <s v="Female"/>
    <b v="1"/>
    <x v="13"/>
  </r>
  <r>
    <s v="ORD-20588"/>
    <s v="CUST-5071"/>
    <d v="2022-10-18T00:00:00"/>
    <s v="Home &amp; Kitchen"/>
    <s v="Non-stick Pan Set"/>
    <n v="44.99"/>
    <n v="3"/>
    <n v="0"/>
    <n v="44.99"/>
    <n v="134.97"/>
    <s v="UPI"/>
    <s v="Delivered"/>
    <m/>
    <n v="25"/>
    <s v="Houston"/>
    <s v="Free"/>
    <s v="Female"/>
    <b v="1"/>
    <x v="20"/>
  </r>
  <r>
    <s v="ORD-20589"/>
    <s v="CUST-5071"/>
    <d v="2022-02-21T00:00:00"/>
    <s v="Beauty"/>
    <s v="Hair Mask"/>
    <n v="24.99"/>
    <n v="3"/>
    <n v="0"/>
    <n v="24.99"/>
    <n v="74.97"/>
    <s v="UPI"/>
    <s v="Delivered"/>
    <n v="3"/>
    <n v="25"/>
    <s v="Houston"/>
    <s v="Free"/>
    <s v="Female"/>
    <b v="1"/>
    <x v="17"/>
  </r>
  <r>
    <s v="ORD-20590"/>
    <s v="CUST-5071"/>
    <d v="2022-08-06T00:00:00"/>
    <s v="Electronics"/>
    <s v="USB-C Hub"/>
    <n v="34.99"/>
    <n v="4"/>
    <n v="0"/>
    <n v="34.99"/>
    <n v="139.96"/>
    <s v="Wallet"/>
    <s v="Delivered"/>
    <n v="5"/>
    <n v="25"/>
    <s v="Houston"/>
    <s v="Free"/>
    <s v="Female"/>
    <b v="1"/>
    <x v="7"/>
  </r>
  <r>
    <s v="ORD-20591"/>
    <s v="CUST-5071"/>
    <d v="2024-05-07T00:00:00"/>
    <s v="Home &amp; Kitchen"/>
    <s v="Air Fryer"/>
    <n v="89.99"/>
    <n v="1"/>
    <n v="0"/>
    <n v="89.99"/>
    <n v="89.99"/>
    <s v="PayPal"/>
    <s v="Cancelled"/>
    <n v="4"/>
    <n v="25"/>
    <s v="Houston"/>
    <s v="Free"/>
    <s v="Female"/>
    <b v="1"/>
    <x v="30"/>
  </r>
  <r>
    <s v="ORD-20592"/>
    <s v="CUST-5071"/>
    <d v="2022-05-24T00:00:00"/>
    <s v="Sports"/>
    <s v="Water Bottle"/>
    <n v="24.99"/>
    <n v="4"/>
    <n v="15"/>
    <n v="21.24"/>
    <n v="84.96"/>
    <s v="PayPal"/>
    <s v="Delivered"/>
    <m/>
    <n v="25"/>
    <s v="Houston"/>
    <s v="Free"/>
    <s v="Female"/>
    <b v="1"/>
    <x v="31"/>
  </r>
  <r>
    <s v="ORD-20593"/>
    <s v="CUST-5071"/>
    <d v="2023-06-01T00:00:00"/>
    <s v="Books"/>
    <s v="Data Science Handbook"/>
    <n v="49.99"/>
    <n v="1"/>
    <n v="10"/>
    <n v="44.99"/>
    <n v="44.99"/>
    <s v="Credit Card"/>
    <s v="Delivered"/>
    <m/>
    <n v="25"/>
    <s v="Houston"/>
    <s v="Free"/>
    <s v="Female"/>
    <b v="1"/>
    <x v="19"/>
  </r>
  <r>
    <s v="ORD-20594"/>
    <s v="CUST-5071"/>
    <d v="2022-05-13T00:00:00"/>
    <s v="Home &amp; Kitchen"/>
    <s v="Coffee Maker"/>
    <n v="59.99"/>
    <n v="3"/>
    <n v="5"/>
    <n v="56.99"/>
    <n v="170.97"/>
    <s v="UPI"/>
    <s v="Cancelled"/>
    <n v="5"/>
    <n v="25"/>
    <s v="Houston"/>
    <s v="Free"/>
    <s v="Female"/>
    <b v="1"/>
    <x v="31"/>
  </r>
  <r>
    <s v="ORD-20595"/>
    <s v="CUST-5071"/>
    <d v="2023-04-05T00:00:00"/>
    <s v="Beauty"/>
    <s v="Face Serum"/>
    <n v="39.99"/>
    <n v="2"/>
    <n v="10"/>
    <n v="35.99"/>
    <n v="71.98"/>
    <s v="Credit Card"/>
    <s v="Delivered"/>
    <n v="5"/>
    <n v="25"/>
    <s v="Houston"/>
    <s v="Free"/>
    <s v="Female"/>
    <b v="1"/>
    <x v="18"/>
  </r>
  <r>
    <s v="ORD-20596"/>
    <s v="CUST-5071"/>
    <d v="2023-11-28T00:00:00"/>
    <s v="Toys"/>
    <s v="Remote Control Car"/>
    <n v="39.99"/>
    <n v="2"/>
    <n v="20"/>
    <n v="31.99"/>
    <n v="63.98"/>
    <s v="PayPal"/>
    <s v="Delivered"/>
    <n v="4"/>
    <n v="25"/>
    <s v="Houston"/>
    <s v="Free"/>
    <s v="Female"/>
    <b v="1"/>
    <x v="29"/>
  </r>
  <r>
    <s v="ORD-20597"/>
    <s v="CUST-5072"/>
    <d v="2023-02-21T00:00:00"/>
    <s v="Home &amp; Kitchen"/>
    <s v="Coffee Maker"/>
    <n v="59.99"/>
    <n v="3"/>
    <n v="20"/>
    <n v="47.99"/>
    <n v="143.97"/>
    <s v="Wallet"/>
    <s v="Delivered"/>
    <n v="1"/>
    <n v="37"/>
    <s v="Austin"/>
    <s v="Silver"/>
    <s v="Male"/>
    <b v="1"/>
    <x v="34"/>
  </r>
  <r>
    <s v="ORD-20598"/>
    <s v="CUST-5072"/>
    <d v="2024-01-14T00:00:00"/>
    <s v="Sports"/>
    <s v="Water Bottle"/>
    <n v="24.99"/>
    <n v="4"/>
    <n v="10"/>
    <n v="22.49"/>
    <n v="89.96"/>
    <s v="PayPal"/>
    <s v="Delivered"/>
    <m/>
    <n v="37"/>
    <s v="Austin"/>
    <s v="Silver"/>
    <s v="Male"/>
    <b v="1"/>
    <x v="25"/>
  </r>
  <r>
    <s v="ORD-20599"/>
    <s v="CUST-5072"/>
    <d v="2024-04-14T00:00:00"/>
    <s v="Sports"/>
    <s v="Water Bottle"/>
    <n v="24.99"/>
    <n v="4"/>
    <n v="0"/>
    <n v="24.99"/>
    <n v="99.96"/>
    <s v="Debit Card"/>
    <s v="Delivered"/>
    <m/>
    <n v="37"/>
    <s v="Austin"/>
    <s v="Silver"/>
    <s v="Male"/>
    <b v="1"/>
    <x v="27"/>
  </r>
  <r>
    <s v="ORD-20600"/>
    <s v="CUST-5072"/>
    <d v="2024-09-25T00:00:00"/>
    <s v="Home &amp; Kitchen"/>
    <s v="Coffee Maker"/>
    <n v="59.99"/>
    <n v="1"/>
    <n v="15"/>
    <n v="50.99"/>
    <n v="50.99"/>
    <s v="Debit Card"/>
    <s v="Delivered"/>
    <n v="5"/>
    <n v="37"/>
    <s v="Austin"/>
    <s v="Silver"/>
    <s v="Male"/>
    <b v="1"/>
    <x v="15"/>
  </r>
  <r>
    <s v="ORD-20601"/>
    <s v="CUST-5072"/>
    <d v="2023-02-11T00:00:00"/>
    <s v="Beauty"/>
    <s v="Hair Mask"/>
    <n v="24.99"/>
    <n v="2"/>
    <n v="15"/>
    <n v="21.24"/>
    <n v="42.48"/>
    <s v="Wallet"/>
    <s v="Shipped"/>
    <n v="4"/>
    <n v="37"/>
    <s v="Austin"/>
    <s v="Silver"/>
    <s v="Male"/>
    <b v="1"/>
    <x v="34"/>
  </r>
  <r>
    <s v="ORD-20602"/>
    <s v="CUST-5072"/>
    <d v="2022-03-25T00:00:00"/>
    <s v="Clothing"/>
    <s v="Cotton T-Shirt"/>
    <n v="24.99"/>
    <n v="2"/>
    <n v="10"/>
    <n v="22.49"/>
    <n v="44.98"/>
    <s v="PayPal"/>
    <s v="Delivered"/>
    <m/>
    <n v="37"/>
    <s v="Austin"/>
    <s v="Silver"/>
    <s v="Male"/>
    <b v="1"/>
    <x v="11"/>
  </r>
  <r>
    <s v="ORD-20603"/>
    <s v="CUST-5072"/>
    <d v="2024-06-19T00:00:00"/>
    <s v="Toys"/>
    <s v="Puzzle 1000pcs"/>
    <n v="24.99"/>
    <n v="2"/>
    <n v="0"/>
    <n v="24.99"/>
    <n v="49.98"/>
    <s v="Debit Card"/>
    <s v="Delivered"/>
    <n v="5"/>
    <n v="37"/>
    <s v="Austin"/>
    <s v="Silver"/>
    <s v="Male"/>
    <b v="1"/>
    <x v="35"/>
  </r>
  <r>
    <s v="ORD-20604"/>
    <s v="CUST-5072"/>
    <d v="2022-04-18T00:00:00"/>
    <s v="Clothing"/>
    <s v="Running Shoes"/>
    <n v="89.99"/>
    <n v="1"/>
    <n v="10"/>
    <n v="80.989999999999995"/>
    <n v="80.989999999999995"/>
    <s v="Credit Card"/>
    <s v="Delivered"/>
    <n v="5"/>
    <n v="37"/>
    <s v="Austin"/>
    <s v="Silver"/>
    <s v="Male"/>
    <b v="1"/>
    <x v="12"/>
  </r>
  <r>
    <s v="ORD-20605"/>
    <s v="CUST-5072"/>
    <d v="2022-04-07T00:00:00"/>
    <s v="Clothing"/>
    <s v="Running Shoes"/>
    <n v="89.99"/>
    <n v="1"/>
    <n v="0"/>
    <n v="89.99"/>
    <n v="89.99"/>
    <s v="Debit Card"/>
    <s v="Delivered"/>
    <n v="4"/>
    <n v="37"/>
    <s v="Austin"/>
    <s v="Silver"/>
    <s v="Male"/>
    <b v="1"/>
    <x v="12"/>
  </r>
  <r>
    <s v="ORD-20606"/>
    <s v="CUST-5072"/>
    <d v="2024-03-13T00:00:00"/>
    <s v="Home &amp; Kitchen"/>
    <s v="Blender"/>
    <n v="64.989999999999995"/>
    <n v="2"/>
    <n v="5"/>
    <n v="61.74"/>
    <n v="123.48"/>
    <s v="UPI"/>
    <s v="Processing"/>
    <n v="5"/>
    <n v="37"/>
    <s v="Austin"/>
    <s v="Silver"/>
    <s v="Male"/>
    <b v="1"/>
    <x v="1"/>
  </r>
  <r>
    <s v="ORD-20607"/>
    <s v="CUST-5072"/>
    <d v="2023-05-17T00:00:00"/>
    <s v="Beauty"/>
    <s v="Face Serum"/>
    <n v="39.99"/>
    <n v="3"/>
    <n v="5"/>
    <n v="37.99"/>
    <n v="113.97"/>
    <s v="Wallet"/>
    <s v="Delivered"/>
    <n v="5"/>
    <n v="37"/>
    <s v="Austin"/>
    <s v="Silver"/>
    <s v="Male"/>
    <b v="1"/>
    <x v="5"/>
  </r>
  <r>
    <s v="ORD-20608"/>
    <s v="CUST-5072"/>
    <d v="2022-07-08T00:00:00"/>
    <s v="Sports"/>
    <s v="Yoga Mat"/>
    <n v="29.99"/>
    <n v="4"/>
    <n v="15"/>
    <n v="25.49"/>
    <n v="101.96"/>
    <s v="Debit Card"/>
    <s v="Delivered"/>
    <n v="4"/>
    <n v="37"/>
    <s v="Austin"/>
    <s v="Silver"/>
    <s v="Male"/>
    <b v="1"/>
    <x v="33"/>
  </r>
  <r>
    <s v="ORD-20609"/>
    <s v="CUST-5072"/>
    <d v="2024-09-01T00:00:00"/>
    <s v="Electronics"/>
    <s v="Smart Watch"/>
    <n v="199.99"/>
    <n v="4"/>
    <n v="0"/>
    <n v="199.99"/>
    <n v="799.96"/>
    <s v="PayPal"/>
    <s v="Delivered"/>
    <m/>
    <n v="37"/>
    <s v="Austin"/>
    <s v="Silver"/>
    <s v="Male"/>
    <b v="1"/>
    <x v="15"/>
  </r>
  <r>
    <s v="ORD-20610"/>
    <s v="CUST-5073"/>
    <d v="2024-05-21T00:00:00"/>
    <s v="Sports"/>
    <s v="Water Bottle"/>
    <n v="24.99"/>
    <n v="3"/>
    <n v="0"/>
    <n v="24.99"/>
    <n v="74.97"/>
    <s v="Debit Card"/>
    <s v="Delivered"/>
    <m/>
    <n v="43"/>
    <s v="Dallas"/>
    <s v="Free"/>
    <s v="Female"/>
    <b v="1"/>
    <x v="30"/>
  </r>
  <r>
    <s v="ORD-20611"/>
    <s v="CUST-5073"/>
    <d v="2023-09-15T00:00:00"/>
    <s v="Home &amp; Kitchen"/>
    <s v="Coffee Maker"/>
    <n v="59.99"/>
    <n v="3"/>
    <n v="0"/>
    <n v="59.99"/>
    <n v="179.97"/>
    <s v="PayPal"/>
    <s v="Delivered"/>
    <m/>
    <n v="43"/>
    <s v="Dallas"/>
    <s v="Free"/>
    <s v="Female"/>
    <b v="1"/>
    <x v="6"/>
  </r>
  <r>
    <s v="ORD-20612"/>
    <s v="CUST-5073"/>
    <d v="2022-12-26T00:00:00"/>
    <s v="Books"/>
    <s v="Business Analytics"/>
    <n v="39.99"/>
    <n v="3"/>
    <n v="20"/>
    <n v="31.99"/>
    <n v="95.97"/>
    <s v="UPI"/>
    <s v="Delivered"/>
    <n v="4"/>
    <n v="43"/>
    <s v="Dallas"/>
    <s v="Free"/>
    <s v="Female"/>
    <b v="1"/>
    <x v="28"/>
  </r>
  <r>
    <s v="ORD-20613"/>
    <s v="CUST-5073"/>
    <d v="2022-03-02T00:00:00"/>
    <s v="Home &amp; Kitchen"/>
    <s v="Blender"/>
    <n v="64.989999999999995"/>
    <n v="4"/>
    <n v="0"/>
    <n v="64.989999999999995"/>
    <n v="259.95999999999998"/>
    <s v="UPI"/>
    <s v="Delivered"/>
    <m/>
    <n v="43"/>
    <s v="Dallas"/>
    <s v="Free"/>
    <s v="Female"/>
    <b v="1"/>
    <x v="11"/>
  </r>
  <r>
    <s v="ORD-20614"/>
    <s v="CUST-5073"/>
    <d v="2022-04-02T00:00:00"/>
    <s v="Books"/>
    <s v="Data Science Handbook"/>
    <n v="49.99"/>
    <n v="4"/>
    <n v="10"/>
    <n v="44.99"/>
    <n v="179.96"/>
    <s v="PayPal"/>
    <s v="Delivered"/>
    <n v="4"/>
    <n v="43"/>
    <s v="Dallas"/>
    <s v="Free"/>
    <s v="Female"/>
    <b v="1"/>
    <x v="12"/>
  </r>
  <r>
    <s v="ORD-20615"/>
    <s v="CUST-5074"/>
    <d v="2024-05-05T00:00:00"/>
    <s v="Home &amp; Kitchen"/>
    <s v="Coffee Maker"/>
    <n v="59.99"/>
    <n v="3"/>
    <n v="0"/>
    <n v="59.99"/>
    <n v="179.97"/>
    <s v="Credit Card"/>
    <s v="Delivered"/>
    <m/>
    <n v="23"/>
    <s v="Austin"/>
    <s v="Silver"/>
    <s v="Male"/>
    <b v="1"/>
    <x v="30"/>
  </r>
  <r>
    <s v="ORD-20616"/>
    <s v="CUST-5074"/>
    <d v="2024-09-22T00:00:00"/>
    <s v="Toys"/>
    <s v="LEGO Classic Set"/>
    <n v="49.99"/>
    <n v="2"/>
    <n v="0"/>
    <n v="49.99"/>
    <n v="99.98"/>
    <s v="Credit Card"/>
    <s v="Delivered"/>
    <m/>
    <n v="23"/>
    <s v="Austin"/>
    <s v="Silver"/>
    <s v="Male"/>
    <b v="1"/>
    <x v="15"/>
  </r>
  <r>
    <s v="ORD-20617"/>
    <s v="CUST-5074"/>
    <d v="2024-10-04T00:00:00"/>
    <s v="Beauty"/>
    <s v="Hair Mask"/>
    <n v="24.99"/>
    <n v="3"/>
    <n v="15"/>
    <n v="21.24"/>
    <n v="63.72"/>
    <s v="Wallet"/>
    <s v="Delivered"/>
    <n v="4"/>
    <n v="23"/>
    <s v="Austin"/>
    <s v="Silver"/>
    <s v="Male"/>
    <b v="1"/>
    <x v="21"/>
  </r>
  <r>
    <s v="ORD-20618"/>
    <s v="CUST-5074"/>
    <d v="2024-01-28T00:00:00"/>
    <s v="Clothing"/>
    <s v="Cotton T-Shirt"/>
    <n v="24.99"/>
    <n v="2"/>
    <n v="0"/>
    <n v="24.99"/>
    <n v="49.98"/>
    <s v="PayPal"/>
    <s v="Delivered"/>
    <m/>
    <n v="23"/>
    <s v="Austin"/>
    <s v="Silver"/>
    <s v="Male"/>
    <b v="1"/>
    <x v="25"/>
  </r>
  <r>
    <s v="ORD-20619"/>
    <s v="CUST-5075"/>
    <d v="2023-12-26T00:00:00"/>
    <s v="Electronics"/>
    <s v="USB-C Hub"/>
    <n v="34.99"/>
    <n v="2"/>
    <n v="0"/>
    <n v="34.99"/>
    <n v="69.98"/>
    <s v="Credit Card"/>
    <s v="Delivered"/>
    <n v="5"/>
    <n v="33"/>
    <s v="Houston"/>
    <s v="Free"/>
    <s v="Female"/>
    <b v="1"/>
    <x v="14"/>
  </r>
  <r>
    <s v="ORD-20620"/>
    <s v="CUST-5075"/>
    <d v="2023-04-04T00:00:00"/>
    <s v="Clothing"/>
    <s v="Yoga Pants"/>
    <n v="44.99"/>
    <n v="2"/>
    <n v="5"/>
    <n v="42.74"/>
    <n v="85.48"/>
    <s v="UPI"/>
    <s v="Delivered"/>
    <n v="5"/>
    <n v="33"/>
    <s v="Houston"/>
    <s v="Free"/>
    <s v="Female"/>
    <b v="1"/>
    <x v="18"/>
  </r>
  <r>
    <s v="ORD-20621"/>
    <s v="CUST-5075"/>
    <d v="2022-04-02T00:00:00"/>
    <s v="Books"/>
    <s v="Data Science Handbook"/>
    <n v="49.99"/>
    <n v="4"/>
    <n v="0"/>
    <n v="49.99"/>
    <n v="199.96"/>
    <s v="PayPal"/>
    <s v="Delivered"/>
    <n v="4"/>
    <n v="33"/>
    <s v="Houston"/>
    <s v="Free"/>
    <s v="Female"/>
    <b v="1"/>
    <x v="12"/>
  </r>
  <r>
    <s v="ORD-20622"/>
    <s v="CUST-5075"/>
    <d v="2022-10-13T00:00:00"/>
    <s v="Electronics"/>
    <s v="Smart Watch"/>
    <n v="199.99"/>
    <n v="2"/>
    <n v="20"/>
    <n v="159.99"/>
    <n v="319.98"/>
    <s v="Wallet"/>
    <s v="Delivered"/>
    <n v="4"/>
    <n v="33"/>
    <s v="Houston"/>
    <s v="Free"/>
    <s v="Female"/>
    <b v="1"/>
    <x v="20"/>
  </r>
  <r>
    <s v="ORD-20623"/>
    <s v="CUST-5075"/>
    <d v="2023-05-12T00:00:00"/>
    <s v="Clothing"/>
    <s v="Yoga Pants"/>
    <n v="44.99"/>
    <n v="3"/>
    <n v="0"/>
    <n v="44.99"/>
    <n v="134.97"/>
    <s v="Credit Card"/>
    <s v="Delivered"/>
    <n v="3"/>
    <n v="33"/>
    <s v="Houston"/>
    <s v="Free"/>
    <s v="Female"/>
    <b v="1"/>
    <x v="5"/>
  </r>
  <r>
    <s v="ORD-20624"/>
    <s v="CUST-5075"/>
    <d v="2024-06-13T00:00:00"/>
    <s v="Electronics"/>
    <s v="Wireless Earbuds"/>
    <n v="79.989999999999995"/>
    <n v="3"/>
    <n v="20"/>
    <n v="63.99"/>
    <n v="191.97"/>
    <s v="Debit Card"/>
    <s v="Delivered"/>
    <m/>
    <n v="33"/>
    <s v="Houston"/>
    <s v="Free"/>
    <s v="Female"/>
    <b v="1"/>
    <x v="35"/>
  </r>
  <r>
    <s v="ORD-20625"/>
    <s v="CUST-5075"/>
    <d v="2022-06-25T00:00:00"/>
    <s v="Beauty"/>
    <s v="Lip Balm Set"/>
    <n v="14.99"/>
    <n v="3"/>
    <n v="5"/>
    <n v="14.24"/>
    <n v="42.72"/>
    <s v="PayPal"/>
    <s v="Delivered"/>
    <n v="3"/>
    <n v="33"/>
    <s v="Houston"/>
    <s v="Free"/>
    <s v="Female"/>
    <b v="1"/>
    <x v="8"/>
  </r>
  <r>
    <s v="ORD-20626"/>
    <s v="CUST-5075"/>
    <d v="2024-09-02T00:00:00"/>
    <s v="Clothing"/>
    <s v="Yoga Pants"/>
    <n v="44.99"/>
    <n v="2"/>
    <n v="0"/>
    <n v="44.99"/>
    <n v="89.98"/>
    <s v="PayPal"/>
    <s v="Delivered"/>
    <n v="1"/>
    <n v="33"/>
    <s v="Houston"/>
    <s v="Free"/>
    <s v="Female"/>
    <b v="1"/>
    <x v="15"/>
  </r>
  <r>
    <s v="ORD-20627"/>
    <s v="CUST-5076"/>
    <d v="2024-11-23T00:00:00"/>
    <s v="Electronics"/>
    <s v="USB-C Hub"/>
    <n v="34.99"/>
    <n v="4"/>
    <n v="15"/>
    <n v="29.74"/>
    <n v="118.96"/>
    <s v="Wallet"/>
    <s v="Processing"/>
    <n v="4"/>
    <n v="55"/>
    <s v="Dallas"/>
    <s v="Platinum"/>
    <s v="Male"/>
    <b v="1"/>
    <x v="16"/>
  </r>
  <r>
    <s v="ORD-20628"/>
    <s v="CUST-5076"/>
    <d v="2024-06-28T00:00:00"/>
    <s v="Clothing"/>
    <s v="Running Shoes"/>
    <n v="89.99"/>
    <n v="3"/>
    <n v="20"/>
    <n v="71.989999999999995"/>
    <n v="215.97"/>
    <s v="Wallet"/>
    <s v="Cancelled"/>
    <n v="4"/>
    <n v="55"/>
    <s v="Dallas"/>
    <s v="Platinum"/>
    <s v="Male"/>
    <b v="1"/>
    <x v="35"/>
  </r>
  <r>
    <s v="ORD-20629"/>
    <s v="CUST-5076"/>
    <d v="2022-05-05T00:00:00"/>
    <s v="Sports"/>
    <s v="Resistance Bands"/>
    <n v="19.989999999999998"/>
    <n v="3"/>
    <n v="0"/>
    <n v="19.989999999999998"/>
    <n v="59.97"/>
    <s v="Wallet"/>
    <s v="Delivered"/>
    <m/>
    <n v="55"/>
    <s v="Dallas"/>
    <s v="Platinum"/>
    <s v="Male"/>
    <b v="1"/>
    <x v="31"/>
  </r>
  <r>
    <s v="ORD-20630"/>
    <s v="CUST-5077"/>
    <d v="2024-03-15T00:00:00"/>
    <s v="Beauty"/>
    <s v="Lip Balm Set"/>
    <n v="14.99"/>
    <n v="4"/>
    <n v="0"/>
    <n v="14.99"/>
    <n v="59.96"/>
    <s v="Credit Card"/>
    <s v="Processing"/>
    <m/>
    <n v="56"/>
    <s v="Austin"/>
    <s v="Free"/>
    <s v="Male"/>
    <b v="1"/>
    <x v="1"/>
  </r>
  <r>
    <s v="ORD-20631"/>
    <s v="CUST-5077"/>
    <d v="2023-01-17T00:00:00"/>
    <s v="Beauty"/>
    <s v="Moisturizer SPF 50"/>
    <n v="29.99"/>
    <n v="1"/>
    <n v="10"/>
    <n v="26.99"/>
    <n v="26.99"/>
    <s v="PayPal"/>
    <s v="Delivered"/>
    <m/>
    <n v="56"/>
    <s v="Austin"/>
    <s v="Free"/>
    <s v="Male"/>
    <b v="1"/>
    <x v="10"/>
  </r>
  <r>
    <s v="ORD-20632"/>
    <s v="CUST-5077"/>
    <d v="2024-04-02T00:00:00"/>
    <s v="Home &amp; Kitchen"/>
    <s v="Blender"/>
    <n v="64.989999999999995"/>
    <n v="2"/>
    <n v="15"/>
    <n v="55.24"/>
    <n v="110.48"/>
    <s v="UPI"/>
    <s v="Delivered"/>
    <n v="4"/>
    <n v="56"/>
    <s v="Austin"/>
    <s v="Free"/>
    <s v="Male"/>
    <b v="1"/>
    <x v="27"/>
  </r>
  <r>
    <s v="ORD-20633"/>
    <s v="CUST-5077"/>
    <d v="2023-03-11T00:00:00"/>
    <s v="Beauty"/>
    <s v="Lip Balm Set"/>
    <n v="14.99"/>
    <n v="2"/>
    <n v="20"/>
    <n v="11.99"/>
    <n v="23.98"/>
    <s v="Credit Card"/>
    <s v="Delivered"/>
    <m/>
    <n v="56"/>
    <s v="Austin"/>
    <s v="Free"/>
    <s v="Male"/>
    <b v="1"/>
    <x v="23"/>
  </r>
  <r>
    <s v="ORD-20634"/>
    <s v="CUST-5077"/>
    <d v="2022-08-18T00:00:00"/>
    <s v="Sports"/>
    <s v="Jump Rope"/>
    <n v="14.99"/>
    <n v="3"/>
    <n v="5"/>
    <n v="14.24"/>
    <n v="42.72"/>
    <s v="PayPal"/>
    <s v="Delivered"/>
    <n v="4"/>
    <n v="56"/>
    <s v="Austin"/>
    <s v="Free"/>
    <s v="Male"/>
    <b v="1"/>
    <x v="7"/>
  </r>
  <r>
    <s v="ORD-20635"/>
    <s v="CUST-5078"/>
    <d v="2022-03-19T00:00:00"/>
    <s v="Clothing"/>
    <s v="Yoga Pants"/>
    <n v="44.99"/>
    <n v="4"/>
    <n v="5"/>
    <n v="42.74"/>
    <n v="170.96"/>
    <s v="Wallet"/>
    <s v="Delivered"/>
    <n v="3"/>
    <n v="35"/>
    <s v="San Diego"/>
    <s v="Silver"/>
    <s v="Male"/>
    <b v="1"/>
    <x v="11"/>
  </r>
  <r>
    <s v="ORD-20636"/>
    <s v="CUST-5078"/>
    <d v="2024-02-14T00:00:00"/>
    <s v="Books"/>
    <s v="Fiction Novel"/>
    <n v="14.99"/>
    <n v="1"/>
    <n v="5"/>
    <n v="14.24"/>
    <n v="14.24"/>
    <s v="UPI"/>
    <s v="Delivered"/>
    <n v="3"/>
    <n v="35"/>
    <s v="San Diego"/>
    <s v="Silver"/>
    <s v="Male"/>
    <b v="1"/>
    <x v="0"/>
  </r>
  <r>
    <s v="ORD-20637"/>
    <s v="CUST-5078"/>
    <d v="2023-11-03T00:00:00"/>
    <s v="Sports"/>
    <s v="Resistance Bands"/>
    <n v="19.989999999999998"/>
    <n v="3"/>
    <n v="0"/>
    <n v="19.989999999999998"/>
    <n v="59.97"/>
    <s v="PayPal"/>
    <s v="Delivered"/>
    <m/>
    <n v="35"/>
    <s v="San Diego"/>
    <s v="Silver"/>
    <s v="Male"/>
    <b v="1"/>
    <x v="29"/>
  </r>
  <r>
    <s v="ORD-20638"/>
    <s v="CUST-5078"/>
    <d v="2024-07-20T00:00:00"/>
    <s v="Clothing"/>
    <s v="Denim Jacket"/>
    <n v="69.989999999999995"/>
    <n v="3"/>
    <n v="15"/>
    <n v="59.49"/>
    <n v="178.47"/>
    <s v="Credit Card"/>
    <s v="Delivered"/>
    <m/>
    <n v="35"/>
    <s v="San Diego"/>
    <s v="Silver"/>
    <s v="Male"/>
    <b v="1"/>
    <x v="4"/>
  </r>
  <r>
    <s v="ORD-20639"/>
    <s v="CUST-5078"/>
    <d v="2024-04-12T00:00:00"/>
    <s v="Toys"/>
    <s v="Remote Control Car"/>
    <n v="39.99"/>
    <n v="4"/>
    <n v="0"/>
    <n v="39.99"/>
    <n v="159.96"/>
    <s v="UPI"/>
    <s v="Delivered"/>
    <m/>
    <n v="35"/>
    <s v="San Diego"/>
    <s v="Silver"/>
    <s v="Male"/>
    <b v="1"/>
    <x v="27"/>
  </r>
  <r>
    <s v="ORD-20640"/>
    <s v="CUST-5078"/>
    <d v="2023-09-26T00:00:00"/>
    <s v="Clothing"/>
    <s v="Denim Jacket"/>
    <n v="69.989999999999995"/>
    <n v="2"/>
    <n v="0"/>
    <n v="69.989999999999995"/>
    <n v="139.97999999999999"/>
    <s v="Debit Card"/>
    <s v="Delivered"/>
    <n v="4"/>
    <n v="35"/>
    <s v="San Diego"/>
    <s v="Silver"/>
    <s v="Male"/>
    <b v="1"/>
    <x v="6"/>
  </r>
  <r>
    <s v="ORD-20641"/>
    <s v="CUST-5078"/>
    <d v="2023-11-28T00:00:00"/>
    <s v="Clothing"/>
    <s v="Denim Jacket"/>
    <n v="69.989999999999995"/>
    <n v="1"/>
    <n v="5"/>
    <n v="66.489999999999995"/>
    <n v="66.489999999999995"/>
    <s v="PayPal"/>
    <s v="Cancelled"/>
    <m/>
    <n v="35"/>
    <s v="San Diego"/>
    <s v="Silver"/>
    <s v="Male"/>
    <b v="1"/>
    <x v="29"/>
  </r>
  <r>
    <s v="ORD-20642"/>
    <s v="CUST-5078"/>
    <d v="2024-12-19T00:00:00"/>
    <s v="Beauty"/>
    <s v="Face Serum"/>
    <n v="39.99"/>
    <n v="2"/>
    <n v="20"/>
    <n v="31.99"/>
    <n v="63.98"/>
    <s v="Credit Card"/>
    <s v="Delivered"/>
    <n v="5"/>
    <n v="35"/>
    <s v="San Diego"/>
    <s v="Silver"/>
    <s v="Male"/>
    <b v="1"/>
    <x v="32"/>
  </r>
  <r>
    <s v="ORD-20643"/>
    <s v="CUST-5078"/>
    <d v="2023-08-08T00:00:00"/>
    <s v="Beauty"/>
    <s v="Face Serum"/>
    <n v="39.99"/>
    <n v="4"/>
    <n v="0"/>
    <n v="39.99"/>
    <n v="159.96"/>
    <s v="Debit Card"/>
    <s v="Delivered"/>
    <n v="3"/>
    <n v="35"/>
    <s v="San Diego"/>
    <s v="Silver"/>
    <s v="Male"/>
    <b v="1"/>
    <x v="24"/>
  </r>
  <r>
    <s v="ORD-20644"/>
    <s v="CUST-5078"/>
    <d v="2022-03-08T00:00:00"/>
    <s v="Home &amp; Kitchen"/>
    <s v="Air Fryer"/>
    <n v="89.99"/>
    <n v="1"/>
    <n v="15"/>
    <n v="76.489999999999995"/>
    <n v="76.489999999999995"/>
    <s v="Credit Card"/>
    <s v="Delivered"/>
    <n v="3"/>
    <n v="35"/>
    <s v="San Diego"/>
    <s v="Silver"/>
    <s v="Male"/>
    <b v="1"/>
    <x v="11"/>
  </r>
  <r>
    <s v="ORD-20645"/>
    <s v="CUST-5078"/>
    <d v="2022-05-14T00:00:00"/>
    <s v="Electronics"/>
    <s v="Wireless Earbuds"/>
    <n v="79.989999999999995"/>
    <n v="1"/>
    <n v="10"/>
    <n v="71.989999999999995"/>
    <n v="71.989999999999995"/>
    <s v="UPI"/>
    <s v="Delivered"/>
    <n v="4"/>
    <n v="35"/>
    <s v="San Diego"/>
    <s v="Silver"/>
    <s v="Male"/>
    <b v="1"/>
    <x v="31"/>
  </r>
  <r>
    <s v="ORD-20646"/>
    <s v="CUST-5078"/>
    <d v="2024-08-28T00:00:00"/>
    <s v="Toys"/>
    <s v="Remote Control Car"/>
    <n v="39.99"/>
    <n v="2"/>
    <n v="5"/>
    <n v="37.99"/>
    <n v="75.98"/>
    <s v="PayPal"/>
    <s v="Delivered"/>
    <m/>
    <n v="35"/>
    <s v="San Diego"/>
    <s v="Silver"/>
    <s v="Male"/>
    <b v="1"/>
    <x v="26"/>
  </r>
  <r>
    <s v="ORD-20647"/>
    <s v="CUST-5079"/>
    <d v="2023-08-26T00:00:00"/>
    <s v="Books"/>
    <s v="Business Analytics"/>
    <n v="39.99"/>
    <n v="2"/>
    <n v="0"/>
    <n v="39.99"/>
    <n v="79.98"/>
    <s v="Debit Card"/>
    <s v="Delivered"/>
    <n v="5"/>
    <n v="40"/>
    <s v="Chicago"/>
    <s v="Free"/>
    <s v="Male"/>
    <b v="1"/>
    <x v="24"/>
  </r>
  <r>
    <s v="ORD-20648"/>
    <s v="CUST-5079"/>
    <d v="2022-07-28T00:00:00"/>
    <s v="Toys"/>
    <s v="Puzzle 1000pcs"/>
    <n v="24.99"/>
    <n v="4"/>
    <n v="20"/>
    <n v="19.989999999999998"/>
    <n v="79.959999999999994"/>
    <s v="Debit Card"/>
    <s v="Delivered"/>
    <n v="3"/>
    <n v="40"/>
    <s v="Chicago"/>
    <s v="Free"/>
    <s v="Male"/>
    <b v="1"/>
    <x v="33"/>
  </r>
  <r>
    <s v="ORD-20649"/>
    <s v="CUST-5079"/>
    <d v="2023-02-04T00:00:00"/>
    <s v="Sports"/>
    <s v="Jump Rope"/>
    <n v="14.99"/>
    <n v="4"/>
    <n v="0"/>
    <n v="14.99"/>
    <n v="59.96"/>
    <s v="Credit Card"/>
    <s v="Delivered"/>
    <n v="5"/>
    <n v="40"/>
    <s v="Chicago"/>
    <s v="Free"/>
    <s v="Male"/>
    <b v="1"/>
    <x v="34"/>
  </r>
  <r>
    <s v="ORD-20650"/>
    <s v="CUST-5079"/>
    <d v="2022-01-24T00:00:00"/>
    <s v="Clothing"/>
    <s v="Denim Jacket"/>
    <n v="69.989999999999995"/>
    <n v="2"/>
    <n v="0"/>
    <n v="69.989999999999995"/>
    <n v="139.97999999999999"/>
    <s v="Wallet"/>
    <s v="Delivered"/>
    <m/>
    <n v="40"/>
    <s v="Chicago"/>
    <s v="Free"/>
    <s v="Male"/>
    <b v="1"/>
    <x v="2"/>
  </r>
  <r>
    <s v="ORD-20651"/>
    <s v="CUST-5079"/>
    <d v="2024-12-12T00:00:00"/>
    <s v="Home &amp; Kitchen"/>
    <s v="Coffee Maker"/>
    <n v="59.99"/>
    <n v="4"/>
    <n v="0"/>
    <n v="59.99"/>
    <n v="239.96"/>
    <s v="Wallet"/>
    <s v="Delivered"/>
    <n v="4"/>
    <n v="40"/>
    <s v="Chicago"/>
    <s v="Free"/>
    <s v="Male"/>
    <b v="1"/>
    <x v="32"/>
  </r>
  <r>
    <s v="ORD-20652"/>
    <s v="CUST-5079"/>
    <d v="2023-08-03T00:00:00"/>
    <s v="Clothing"/>
    <s v="Denim Jacket"/>
    <n v="69.989999999999995"/>
    <n v="2"/>
    <n v="5"/>
    <n v="66.489999999999995"/>
    <n v="132.97999999999999"/>
    <s v="PayPal"/>
    <s v="Delivered"/>
    <m/>
    <n v="40"/>
    <s v="Chicago"/>
    <s v="Free"/>
    <s v="Male"/>
    <b v="1"/>
    <x v="24"/>
  </r>
  <r>
    <s v="ORD-20653"/>
    <s v="CUST-5079"/>
    <d v="2024-11-01T00:00:00"/>
    <s v="Sports"/>
    <s v="Water Bottle"/>
    <n v="24.99"/>
    <n v="3"/>
    <n v="10"/>
    <n v="22.49"/>
    <n v="67.47"/>
    <s v="UPI"/>
    <s v="Delivered"/>
    <n v="4"/>
    <n v="40"/>
    <s v="Chicago"/>
    <s v="Free"/>
    <s v="Male"/>
    <b v="1"/>
    <x v="16"/>
  </r>
  <r>
    <s v="ORD-20654"/>
    <s v="CUST-5080"/>
    <d v="2022-04-21T00:00:00"/>
    <s v="Beauty"/>
    <s v="Lip Balm Set"/>
    <n v="14.99"/>
    <n v="4"/>
    <n v="10"/>
    <n v="13.49"/>
    <n v="53.96"/>
    <s v="UPI"/>
    <s v="Delivered"/>
    <m/>
    <n v="55"/>
    <s v="San Antonio"/>
    <s v="Gold"/>
    <s v="Male"/>
    <b v="1"/>
    <x v="12"/>
  </r>
  <r>
    <s v="ORD-20655"/>
    <s v="CUST-5080"/>
    <d v="2022-12-06T00:00:00"/>
    <s v="Clothing"/>
    <s v="Yoga Pants"/>
    <n v="44.99"/>
    <n v="2"/>
    <n v="5"/>
    <n v="42.74"/>
    <n v="85.48"/>
    <s v="Wallet"/>
    <s v="Processing"/>
    <n v="4"/>
    <n v="55"/>
    <s v="San Antonio"/>
    <s v="Gold"/>
    <s v="Male"/>
    <b v="1"/>
    <x v="28"/>
  </r>
  <r>
    <s v="ORD-20656"/>
    <s v="CUST-5080"/>
    <d v="2024-10-05T00:00:00"/>
    <s v="Home &amp; Kitchen"/>
    <s v="Air Fryer"/>
    <n v="89.99"/>
    <n v="3"/>
    <n v="20"/>
    <n v="71.989999999999995"/>
    <n v="215.97"/>
    <s v="UPI"/>
    <s v="Delivered"/>
    <n v="3"/>
    <n v="55"/>
    <s v="San Antonio"/>
    <s v="Gold"/>
    <s v="Male"/>
    <b v="1"/>
    <x v="21"/>
  </r>
  <r>
    <s v="ORD-20657"/>
    <s v="CUST-5080"/>
    <d v="2023-06-27T00:00:00"/>
    <s v="Beauty"/>
    <s v="Moisturizer SPF 50"/>
    <n v="29.99"/>
    <n v="1"/>
    <n v="10"/>
    <n v="26.99"/>
    <n v="26.99"/>
    <s v="Debit Card"/>
    <s v="Delivered"/>
    <n v="4"/>
    <n v="55"/>
    <s v="San Antonio"/>
    <s v="Gold"/>
    <s v="Male"/>
    <b v="1"/>
    <x v="19"/>
  </r>
  <r>
    <s v="ORD-20658"/>
    <s v="CUST-5080"/>
    <d v="2022-09-21T00:00:00"/>
    <s v="Clothing"/>
    <s v="Cotton T-Shirt"/>
    <n v="24.99"/>
    <n v="1"/>
    <n v="20"/>
    <n v="19.989999999999998"/>
    <n v="19.989999999999998"/>
    <s v="PayPal"/>
    <s v="Delivered"/>
    <n v="5"/>
    <n v="55"/>
    <s v="San Antonio"/>
    <s v="Gold"/>
    <s v="Male"/>
    <b v="1"/>
    <x v="22"/>
  </r>
  <r>
    <s v="ORD-20659"/>
    <s v="CUST-5081"/>
    <d v="2023-03-21T00:00:00"/>
    <s v="Sports"/>
    <s v="Water Bottle"/>
    <n v="24.99"/>
    <n v="2"/>
    <n v="20"/>
    <n v="19.989999999999998"/>
    <n v="39.979999999999997"/>
    <s v="Wallet"/>
    <s v="Delivered"/>
    <n v="5"/>
    <n v="28"/>
    <s v="Dallas"/>
    <s v="Free"/>
    <s v="Male"/>
    <b v="1"/>
    <x v="23"/>
  </r>
  <r>
    <s v="ORD-20660"/>
    <s v="CUST-5081"/>
    <d v="2024-12-20T00:00:00"/>
    <s v="Clothing"/>
    <s v="Yoga Pants"/>
    <n v="44.99"/>
    <n v="2"/>
    <n v="0"/>
    <n v="44.99"/>
    <n v="89.98"/>
    <s v="UPI"/>
    <s v="Delivered"/>
    <n v="5"/>
    <n v="28"/>
    <s v="Dallas"/>
    <s v="Free"/>
    <s v="Male"/>
    <b v="1"/>
    <x v="32"/>
  </r>
  <r>
    <s v="ORD-20661"/>
    <s v="CUST-5081"/>
    <d v="2024-05-06T00:00:00"/>
    <s v="Electronics"/>
    <s v="Smart Watch"/>
    <n v="199.99"/>
    <n v="4"/>
    <n v="0"/>
    <n v="199.99"/>
    <n v="799.96"/>
    <s v="UPI"/>
    <s v="Delivered"/>
    <n v="5"/>
    <n v="28"/>
    <s v="Dallas"/>
    <s v="Free"/>
    <s v="Male"/>
    <b v="1"/>
    <x v="30"/>
  </r>
  <r>
    <s v="ORD-20662"/>
    <s v="CUST-5081"/>
    <d v="2023-07-23T00:00:00"/>
    <s v="Toys"/>
    <s v="Action Figure"/>
    <n v="19.989999999999998"/>
    <n v="2"/>
    <n v="0"/>
    <n v="19.989999999999998"/>
    <n v="39.979999999999997"/>
    <s v="PayPal"/>
    <s v="Shipped"/>
    <n v="5"/>
    <n v="28"/>
    <s v="Dallas"/>
    <s v="Free"/>
    <s v="Male"/>
    <b v="1"/>
    <x v="9"/>
  </r>
  <r>
    <s v="ORD-20663"/>
    <s v="CUST-5081"/>
    <d v="2022-05-04T00:00:00"/>
    <s v="Home &amp; Kitchen"/>
    <s v="Blender"/>
    <n v="64.989999999999995"/>
    <n v="2"/>
    <n v="15"/>
    <n v="55.24"/>
    <n v="110.48"/>
    <s v="UPI"/>
    <s v="Delivered"/>
    <n v="4"/>
    <n v="28"/>
    <s v="Dallas"/>
    <s v="Free"/>
    <s v="Male"/>
    <b v="1"/>
    <x v="31"/>
  </r>
  <r>
    <s v="ORD-20664"/>
    <s v="CUST-5081"/>
    <d v="2022-05-23T00:00:00"/>
    <s v="Home &amp; Kitchen"/>
    <s v="Coffee Maker"/>
    <n v="59.99"/>
    <n v="1"/>
    <n v="20"/>
    <n v="47.99"/>
    <n v="47.99"/>
    <s v="Credit Card"/>
    <s v="Delivered"/>
    <n v="2"/>
    <n v="28"/>
    <s v="Dallas"/>
    <s v="Free"/>
    <s v="Male"/>
    <b v="1"/>
    <x v="31"/>
  </r>
  <r>
    <s v="ORD-20665"/>
    <s v="CUST-5081"/>
    <d v="2024-02-23T00:00:00"/>
    <s v="Books"/>
    <s v="Python for Beginners"/>
    <n v="29.99"/>
    <n v="3"/>
    <n v="0"/>
    <n v="29.99"/>
    <n v="89.97"/>
    <s v="PayPal"/>
    <s v="Delivered"/>
    <m/>
    <n v="28"/>
    <s v="Dallas"/>
    <s v="Free"/>
    <s v="Male"/>
    <b v="1"/>
    <x v="0"/>
  </r>
  <r>
    <s v="ORD-20666"/>
    <s v="CUST-5081"/>
    <d v="2022-06-27T00:00:00"/>
    <s v="Home &amp; Kitchen"/>
    <s v="Blender"/>
    <n v="64.989999999999995"/>
    <n v="2"/>
    <n v="0"/>
    <n v="64.989999999999995"/>
    <n v="129.97999999999999"/>
    <s v="UPI"/>
    <s v="Delivered"/>
    <m/>
    <n v="28"/>
    <s v="Dallas"/>
    <s v="Free"/>
    <s v="Male"/>
    <b v="1"/>
    <x v="8"/>
  </r>
  <r>
    <s v="ORD-20667"/>
    <s v="CUST-5081"/>
    <d v="2024-03-27T00:00:00"/>
    <s v="Beauty"/>
    <s v="Lip Balm Set"/>
    <n v="14.99"/>
    <n v="2"/>
    <n v="0"/>
    <n v="14.99"/>
    <n v="29.98"/>
    <s v="Debit Card"/>
    <s v="Delivered"/>
    <n v="3"/>
    <n v="28"/>
    <s v="Dallas"/>
    <s v="Free"/>
    <s v="Male"/>
    <b v="1"/>
    <x v="1"/>
  </r>
  <r>
    <s v="ORD-20668"/>
    <s v="CUST-5081"/>
    <d v="2023-07-14T00:00:00"/>
    <s v="Toys"/>
    <s v="Remote Control Car"/>
    <n v="39.99"/>
    <n v="4"/>
    <n v="0"/>
    <n v="39.99"/>
    <n v="159.96"/>
    <s v="Debit Card"/>
    <s v="Delivered"/>
    <n v="5"/>
    <n v="28"/>
    <s v="Dallas"/>
    <s v="Free"/>
    <s v="Male"/>
    <b v="1"/>
    <x v="9"/>
  </r>
  <r>
    <s v="ORD-20669"/>
    <s v="CUST-5081"/>
    <d v="2023-03-06T00:00:00"/>
    <s v="Sports"/>
    <s v="Resistance Bands"/>
    <n v="19.989999999999998"/>
    <n v="2"/>
    <n v="20"/>
    <n v="15.99"/>
    <n v="31.98"/>
    <s v="Wallet"/>
    <s v="Delivered"/>
    <m/>
    <n v="28"/>
    <s v="Dallas"/>
    <s v="Free"/>
    <s v="Male"/>
    <b v="1"/>
    <x v="23"/>
  </r>
  <r>
    <s v="ORD-20670"/>
    <s v="CUST-5081"/>
    <d v="2022-04-05T00:00:00"/>
    <s v="Books"/>
    <s v="Python for Beginners"/>
    <n v="29.99"/>
    <n v="2"/>
    <n v="10"/>
    <n v="26.99"/>
    <n v="53.98"/>
    <s v="Debit Card"/>
    <s v="Delivered"/>
    <m/>
    <n v="28"/>
    <s v="Dallas"/>
    <s v="Free"/>
    <s v="Male"/>
    <b v="1"/>
    <x v="12"/>
  </r>
  <r>
    <s v="ORD-20671"/>
    <s v="CUST-5081"/>
    <d v="2023-06-10T00:00:00"/>
    <s v="Home &amp; Kitchen"/>
    <s v="Non-stick Pan Set"/>
    <n v="44.99"/>
    <n v="2"/>
    <n v="5"/>
    <n v="42.74"/>
    <n v="85.48"/>
    <s v="PayPal"/>
    <s v="Delivered"/>
    <n v="3"/>
    <n v="28"/>
    <s v="Dallas"/>
    <s v="Free"/>
    <s v="Male"/>
    <b v="1"/>
    <x v="19"/>
  </r>
  <r>
    <s v="ORD-20672"/>
    <s v="CUST-5081"/>
    <d v="2024-02-22T00:00:00"/>
    <s v="Clothing"/>
    <s v="Cotton T-Shirt"/>
    <n v="24.99"/>
    <n v="4"/>
    <n v="5"/>
    <n v="23.74"/>
    <n v="94.96"/>
    <s v="Debit Card"/>
    <s v="Delivered"/>
    <m/>
    <n v="28"/>
    <s v="Dallas"/>
    <s v="Free"/>
    <s v="Male"/>
    <b v="1"/>
    <x v="0"/>
  </r>
  <r>
    <s v="ORD-20673"/>
    <s v="CUST-5082"/>
    <d v="2024-02-19T00:00:00"/>
    <s v="Sports"/>
    <s v="Resistance Bands"/>
    <n v="19.989999999999998"/>
    <n v="4"/>
    <n v="5"/>
    <n v="18.989999999999998"/>
    <n v="75.959999999999994"/>
    <s v="Credit Card"/>
    <s v="Delivered"/>
    <n v="3"/>
    <n v="58"/>
    <s v="Chicago"/>
    <s v="Free"/>
    <s v="Male"/>
    <b v="1"/>
    <x v="0"/>
  </r>
  <r>
    <s v="ORD-20674"/>
    <s v="CUST-5082"/>
    <d v="2024-02-11T00:00:00"/>
    <s v="Beauty"/>
    <s v="Face Serum"/>
    <n v="39.99"/>
    <n v="1"/>
    <n v="20"/>
    <n v="31.99"/>
    <n v="31.99"/>
    <s v="Debit Card"/>
    <s v="Delivered"/>
    <m/>
    <n v="58"/>
    <s v="Chicago"/>
    <s v="Free"/>
    <s v="Male"/>
    <b v="1"/>
    <x v="0"/>
  </r>
  <r>
    <s v="ORD-20675"/>
    <s v="CUST-5082"/>
    <d v="2022-07-05T00:00:00"/>
    <s v="Toys"/>
    <s v="Puzzle 1000pcs"/>
    <n v="24.99"/>
    <n v="4"/>
    <n v="0"/>
    <n v="24.99"/>
    <n v="99.96"/>
    <s v="Credit Card"/>
    <s v="Shipped"/>
    <n v="4"/>
    <n v="58"/>
    <s v="Chicago"/>
    <s v="Free"/>
    <s v="Male"/>
    <b v="1"/>
    <x v="33"/>
  </r>
  <r>
    <s v="ORD-20676"/>
    <s v="CUST-5083"/>
    <d v="2023-10-19T00:00:00"/>
    <s v="Beauty"/>
    <s v="Face Serum"/>
    <n v="39.99"/>
    <n v="1"/>
    <n v="0"/>
    <n v="39.99"/>
    <n v="39.99"/>
    <s v="UPI"/>
    <s v="Returned"/>
    <m/>
    <n v="48"/>
    <s v="New York"/>
    <s v="Silver"/>
    <s v="Male"/>
    <b v="1"/>
    <x v="13"/>
  </r>
  <r>
    <s v="ORD-20677"/>
    <s v="CUST-5083"/>
    <d v="2023-08-15T00:00:00"/>
    <s v="Books"/>
    <s v="Fiction Novel"/>
    <n v="14.99"/>
    <n v="2"/>
    <n v="5"/>
    <n v="14.24"/>
    <n v="28.48"/>
    <s v="UPI"/>
    <s v="Delivered"/>
    <m/>
    <n v="48"/>
    <s v="New York"/>
    <s v="Silver"/>
    <s v="Male"/>
    <b v="1"/>
    <x v="24"/>
  </r>
  <r>
    <s v="ORD-20678"/>
    <s v="CUST-5083"/>
    <d v="2023-01-15T00:00:00"/>
    <s v="Clothing"/>
    <s v="Denim Jacket"/>
    <n v="69.989999999999995"/>
    <n v="4"/>
    <n v="0"/>
    <n v="69.989999999999995"/>
    <n v="279.95999999999998"/>
    <s v="Debit Card"/>
    <s v="Delivered"/>
    <n v="5"/>
    <n v="48"/>
    <s v="New York"/>
    <s v="Silver"/>
    <s v="Male"/>
    <b v="1"/>
    <x v="10"/>
  </r>
  <r>
    <s v="ORD-20679"/>
    <s v="CUST-5084"/>
    <d v="2023-08-26T00:00:00"/>
    <s v="Electronics"/>
    <s v="Smart Watch"/>
    <n v="199.99"/>
    <n v="3"/>
    <n v="20"/>
    <n v="159.99"/>
    <n v="479.97"/>
    <s v="Wallet"/>
    <s v="Delivered"/>
    <n v="5"/>
    <n v="24"/>
    <s v="Chicago"/>
    <s v="Platinum"/>
    <s v="Male"/>
    <b v="1"/>
    <x v="24"/>
  </r>
  <r>
    <s v="ORD-20680"/>
    <s v="CUST-5084"/>
    <d v="2024-07-22T00:00:00"/>
    <s v="Home &amp; Kitchen"/>
    <s v="Blender"/>
    <n v="64.989999999999995"/>
    <n v="2"/>
    <n v="0"/>
    <n v="64.989999999999995"/>
    <n v="129.97999999999999"/>
    <s v="Debit Card"/>
    <s v="Delivered"/>
    <m/>
    <n v="24"/>
    <s v="Chicago"/>
    <s v="Platinum"/>
    <s v="Male"/>
    <b v="1"/>
    <x v="4"/>
  </r>
  <r>
    <s v="ORD-20681"/>
    <s v="CUST-5084"/>
    <d v="2023-09-23T00:00:00"/>
    <s v="Sports"/>
    <s v="Resistance Bands"/>
    <n v="19.989999999999998"/>
    <n v="3"/>
    <n v="0"/>
    <n v="19.989999999999998"/>
    <n v="59.97"/>
    <s v="PayPal"/>
    <s v="Delivered"/>
    <m/>
    <n v="24"/>
    <s v="Chicago"/>
    <s v="Platinum"/>
    <s v="Male"/>
    <b v="1"/>
    <x v="6"/>
  </r>
  <r>
    <s v="ORD-20682"/>
    <s v="CUST-5084"/>
    <d v="2024-01-02T00:00:00"/>
    <s v="Books"/>
    <s v="Business Analytics"/>
    <n v="39.99"/>
    <n v="4"/>
    <n v="15"/>
    <n v="33.99"/>
    <n v="135.96"/>
    <s v="PayPal"/>
    <s v="Delivered"/>
    <n v="3"/>
    <n v="24"/>
    <s v="Chicago"/>
    <s v="Platinum"/>
    <s v="Male"/>
    <b v="1"/>
    <x v="25"/>
  </r>
  <r>
    <s v="ORD-20683"/>
    <s v="CUST-5084"/>
    <d v="2024-01-21T00:00:00"/>
    <s v="Sports"/>
    <s v="Water Bottle"/>
    <n v="24.99"/>
    <n v="4"/>
    <n v="20"/>
    <n v="19.989999999999998"/>
    <n v="79.959999999999994"/>
    <s v="Debit Card"/>
    <s v="Delivered"/>
    <n v="5"/>
    <n v="24"/>
    <s v="Chicago"/>
    <s v="Platinum"/>
    <s v="Male"/>
    <b v="1"/>
    <x v="25"/>
  </r>
  <r>
    <s v="ORD-20684"/>
    <s v="CUST-5084"/>
    <d v="2022-03-23T00:00:00"/>
    <s v="Electronics"/>
    <s v="Bluetooth Speaker"/>
    <n v="49.99"/>
    <n v="3"/>
    <n v="5"/>
    <n v="47.49"/>
    <n v="142.47"/>
    <s v="PayPal"/>
    <s v="Delivered"/>
    <m/>
    <n v="24"/>
    <s v="Chicago"/>
    <s v="Platinum"/>
    <s v="Male"/>
    <b v="1"/>
    <x v="11"/>
  </r>
  <r>
    <s v="ORD-20685"/>
    <s v="CUST-5084"/>
    <d v="2023-07-02T00:00:00"/>
    <s v="Clothing"/>
    <s v="Yoga Pants"/>
    <n v="44.99"/>
    <n v="1"/>
    <n v="20"/>
    <n v="35.99"/>
    <n v="35.99"/>
    <s v="Credit Card"/>
    <s v="Delivered"/>
    <m/>
    <n v="24"/>
    <s v="Chicago"/>
    <s v="Platinum"/>
    <s v="Male"/>
    <b v="1"/>
    <x v="9"/>
  </r>
  <r>
    <s v="ORD-20686"/>
    <s v="CUST-5084"/>
    <d v="2022-09-05T00:00:00"/>
    <s v="Sports"/>
    <s v="Yoga Mat"/>
    <n v="29.99"/>
    <n v="1"/>
    <n v="5"/>
    <n v="28.49"/>
    <n v="28.49"/>
    <s v="PayPal"/>
    <s v="Cancelled"/>
    <n v="4"/>
    <n v="24"/>
    <s v="Chicago"/>
    <s v="Platinum"/>
    <s v="Male"/>
    <b v="1"/>
    <x v="22"/>
  </r>
  <r>
    <s v="ORD-20687"/>
    <s v="CUST-5084"/>
    <d v="2022-08-06T00:00:00"/>
    <s v="Beauty"/>
    <s v="Moisturizer SPF 50"/>
    <n v="29.99"/>
    <n v="2"/>
    <n v="15"/>
    <n v="25.49"/>
    <n v="50.98"/>
    <s v="Credit Card"/>
    <s v="Delivered"/>
    <n v="2"/>
    <n v="24"/>
    <s v="Chicago"/>
    <s v="Platinum"/>
    <s v="Male"/>
    <b v="1"/>
    <x v="7"/>
  </r>
  <r>
    <s v="ORD-20688"/>
    <s v="CUST-5084"/>
    <d v="2023-08-01T00:00:00"/>
    <s v="Sports"/>
    <s v="Jump Rope"/>
    <n v="14.99"/>
    <n v="2"/>
    <n v="0"/>
    <n v="14.99"/>
    <n v="29.98"/>
    <s v="UPI"/>
    <s v="Delivered"/>
    <m/>
    <n v="24"/>
    <s v="Chicago"/>
    <s v="Platinum"/>
    <s v="Male"/>
    <b v="1"/>
    <x v="24"/>
  </r>
  <r>
    <s v="ORD-20689"/>
    <s v="CUST-5084"/>
    <d v="2023-02-16T00:00:00"/>
    <s v="Books"/>
    <s v="Python for Beginners"/>
    <n v="29.99"/>
    <n v="2"/>
    <n v="0"/>
    <n v="29.99"/>
    <n v="59.98"/>
    <s v="Wallet"/>
    <s v="Delivered"/>
    <n v="4"/>
    <n v="24"/>
    <s v="Chicago"/>
    <s v="Platinum"/>
    <s v="Male"/>
    <b v="1"/>
    <x v="34"/>
  </r>
  <r>
    <s v="ORD-20690"/>
    <s v="CUST-5085"/>
    <d v="2022-05-06T00:00:00"/>
    <s v="Books"/>
    <s v="Business Analytics"/>
    <n v="39.99"/>
    <n v="2"/>
    <n v="10"/>
    <n v="35.99"/>
    <n v="71.98"/>
    <s v="PayPal"/>
    <s v="Delivered"/>
    <m/>
    <n v="18"/>
    <s v="Los Angeles"/>
    <s v="Free"/>
    <s v="Male"/>
    <b v="1"/>
    <x v="31"/>
  </r>
  <r>
    <s v="ORD-20691"/>
    <s v="CUST-5085"/>
    <d v="2023-03-26T00:00:00"/>
    <s v="Books"/>
    <s v="Data Science Handbook"/>
    <n v="49.99"/>
    <n v="4"/>
    <n v="0"/>
    <n v="49.99"/>
    <n v="199.96"/>
    <s v="Credit Card"/>
    <s v="Delivered"/>
    <n v="5"/>
    <n v="18"/>
    <s v="Los Angeles"/>
    <s v="Free"/>
    <s v="Male"/>
    <b v="1"/>
    <x v="23"/>
  </r>
  <r>
    <s v="ORD-20692"/>
    <s v="CUST-5085"/>
    <d v="2023-06-09T00:00:00"/>
    <s v="Home &amp; Kitchen"/>
    <s v="Blender"/>
    <n v="64.989999999999995"/>
    <n v="4"/>
    <n v="20"/>
    <n v="51.99"/>
    <n v="207.96"/>
    <s v="Wallet"/>
    <s v="Delivered"/>
    <n v="5"/>
    <n v="18"/>
    <s v="Los Angeles"/>
    <s v="Free"/>
    <s v="Male"/>
    <b v="1"/>
    <x v="19"/>
  </r>
  <r>
    <s v="ORD-20693"/>
    <s v="CUST-5085"/>
    <d v="2023-03-12T00:00:00"/>
    <s v="Home &amp; Kitchen"/>
    <s v="Blender"/>
    <n v="64.989999999999995"/>
    <n v="2"/>
    <n v="10"/>
    <n v="58.49"/>
    <n v="116.98"/>
    <s v="PayPal"/>
    <s v="Delivered"/>
    <n v="5"/>
    <n v="18"/>
    <s v="Los Angeles"/>
    <s v="Free"/>
    <s v="Male"/>
    <b v="1"/>
    <x v="23"/>
  </r>
  <r>
    <s v="ORD-20694"/>
    <s v="CUST-5085"/>
    <d v="2022-12-12T00:00:00"/>
    <s v="Electronics"/>
    <s v="USB-C Hub"/>
    <n v="34.99"/>
    <n v="2"/>
    <n v="0"/>
    <n v="34.99"/>
    <n v="69.98"/>
    <s v="Wallet"/>
    <s v="Delivered"/>
    <n v="5"/>
    <n v="18"/>
    <s v="Los Angeles"/>
    <s v="Free"/>
    <s v="Male"/>
    <b v="1"/>
    <x v="28"/>
  </r>
  <r>
    <s v="ORD-20695"/>
    <s v="CUST-5085"/>
    <d v="2022-05-26T00:00:00"/>
    <s v="Beauty"/>
    <s v="Lip Balm Set"/>
    <n v="14.99"/>
    <n v="1"/>
    <n v="0"/>
    <n v="14.99"/>
    <n v="14.99"/>
    <s v="Debit Card"/>
    <s v="Shipped"/>
    <m/>
    <n v="18"/>
    <s v="Los Angeles"/>
    <s v="Free"/>
    <s v="Male"/>
    <b v="1"/>
    <x v="31"/>
  </r>
  <r>
    <s v="ORD-20696"/>
    <s v="CUST-5085"/>
    <d v="2023-02-14T00:00:00"/>
    <s v="Electronics"/>
    <s v="Wireless Earbuds"/>
    <n v="79.989999999999995"/>
    <n v="3"/>
    <n v="0"/>
    <n v="79.989999999999995"/>
    <n v="239.97"/>
    <s v="UPI"/>
    <s v="Delivered"/>
    <n v="4"/>
    <n v="18"/>
    <s v="Los Angeles"/>
    <s v="Free"/>
    <s v="Male"/>
    <b v="1"/>
    <x v="34"/>
  </r>
  <r>
    <s v="ORD-20697"/>
    <s v="CUST-5086"/>
    <d v="2024-12-20T00:00:00"/>
    <s v="Home &amp; Kitchen"/>
    <s v="Non-stick Pan Set"/>
    <n v="44.99"/>
    <n v="2"/>
    <n v="20"/>
    <n v="35.99"/>
    <n v="71.98"/>
    <s v="UPI"/>
    <s v="Delivered"/>
    <n v="3"/>
    <n v="34"/>
    <s v="San Diego"/>
    <s v="Free"/>
    <s v="Female"/>
    <b v="1"/>
    <x v="32"/>
  </r>
  <r>
    <s v="ORD-20698"/>
    <s v="CUST-5086"/>
    <d v="2024-10-12T00:00:00"/>
    <s v="Electronics"/>
    <s v="Bluetooth Speaker"/>
    <n v="49.99"/>
    <n v="1"/>
    <n v="0"/>
    <n v="49.99"/>
    <n v="49.99"/>
    <s v="PayPal"/>
    <s v="Shipped"/>
    <m/>
    <n v="34"/>
    <s v="San Diego"/>
    <s v="Free"/>
    <s v="Female"/>
    <b v="1"/>
    <x v="21"/>
  </r>
  <r>
    <s v="ORD-20699"/>
    <s v="CUST-5086"/>
    <d v="2023-03-18T00:00:00"/>
    <s v="Electronics"/>
    <s v="Wireless Earbuds"/>
    <n v="79.989999999999995"/>
    <n v="3"/>
    <n v="0"/>
    <n v="79.989999999999995"/>
    <n v="239.97"/>
    <s v="Debit Card"/>
    <s v="Delivered"/>
    <n v="3"/>
    <n v="34"/>
    <s v="San Diego"/>
    <s v="Free"/>
    <s v="Female"/>
    <b v="1"/>
    <x v="23"/>
  </r>
  <r>
    <s v="ORD-20700"/>
    <s v="CUST-5086"/>
    <d v="2022-02-27T00:00:00"/>
    <s v="Home &amp; Kitchen"/>
    <s v="Blender"/>
    <n v="64.989999999999995"/>
    <n v="3"/>
    <n v="0"/>
    <n v="64.989999999999995"/>
    <n v="194.97"/>
    <s v="Credit Card"/>
    <s v="Delivered"/>
    <m/>
    <n v="34"/>
    <s v="San Diego"/>
    <s v="Free"/>
    <s v="Female"/>
    <b v="1"/>
    <x v="17"/>
  </r>
  <r>
    <s v="ORD-20701"/>
    <s v="CUST-5086"/>
    <d v="2024-11-04T00:00:00"/>
    <s v="Electronics"/>
    <s v="Smart Watch"/>
    <n v="199.99"/>
    <n v="3"/>
    <n v="0"/>
    <n v="199.99"/>
    <n v="599.97"/>
    <s v="Wallet"/>
    <s v="Delivered"/>
    <n v="4"/>
    <n v="34"/>
    <s v="San Diego"/>
    <s v="Free"/>
    <s v="Female"/>
    <b v="1"/>
    <x v="16"/>
  </r>
  <r>
    <s v="ORD-20702"/>
    <s v="CUST-5086"/>
    <d v="2023-12-04T00:00:00"/>
    <s v="Clothing"/>
    <s v="Denim Jacket"/>
    <n v="69.989999999999995"/>
    <n v="1"/>
    <n v="0"/>
    <n v="69.989999999999995"/>
    <n v="69.989999999999995"/>
    <s v="Wallet"/>
    <s v="Delivered"/>
    <n v="4"/>
    <n v="34"/>
    <s v="San Diego"/>
    <s v="Free"/>
    <s v="Female"/>
    <b v="1"/>
    <x v="14"/>
  </r>
  <r>
    <s v="ORD-20703"/>
    <s v="CUST-5086"/>
    <d v="2024-05-09T00:00:00"/>
    <s v="Sports"/>
    <s v="Resistance Bands"/>
    <n v="19.989999999999998"/>
    <n v="1"/>
    <n v="0"/>
    <n v="19.989999999999998"/>
    <n v="19.989999999999998"/>
    <s v="Credit Card"/>
    <s v="Delivered"/>
    <m/>
    <n v="34"/>
    <s v="San Diego"/>
    <s v="Free"/>
    <s v="Female"/>
    <b v="1"/>
    <x v="30"/>
  </r>
  <r>
    <s v="ORD-20704"/>
    <s v="CUST-5086"/>
    <d v="2023-06-25T00:00:00"/>
    <s v="Beauty"/>
    <s v="Hair Mask"/>
    <n v="24.99"/>
    <n v="4"/>
    <n v="10"/>
    <n v="22.49"/>
    <n v="89.96"/>
    <s v="Wallet"/>
    <s v="Delivered"/>
    <n v="5"/>
    <n v="34"/>
    <s v="San Diego"/>
    <s v="Free"/>
    <s v="Female"/>
    <b v="1"/>
    <x v="19"/>
  </r>
  <r>
    <s v="ORD-20705"/>
    <s v="CUST-5086"/>
    <d v="2024-04-20T00:00:00"/>
    <s v="Home &amp; Kitchen"/>
    <s v="Non-stick Pan Set"/>
    <n v="44.99"/>
    <n v="2"/>
    <n v="0"/>
    <n v="44.99"/>
    <n v="89.98"/>
    <s v="Debit Card"/>
    <s v="Delivered"/>
    <n v="5"/>
    <n v="34"/>
    <s v="San Diego"/>
    <s v="Free"/>
    <s v="Female"/>
    <b v="1"/>
    <x v="27"/>
  </r>
  <r>
    <s v="ORD-20706"/>
    <s v="CUST-5086"/>
    <d v="2024-04-13T00:00:00"/>
    <s v="Electronics"/>
    <s v="Bluetooth Speaker"/>
    <n v="49.99"/>
    <n v="4"/>
    <n v="0"/>
    <n v="49.99"/>
    <n v="199.96"/>
    <s v="PayPal"/>
    <s v="Delivered"/>
    <n v="5"/>
    <n v="34"/>
    <s v="San Diego"/>
    <s v="Free"/>
    <s v="Female"/>
    <b v="1"/>
    <x v="27"/>
  </r>
  <r>
    <s v="ORD-20707"/>
    <s v="CUST-5086"/>
    <d v="2024-08-22T00:00:00"/>
    <s v="Toys"/>
    <s v="Puzzle 1000pcs"/>
    <n v="24.99"/>
    <n v="1"/>
    <n v="0"/>
    <n v="24.99"/>
    <n v="24.99"/>
    <s v="UPI"/>
    <s v="Delivered"/>
    <n v="5"/>
    <n v="34"/>
    <s v="San Diego"/>
    <s v="Free"/>
    <s v="Female"/>
    <b v="1"/>
    <x v="26"/>
  </r>
  <r>
    <s v="ORD-20708"/>
    <s v="CUST-5086"/>
    <d v="2022-10-05T00:00:00"/>
    <s v="Books"/>
    <s v="Python for Beginners"/>
    <n v="29.99"/>
    <n v="1"/>
    <n v="15"/>
    <n v="25.49"/>
    <n v="25.49"/>
    <s v="Credit Card"/>
    <s v="Shipped"/>
    <n v="5"/>
    <n v="34"/>
    <s v="San Diego"/>
    <s v="Free"/>
    <s v="Female"/>
    <b v="1"/>
    <x v="20"/>
  </r>
  <r>
    <s v="ORD-20709"/>
    <s v="CUST-5086"/>
    <d v="2022-06-09T00:00:00"/>
    <s v="Electronics"/>
    <s v="Bluetooth Speaker"/>
    <n v="49.99"/>
    <n v="4"/>
    <n v="5"/>
    <n v="47.49"/>
    <n v="189.96"/>
    <s v="UPI"/>
    <s v="Delivered"/>
    <n v="4"/>
    <n v="34"/>
    <s v="San Diego"/>
    <s v="Free"/>
    <s v="Female"/>
    <b v="1"/>
    <x v="8"/>
  </r>
  <r>
    <s v="ORD-20710"/>
    <s v="CUST-5086"/>
    <d v="2022-05-08T00:00:00"/>
    <s v="Home &amp; Kitchen"/>
    <s v="Coffee Maker"/>
    <n v="59.99"/>
    <n v="4"/>
    <n v="0"/>
    <n v="59.99"/>
    <n v="239.96"/>
    <s v="Wallet"/>
    <s v="Delivered"/>
    <m/>
    <n v="34"/>
    <s v="San Diego"/>
    <s v="Free"/>
    <s v="Female"/>
    <b v="1"/>
    <x v="31"/>
  </r>
  <r>
    <s v="ORD-20711"/>
    <s v="CUST-5087"/>
    <d v="2022-10-28T00:00:00"/>
    <s v="Toys"/>
    <s v="Puzzle 1000pcs"/>
    <n v="24.99"/>
    <n v="1"/>
    <n v="5"/>
    <n v="23.74"/>
    <n v="23.74"/>
    <s v="PayPal"/>
    <s v="Cancelled"/>
    <n v="3"/>
    <n v="59"/>
    <s v="Jacksonville"/>
    <s v="Gold"/>
    <s v="Male"/>
    <b v="1"/>
    <x v="20"/>
  </r>
  <r>
    <s v="ORD-20712"/>
    <s v="CUST-5087"/>
    <d v="2024-08-28T00:00:00"/>
    <s v="Clothing"/>
    <s v="Running Shoes"/>
    <n v="89.99"/>
    <n v="4"/>
    <n v="20"/>
    <n v="71.989999999999995"/>
    <n v="287.95999999999998"/>
    <s v="PayPal"/>
    <s v="Delivered"/>
    <m/>
    <n v="59"/>
    <s v="Jacksonville"/>
    <s v="Gold"/>
    <s v="Male"/>
    <b v="1"/>
    <x v="26"/>
  </r>
  <r>
    <s v="ORD-20713"/>
    <s v="CUST-5087"/>
    <d v="2023-02-15T00:00:00"/>
    <s v="Home &amp; Kitchen"/>
    <s v="Coffee Maker"/>
    <n v="59.99"/>
    <n v="4"/>
    <n v="0"/>
    <n v="59.99"/>
    <n v="239.96"/>
    <s v="Debit Card"/>
    <s v="Delivered"/>
    <n v="5"/>
    <n v="59"/>
    <s v="Jacksonville"/>
    <s v="Gold"/>
    <s v="Male"/>
    <b v="1"/>
    <x v="34"/>
  </r>
  <r>
    <s v="ORD-20714"/>
    <s v="CUST-5087"/>
    <d v="2023-05-26T00:00:00"/>
    <s v="Toys"/>
    <s v="Remote Control Car"/>
    <n v="39.99"/>
    <n v="3"/>
    <n v="20"/>
    <n v="31.99"/>
    <n v="95.97"/>
    <s v="Wallet"/>
    <s v="Delivered"/>
    <m/>
    <n v="59"/>
    <s v="Jacksonville"/>
    <s v="Gold"/>
    <s v="Male"/>
    <b v="1"/>
    <x v="5"/>
  </r>
  <r>
    <s v="ORD-20715"/>
    <s v="CUST-5087"/>
    <d v="2022-09-27T00:00:00"/>
    <s v="Books"/>
    <s v="Data Science Handbook"/>
    <n v="49.99"/>
    <n v="3"/>
    <n v="0"/>
    <n v="49.99"/>
    <n v="149.97"/>
    <s v="Wallet"/>
    <s v="Delivered"/>
    <m/>
    <n v="59"/>
    <s v="Jacksonville"/>
    <s v="Gold"/>
    <s v="Male"/>
    <b v="1"/>
    <x v="22"/>
  </r>
  <r>
    <s v="ORD-20716"/>
    <s v="CUST-5087"/>
    <d v="2023-05-21T00:00:00"/>
    <s v="Books"/>
    <s v="Data Science Handbook"/>
    <n v="49.99"/>
    <n v="3"/>
    <n v="20"/>
    <n v="39.99"/>
    <n v="119.97"/>
    <s v="Wallet"/>
    <s v="Delivered"/>
    <m/>
    <n v="59"/>
    <s v="Jacksonville"/>
    <s v="Gold"/>
    <s v="Male"/>
    <b v="1"/>
    <x v="5"/>
  </r>
  <r>
    <s v="ORD-20717"/>
    <s v="CUST-5087"/>
    <d v="2022-04-20T00:00:00"/>
    <s v="Beauty"/>
    <s v="Hair Mask"/>
    <n v="24.99"/>
    <n v="4"/>
    <n v="0"/>
    <n v="24.99"/>
    <n v="99.96"/>
    <s v="Debit Card"/>
    <s v="Delivered"/>
    <n v="3"/>
    <n v="59"/>
    <s v="Jacksonville"/>
    <s v="Gold"/>
    <s v="Male"/>
    <b v="1"/>
    <x v="12"/>
  </r>
  <r>
    <s v="ORD-20718"/>
    <s v="CUST-5087"/>
    <d v="2023-02-09T00:00:00"/>
    <s v="Toys"/>
    <s v="LEGO Classic Set"/>
    <n v="49.99"/>
    <n v="4"/>
    <n v="5"/>
    <n v="47.49"/>
    <n v="189.96"/>
    <s v="Wallet"/>
    <s v="Shipped"/>
    <n v="4"/>
    <n v="59"/>
    <s v="Jacksonville"/>
    <s v="Gold"/>
    <s v="Male"/>
    <b v="1"/>
    <x v="34"/>
  </r>
  <r>
    <s v="ORD-20719"/>
    <s v="CUST-5087"/>
    <d v="2024-10-15T00:00:00"/>
    <s v="Beauty"/>
    <s v="Hair Mask"/>
    <n v="24.99"/>
    <n v="4"/>
    <n v="10"/>
    <n v="22.49"/>
    <n v="89.96"/>
    <s v="Debit Card"/>
    <s v="Delivered"/>
    <n v="4"/>
    <n v="59"/>
    <s v="Jacksonville"/>
    <s v="Gold"/>
    <s v="Male"/>
    <b v="1"/>
    <x v="21"/>
  </r>
  <r>
    <s v="ORD-20720"/>
    <s v="CUST-5088"/>
    <d v="2023-01-01T00:00:00"/>
    <s v="Toys"/>
    <s v="LEGO Classic Set"/>
    <n v="49.99"/>
    <n v="1"/>
    <n v="0"/>
    <n v="49.99"/>
    <n v="49.99"/>
    <s v="Debit Card"/>
    <s v="Delivered"/>
    <m/>
    <n v="47"/>
    <s v="Phoenix"/>
    <s v="Silver"/>
    <s v="Female"/>
    <b v="1"/>
    <x v="10"/>
  </r>
  <r>
    <s v="ORD-20721"/>
    <s v="CUST-5088"/>
    <d v="2024-04-07T00:00:00"/>
    <s v="Books"/>
    <s v="Fiction Novel"/>
    <n v="14.99"/>
    <n v="3"/>
    <n v="5"/>
    <n v="14.24"/>
    <n v="42.72"/>
    <s v="Wallet"/>
    <s v="Shipped"/>
    <n v="5"/>
    <n v="47"/>
    <s v="Phoenix"/>
    <s v="Silver"/>
    <s v="Female"/>
    <b v="1"/>
    <x v="27"/>
  </r>
  <r>
    <s v="ORD-20722"/>
    <s v="CUST-5088"/>
    <d v="2022-07-05T00:00:00"/>
    <s v="Sports"/>
    <s v="Yoga Mat"/>
    <n v="29.99"/>
    <n v="1"/>
    <n v="15"/>
    <n v="25.49"/>
    <n v="25.49"/>
    <s v="Wallet"/>
    <s v="Shipped"/>
    <m/>
    <n v="47"/>
    <s v="Phoenix"/>
    <s v="Silver"/>
    <s v="Female"/>
    <b v="1"/>
    <x v="33"/>
  </r>
  <r>
    <s v="ORD-20723"/>
    <s v="CUST-5088"/>
    <d v="2022-01-11T00:00:00"/>
    <s v="Toys"/>
    <s v="Action Figure"/>
    <n v="19.989999999999998"/>
    <n v="3"/>
    <n v="0"/>
    <n v="19.989999999999998"/>
    <n v="59.97"/>
    <s v="Debit Card"/>
    <s v="Delivered"/>
    <m/>
    <n v="47"/>
    <s v="Phoenix"/>
    <s v="Silver"/>
    <s v="Female"/>
    <b v="1"/>
    <x v="2"/>
  </r>
  <r>
    <s v="ORD-20724"/>
    <s v="CUST-5089"/>
    <d v="2024-11-02T00:00:00"/>
    <s v="Sports"/>
    <s v="Jump Rope"/>
    <n v="14.99"/>
    <n v="2"/>
    <n v="20"/>
    <n v="11.99"/>
    <n v="23.98"/>
    <s v="Credit Card"/>
    <s v="Shipped"/>
    <m/>
    <n v="45"/>
    <s v="Houston"/>
    <s v="Silver"/>
    <s v="Female"/>
    <b v="1"/>
    <x v="16"/>
  </r>
  <r>
    <s v="ORD-20725"/>
    <s v="CUST-5089"/>
    <d v="2024-09-07T00:00:00"/>
    <s v="Beauty"/>
    <s v="Lip Balm Set"/>
    <n v="14.99"/>
    <n v="4"/>
    <n v="0"/>
    <n v="14.99"/>
    <n v="59.96"/>
    <s v="PayPal"/>
    <s v="Delivered"/>
    <m/>
    <n v="45"/>
    <s v="Houston"/>
    <s v="Silver"/>
    <s v="Female"/>
    <b v="1"/>
    <x v="15"/>
  </r>
  <r>
    <s v="ORD-20726"/>
    <s v="CUST-5089"/>
    <d v="2024-05-27T00:00:00"/>
    <s v="Home &amp; Kitchen"/>
    <s v="Blender"/>
    <n v="64.989999999999995"/>
    <n v="4"/>
    <n v="5"/>
    <n v="61.74"/>
    <n v="246.96"/>
    <s v="UPI"/>
    <s v="Delivered"/>
    <n v="3"/>
    <n v="45"/>
    <s v="Houston"/>
    <s v="Silver"/>
    <s v="Female"/>
    <b v="1"/>
    <x v="30"/>
  </r>
  <r>
    <s v="ORD-20727"/>
    <s v="CUST-5089"/>
    <d v="2024-02-20T00:00:00"/>
    <s v="Books"/>
    <s v="Fiction Novel"/>
    <n v="14.99"/>
    <n v="1"/>
    <n v="0"/>
    <n v="14.99"/>
    <n v="14.99"/>
    <s v="Debit Card"/>
    <s v="Delivered"/>
    <n v="5"/>
    <n v="45"/>
    <s v="Houston"/>
    <s v="Silver"/>
    <s v="Female"/>
    <b v="1"/>
    <x v="0"/>
  </r>
  <r>
    <s v="ORD-20728"/>
    <s v="CUST-5089"/>
    <d v="2024-08-24T00:00:00"/>
    <s v="Electronics"/>
    <s v="Bluetooth Speaker"/>
    <n v="49.99"/>
    <n v="1"/>
    <n v="0"/>
    <n v="49.99"/>
    <n v="49.99"/>
    <s v="Wallet"/>
    <s v="Delivered"/>
    <n v="2"/>
    <n v="45"/>
    <s v="Houston"/>
    <s v="Silver"/>
    <s v="Female"/>
    <b v="1"/>
    <x v="26"/>
  </r>
  <r>
    <s v="ORD-20729"/>
    <s v="CUST-5089"/>
    <d v="2022-08-19T00:00:00"/>
    <s v="Books"/>
    <s v="Business Analytics"/>
    <n v="39.99"/>
    <n v="3"/>
    <n v="0"/>
    <n v="39.99"/>
    <n v="119.97"/>
    <s v="Debit Card"/>
    <s v="Delivered"/>
    <n v="5"/>
    <n v="45"/>
    <s v="Houston"/>
    <s v="Silver"/>
    <s v="Female"/>
    <b v="1"/>
    <x v="7"/>
  </r>
  <r>
    <s v="ORD-20730"/>
    <s v="CUST-5089"/>
    <d v="2024-10-25T00:00:00"/>
    <s v="Books"/>
    <s v="Fiction Novel"/>
    <n v="14.99"/>
    <n v="2"/>
    <n v="0"/>
    <n v="14.99"/>
    <n v="29.98"/>
    <s v="UPI"/>
    <s v="Delivered"/>
    <n v="5"/>
    <n v="45"/>
    <s v="Houston"/>
    <s v="Silver"/>
    <s v="Female"/>
    <b v="1"/>
    <x v="21"/>
  </r>
  <r>
    <s v="ORD-20731"/>
    <s v="CUST-5090"/>
    <d v="2024-06-16T00:00:00"/>
    <s v="Electronics"/>
    <s v="Bluetooth Speaker"/>
    <n v="49.99"/>
    <n v="1"/>
    <n v="5"/>
    <n v="47.49"/>
    <n v="47.49"/>
    <s v="PayPal"/>
    <s v="Delivered"/>
    <n v="3"/>
    <n v="53"/>
    <s v="New York"/>
    <s v="Silver"/>
    <s v="Female"/>
    <b v="1"/>
    <x v="35"/>
  </r>
  <r>
    <s v="ORD-20732"/>
    <s v="CUST-5090"/>
    <d v="2022-09-16T00:00:00"/>
    <s v="Beauty"/>
    <s v="Lip Balm Set"/>
    <n v="14.99"/>
    <n v="4"/>
    <n v="5"/>
    <n v="14.24"/>
    <n v="56.96"/>
    <s v="Credit Card"/>
    <s v="Delivered"/>
    <m/>
    <n v="53"/>
    <s v="New York"/>
    <s v="Silver"/>
    <s v="Female"/>
    <b v="1"/>
    <x v="22"/>
  </r>
  <r>
    <s v="ORD-20733"/>
    <s v="CUST-5090"/>
    <d v="2024-03-08T00:00:00"/>
    <s v="Books"/>
    <s v="Data Science Handbook"/>
    <n v="49.99"/>
    <n v="3"/>
    <n v="15"/>
    <n v="42.49"/>
    <n v="127.47"/>
    <s v="PayPal"/>
    <s v="Delivered"/>
    <n v="5"/>
    <n v="53"/>
    <s v="New York"/>
    <s v="Silver"/>
    <s v="Female"/>
    <b v="1"/>
    <x v="1"/>
  </r>
  <r>
    <s v="ORD-20734"/>
    <s v="CUST-5090"/>
    <d v="2022-02-03T00:00:00"/>
    <s v="Clothing"/>
    <s v="Denim Jacket"/>
    <n v="69.989999999999995"/>
    <n v="2"/>
    <n v="15"/>
    <n v="59.49"/>
    <n v="118.98"/>
    <s v="Wallet"/>
    <s v="Delivered"/>
    <n v="2"/>
    <n v="53"/>
    <s v="New York"/>
    <s v="Silver"/>
    <s v="Female"/>
    <b v="1"/>
    <x v="17"/>
  </r>
  <r>
    <s v="ORD-20735"/>
    <s v="CUST-5090"/>
    <d v="2023-09-08T00:00:00"/>
    <s v="Clothing"/>
    <s v="Running Shoes"/>
    <n v="89.99"/>
    <n v="3"/>
    <n v="20"/>
    <n v="71.989999999999995"/>
    <n v="215.97"/>
    <s v="Credit Card"/>
    <s v="Delivered"/>
    <n v="4"/>
    <n v="53"/>
    <s v="New York"/>
    <s v="Silver"/>
    <s v="Female"/>
    <b v="1"/>
    <x v="6"/>
  </r>
  <r>
    <s v="ORD-20736"/>
    <s v="CUST-5090"/>
    <d v="2024-08-24T00:00:00"/>
    <s v="Clothing"/>
    <s v="Cotton T-Shirt"/>
    <n v="24.99"/>
    <n v="2"/>
    <n v="0"/>
    <n v="24.99"/>
    <n v="49.98"/>
    <s v="Credit Card"/>
    <s v="Delivered"/>
    <m/>
    <n v="53"/>
    <s v="New York"/>
    <s v="Silver"/>
    <s v="Female"/>
    <b v="1"/>
    <x v="26"/>
  </r>
  <r>
    <s v="ORD-20737"/>
    <s v="CUST-5090"/>
    <d v="2024-10-01T00:00:00"/>
    <s v="Sports"/>
    <s v="Yoga Mat"/>
    <n v="29.99"/>
    <n v="3"/>
    <n v="20"/>
    <n v="23.99"/>
    <n v="71.97"/>
    <s v="Credit Card"/>
    <s v="Delivered"/>
    <m/>
    <n v="53"/>
    <s v="New York"/>
    <s v="Silver"/>
    <s v="Female"/>
    <b v="1"/>
    <x v="21"/>
  </r>
  <r>
    <s v="ORD-20738"/>
    <s v="CUST-5091"/>
    <d v="2022-10-13T00:00:00"/>
    <s v="Toys"/>
    <s v="Action Figure"/>
    <n v="19.989999999999998"/>
    <n v="3"/>
    <n v="15"/>
    <n v="16.989999999999998"/>
    <n v="50.97"/>
    <s v="Wallet"/>
    <s v="Delivered"/>
    <n v="4"/>
    <n v="29"/>
    <s v="San Jose"/>
    <s v="Free"/>
    <s v="Female"/>
    <b v="1"/>
    <x v="20"/>
  </r>
  <r>
    <s v="ORD-20739"/>
    <s v="CUST-5091"/>
    <d v="2024-11-13T00:00:00"/>
    <s v="Electronics"/>
    <s v="Bluetooth Speaker"/>
    <n v="49.99"/>
    <n v="3"/>
    <n v="20"/>
    <n v="39.99"/>
    <n v="119.97"/>
    <s v="PayPal"/>
    <s v="Delivered"/>
    <n v="4"/>
    <n v="29"/>
    <s v="San Jose"/>
    <s v="Free"/>
    <s v="Female"/>
    <b v="1"/>
    <x v="16"/>
  </r>
  <r>
    <s v="ORD-20740"/>
    <s v="CUST-5091"/>
    <d v="2024-07-13T00:00:00"/>
    <s v="Clothing"/>
    <s v="Denim Jacket"/>
    <n v="69.989999999999995"/>
    <n v="2"/>
    <n v="0"/>
    <n v="69.989999999999995"/>
    <n v="139.97999999999999"/>
    <s v="PayPal"/>
    <s v="Delivered"/>
    <n v="4"/>
    <n v="29"/>
    <s v="San Jose"/>
    <s v="Free"/>
    <s v="Female"/>
    <b v="1"/>
    <x v="4"/>
  </r>
  <r>
    <s v="ORD-20741"/>
    <s v="CUST-5091"/>
    <d v="2022-04-21T00:00:00"/>
    <s v="Clothing"/>
    <s v="Cotton T-Shirt"/>
    <n v="24.99"/>
    <n v="2"/>
    <n v="5"/>
    <n v="23.74"/>
    <n v="47.48"/>
    <s v="PayPal"/>
    <s v="Delivered"/>
    <n v="5"/>
    <n v="29"/>
    <s v="San Jose"/>
    <s v="Free"/>
    <s v="Female"/>
    <b v="1"/>
    <x v="12"/>
  </r>
  <r>
    <s v="ORD-20742"/>
    <s v="CUST-5091"/>
    <d v="2022-12-18T00:00:00"/>
    <s v="Home &amp; Kitchen"/>
    <s v="Blender"/>
    <n v="64.989999999999995"/>
    <n v="4"/>
    <n v="0"/>
    <n v="64.989999999999995"/>
    <n v="259.95999999999998"/>
    <s v="PayPal"/>
    <s v="Delivered"/>
    <n v="5"/>
    <n v="29"/>
    <s v="San Jose"/>
    <s v="Free"/>
    <s v="Female"/>
    <b v="1"/>
    <x v="28"/>
  </r>
  <r>
    <s v="ORD-20743"/>
    <s v="CUST-5091"/>
    <d v="2022-05-21T00:00:00"/>
    <s v="Toys"/>
    <s v="LEGO Classic Set"/>
    <n v="49.99"/>
    <n v="3"/>
    <n v="10"/>
    <n v="44.99"/>
    <n v="134.97"/>
    <s v="Debit Card"/>
    <s v="Delivered"/>
    <m/>
    <n v="29"/>
    <s v="San Jose"/>
    <s v="Free"/>
    <s v="Female"/>
    <b v="1"/>
    <x v="31"/>
  </r>
  <r>
    <s v="ORD-20744"/>
    <s v="CUST-5091"/>
    <d v="2022-08-02T00:00:00"/>
    <s v="Beauty"/>
    <s v="Hair Mask"/>
    <n v="24.99"/>
    <n v="3"/>
    <n v="5"/>
    <n v="23.74"/>
    <n v="71.22"/>
    <s v="Debit Card"/>
    <s v="Delivered"/>
    <n v="4"/>
    <n v="29"/>
    <s v="San Jose"/>
    <s v="Free"/>
    <s v="Female"/>
    <b v="1"/>
    <x v="7"/>
  </r>
  <r>
    <s v="ORD-20745"/>
    <s v="CUST-5091"/>
    <d v="2024-07-21T00:00:00"/>
    <s v="Beauty"/>
    <s v="Face Serum"/>
    <n v="39.99"/>
    <n v="4"/>
    <n v="5"/>
    <n v="37.99"/>
    <n v="151.96"/>
    <s v="Credit Card"/>
    <s v="Delivered"/>
    <m/>
    <n v="29"/>
    <s v="San Jose"/>
    <s v="Free"/>
    <s v="Female"/>
    <b v="1"/>
    <x v="4"/>
  </r>
  <r>
    <s v="ORD-20746"/>
    <s v="CUST-5091"/>
    <d v="2022-11-18T00:00:00"/>
    <s v="Sports"/>
    <s v="Water Bottle"/>
    <n v="24.99"/>
    <n v="1"/>
    <n v="0"/>
    <n v="24.99"/>
    <n v="24.99"/>
    <s v="Wallet"/>
    <s v="Shipped"/>
    <m/>
    <n v="29"/>
    <s v="San Jose"/>
    <s v="Free"/>
    <s v="Female"/>
    <b v="1"/>
    <x v="3"/>
  </r>
  <r>
    <s v="ORD-20747"/>
    <s v="CUST-5091"/>
    <d v="2024-10-05T00:00:00"/>
    <s v="Books"/>
    <s v="Fiction Novel"/>
    <n v="14.99"/>
    <n v="1"/>
    <n v="0"/>
    <n v="14.99"/>
    <n v="14.99"/>
    <s v="Debit Card"/>
    <s v="Delivered"/>
    <n v="4"/>
    <n v="29"/>
    <s v="San Jose"/>
    <s v="Free"/>
    <s v="Female"/>
    <b v="1"/>
    <x v="21"/>
  </r>
  <r>
    <s v="ORD-20748"/>
    <s v="CUST-5091"/>
    <d v="2023-07-02T00:00:00"/>
    <s v="Clothing"/>
    <s v="Denim Jacket"/>
    <n v="69.989999999999995"/>
    <n v="2"/>
    <n v="0"/>
    <n v="69.989999999999995"/>
    <n v="139.97999999999999"/>
    <s v="UPI"/>
    <s v="Delivered"/>
    <n v="4"/>
    <n v="29"/>
    <s v="San Jose"/>
    <s v="Free"/>
    <s v="Female"/>
    <b v="1"/>
    <x v="9"/>
  </r>
  <r>
    <s v="ORD-20749"/>
    <s v="CUST-5091"/>
    <d v="2022-05-06T00:00:00"/>
    <s v="Electronics"/>
    <s v="Bluetooth Speaker"/>
    <n v="49.99"/>
    <n v="2"/>
    <n v="5"/>
    <n v="47.49"/>
    <n v="94.98"/>
    <s v="Credit Card"/>
    <s v="Delivered"/>
    <n v="3"/>
    <n v="29"/>
    <s v="San Jose"/>
    <s v="Free"/>
    <s v="Female"/>
    <b v="1"/>
    <x v="31"/>
  </r>
  <r>
    <s v="ORD-20750"/>
    <s v="CUST-5091"/>
    <d v="2022-05-27T00:00:00"/>
    <s v="Books"/>
    <s v="Data Science Handbook"/>
    <n v="49.99"/>
    <n v="3"/>
    <n v="0"/>
    <n v="49.99"/>
    <n v="149.97"/>
    <s v="Credit Card"/>
    <s v="Delivered"/>
    <m/>
    <n v="29"/>
    <s v="San Jose"/>
    <s v="Free"/>
    <s v="Female"/>
    <b v="1"/>
    <x v="31"/>
  </r>
  <r>
    <s v="ORD-20751"/>
    <s v="CUST-5091"/>
    <d v="2022-07-16T00:00:00"/>
    <s v="Clothing"/>
    <s v="Cotton T-Shirt"/>
    <n v="24.99"/>
    <n v="1"/>
    <n v="0"/>
    <n v="24.99"/>
    <n v="24.99"/>
    <s v="UPI"/>
    <s v="Delivered"/>
    <n v="5"/>
    <n v="29"/>
    <s v="San Jose"/>
    <s v="Free"/>
    <s v="Female"/>
    <b v="1"/>
    <x v="33"/>
  </r>
  <r>
    <s v="ORD-20752"/>
    <s v="CUST-5092"/>
    <d v="2023-01-04T00:00:00"/>
    <s v="Toys"/>
    <s v="Remote Control Car"/>
    <n v="39.99"/>
    <n v="4"/>
    <n v="5"/>
    <n v="37.99"/>
    <n v="151.96"/>
    <s v="PayPal"/>
    <s v="Delivered"/>
    <n v="4"/>
    <n v="29"/>
    <s v="San Antonio"/>
    <s v="Platinum"/>
    <s v="Male"/>
    <b v="1"/>
    <x v="10"/>
  </r>
  <r>
    <s v="ORD-20753"/>
    <s v="CUST-5092"/>
    <d v="2023-09-02T00:00:00"/>
    <s v="Beauty"/>
    <s v="Hair Mask"/>
    <n v="24.99"/>
    <n v="2"/>
    <n v="20"/>
    <n v="19.989999999999998"/>
    <n v="39.979999999999997"/>
    <s v="Wallet"/>
    <s v="Delivered"/>
    <n v="5"/>
    <n v="29"/>
    <s v="San Antonio"/>
    <s v="Platinum"/>
    <s v="Male"/>
    <b v="1"/>
    <x v="6"/>
  </r>
  <r>
    <s v="ORD-20754"/>
    <s v="CUST-5092"/>
    <d v="2023-12-11T00:00:00"/>
    <s v="Clothing"/>
    <s v="Running Shoes"/>
    <n v="89.99"/>
    <n v="3"/>
    <n v="0"/>
    <n v="89.99"/>
    <n v="269.97000000000003"/>
    <s v="Wallet"/>
    <s v="Delivered"/>
    <n v="5"/>
    <n v="29"/>
    <s v="San Antonio"/>
    <s v="Platinum"/>
    <s v="Male"/>
    <b v="1"/>
    <x v="14"/>
  </r>
  <r>
    <s v="ORD-20755"/>
    <s v="CUST-5092"/>
    <d v="2022-02-07T00:00:00"/>
    <s v="Home &amp; Kitchen"/>
    <s v="Blender"/>
    <n v="64.989999999999995"/>
    <n v="4"/>
    <n v="0"/>
    <n v="64.989999999999995"/>
    <n v="259.95999999999998"/>
    <s v="UPI"/>
    <s v="Processing"/>
    <m/>
    <n v="29"/>
    <s v="San Antonio"/>
    <s v="Platinum"/>
    <s v="Male"/>
    <b v="1"/>
    <x v="17"/>
  </r>
  <r>
    <s v="ORD-20756"/>
    <s v="CUST-5092"/>
    <d v="2023-04-14T00:00:00"/>
    <s v="Toys"/>
    <s v="Remote Control Car"/>
    <n v="39.99"/>
    <n v="3"/>
    <n v="15"/>
    <n v="33.99"/>
    <n v="101.97"/>
    <s v="UPI"/>
    <s v="Delivered"/>
    <m/>
    <n v="29"/>
    <s v="San Antonio"/>
    <s v="Platinum"/>
    <s v="Male"/>
    <b v="1"/>
    <x v="18"/>
  </r>
  <r>
    <s v="ORD-20757"/>
    <s v="CUST-5093"/>
    <d v="2023-06-09T00:00:00"/>
    <s v="Clothing"/>
    <s v="Running Shoes"/>
    <n v="89.99"/>
    <n v="2"/>
    <n v="0"/>
    <n v="89.99"/>
    <n v="179.98"/>
    <s v="Debit Card"/>
    <s v="Delivered"/>
    <n v="5"/>
    <n v="45"/>
    <s v="San Jose"/>
    <s v="Platinum"/>
    <s v="Male"/>
    <b v="1"/>
    <x v="19"/>
  </r>
  <r>
    <s v="ORD-20758"/>
    <s v="CUST-5093"/>
    <d v="2024-08-14T00:00:00"/>
    <s v="Beauty"/>
    <s v="Face Serum"/>
    <n v="39.99"/>
    <n v="4"/>
    <n v="0"/>
    <n v="39.99"/>
    <n v="159.96"/>
    <s v="Debit Card"/>
    <s v="Delivered"/>
    <m/>
    <n v="45"/>
    <s v="San Jose"/>
    <s v="Platinum"/>
    <s v="Male"/>
    <b v="1"/>
    <x v="26"/>
  </r>
  <r>
    <s v="ORD-20759"/>
    <s v="CUST-5093"/>
    <d v="2023-12-11T00:00:00"/>
    <s v="Sports"/>
    <s v="Yoga Mat"/>
    <n v="29.99"/>
    <n v="1"/>
    <n v="0"/>
    <n v="29.99"/>
    <n v="29.99"/>
    <s v="Debit Card"/>
    <s v="Delivered"/>
    <n v="4"/>
    <n v="45"/>
    <s v="San Jose"/>
    <s v="Platinum"/>
    <s v="Male"/>
    <b v="1"/>
    <x v="14"/>
  </r>
  <r>
    <s v="ORD-20760"/>
    <s v="CUST-5093"/>
    <d v="2023-04-28T00:00:00"/>
    <s v="Home &amp; Kitchen"/>
    <s v="Coffee Maker"/>
    <n v="59.99"/>
    <n v="3"/>
    <n v="0"/>
    <n v="59.99"/>
    <n v="179.97"/>
    <s v="Debit Card"/>
    <s v="Delivered"/>
    <n v="4"/>
    <n v="45"/>
    <s v="San Jose"/>
    <s v="Platinum"/>
    <s v="Male"/>
    <b v="1"/>
    <x v="18"/>
  </r>
  <r>
    <s v="ORD-20761"/>
    <s v="CUST-5093"/>
    <d v="2024-11-02T00:00:00"/>
    <s v="Electronics"/>
    <s v="Bluetooth Speaker"/>
    <n v="49.99"/>
    <n v="3"/>
    <n v="0"/>
    <n v="49.99"/>
    <n v="149.97"/>
    <s v="UPI"/>
    <s v="Delivered"/>
    <m/>
    <n v="45"/>
    <s v="San Jose"/>
    <s v="Platinum"/>
    <s v="Male"/>
    <b v="1"/>
    <x v="16"/>
  </r>
  <r>
    <s v="ORD-20762"/>
    <s v="CUST-5093"/>
    <d v="2023-04-22T00:00:00"/>
    <s v="Home &amp; Kitchen"/>
    <s v="Air Fryer"/>
    <n v="89.99"/>
    <n v="3"/>
    <n v="0"/>
    <n v="89.99"/>
    <n v="269.97000000000003"/>
    <s v="Debit Card"/>
    <s v="Delivered"/>
    <n v="5"/>
    <n v="45"/>
    <s v="San Jose"/>
    <s v="Platinum"/>
    <s v="Male"/>
    <b v="1"/>
    <x v="18"/>
  </r>
  <r>
    <s v="ORD-20763"/>
    <s v="CUST-5093"/>
    <d v="2022-06-17T00:00:00"/>
    <s v="Home &amp; Kitchen"/>
    <s v="Non-stick Pan Set"/>
    <n v="44.99"/>
    <n v="3"/>
    <n v="0"/>
    <n v="44.99"/>
    <n v="134.97"/>
    <s v="PayPal"/>
    <s v="Delivered"/>
    <n v="4"/>
    <n v="45"/>
    <s v="San Jose"/>
    <s v="Platinum"/>
    <s v="Male"/>
    <b v="1"/>
    <x v="8"/>
  </r>
  <r>
    <s v="ORD-20764"/>
    <s v="CUST-5093"/>
    <d v="2024-08-09T00:00:00"/>
    <s v="Sports"/>
    <s v="Yoga Mat"/>
    <n v="29.99"/>
    <n v="3"/>
    <n v="15"/>
    <n v="25.49"/>
    <n v="76.47"/>
    <s v="UPI"/>
    <s v="Delivered"/>
    <n v="5"/>
    <n v="45"/>
    <s v="San Jose"/>
    <s v="Platinum"/>
    <s v="Male"/>
    <b v="1"/>
    <x v="26"/>
  </r>
  <r>
    <s v="ORD-20765"/>
    <s v="CUST-5094"/>
    <d v="2024-04-12T00:00:00"/>
    <s v="Books"/>
    <s v="Fiction Novel"/>
    <n v="14.99"/>
    <n v="3"/>
    <n v="10"/>
    <n v="13.49"/>
    <n v="40.47"/>
    <s v="PayPal"/>
    <s v="Delivered"/>
    <n v="4"/>
    <n v="57"/>
    <s v="Los Angeles"/>
    <s v="Free"/>
    <s v="Male"/>
    <b v="1"/>
    <x v="27"/>
  </r>
  <r>
    <s v="ORD-20766"/>
    <s v="CUST-5095"/>
    <d v="2024-10-18T00:00:00"/>
    <s v="Toys"/>
    <s v="Puzzle 1000pcs"/>
    <n v="24.99"/>
    <n v="1"/>
    <n v="15"/>
    <n v="21.24"/>
    <n v="21.24"/>
    <s v="PayPal"/>
    <s v="Delivered"/>
    <m/>
    <n v="42"/>
    <s v="Philadelphia"/>
    <s v="Platinum"/>
    <s v="Female"/>
    <b v="1"/>
    <x v="21"/>
  </r>
  <r>
    <s v="ORD-20767"/>
    <s v="CUST-5095"/>
    <d v="2022-05-02T00:00:00"/>
    <s v="Electronics"/>
    <s v="USB-C Hub"/>
    <n v="34.99"/>
    <n v="2"/>
    <n v="20"/>
    <n v="27.99"/>
    <n v="55.98"/>
    <s v="Wallet"/>
    <s v="Delivered"/>
    <m/>
    <n v="42"/>
    <s v="Philadelphia"/>
    <s v="Platinum"/>
    <s v="Female"/>
    <b v="1"/>
    <x v="31"/>
  </r>
  <r>
    <s v="ORD-20768"/>
    <s v="CUST-5095"/>
    <d v="2023-02-20T00:00:00"/>
    <s v="Clothing"/>
    <s v="Cotton T-Shirt"/>
    <n v="24.99"/>
    <n v="1"/>
    <n v="10"/>
    <n v="22.49"/>
    <n v="22.49"/>
    <s v="Wallet"/>
    <s v="Delivered"/>
    <n v="3"/>
    <n v="42"/>
    <s v="Philadelphia"/>
    <s v="Platinum"/>
    <s v="Female"/>
    <b v="1"/>
    <x v="34"/>
  </r>
  <r>
    <s v="ORD-20769"/>
    <s v="CUST-5095"/>
    <d v="2023-07-08T00:00:00"/>
    <s v="Sports"/>
    <s v="Yoga Mat"/>
    <n v="29.99"/>
    <n v="2"/>
    <n v="20"/>
    <n v="23.99"/>
    <n v="47.98"/>
    <s v="Debit Card"/>
    <s v="Delivered"/>
    <m/>
    <n v="42"/>
    <s v="Philadelphia"/>
    <s v="Platinum"/>
    <s v="Female"/>
    <b v="1"/>
    <x v="9"/>
  </r>
  <r>
    <s v="ORD-20770"/>
    <s v="CUST-5095"/>
    <d v="2024-07-01T00:00:00"/>
    <s v="Toys"/>
    <s v="Remote Control Car"/>
    <n v="39.99"/>
    <n v="2"/>
    <n v="15"/>
    <n v="33.99"/>
    <n v="67.98"/>
    <s v="Wallet"/>
    <s v="Delivered"/>
    <m/>
    <n v="42"/>
    <s v="Philadelphia"/>
    <s v="Platinum"/>
    <s v="Female"/>
    <b v="1"/>
    <x v="4"/>
  </r>
  <r>
    <s v="ORD-20771"/>
    <s v="CUST-5095"/>
    <d v="2023-08-05T00:00:00"/>
    <s v="Home &amp; Kitchen"/>
    <s v="Coffee Maker"/>
    <n v="59.99"/>
    <n v="1"/>
    <n v="5"/>
    <n v="56.99"/>
    <n v="56.99"/>
    <s v="Wallet"/>
    <s v="Delivered"/>
    <n v="4"/>
    <n v="42"/>
    <s v="Philadelphia"/>
    <s v="Platinum"/>
    <s v="Female"/>
    <b v="1"/>
    <x v="24"/>
  </r>
  <r>
    <s v="ORD-20772"/>
    <s v="CUST-5095"/>
    <d v="2022-04-09T00:00:00"/>
    <s v="Toys"/>
    <s v="Puzzle 1000pcs"/>
    <n v="24.99"/>
    <n v="3"/>
    <n v="15"/>
    <n v="21.24"/>
    <n v="63.72"/>
    <s v="Wallet"/>
    <s v="Delivered"/>
    <n v="4"/>
    <n v="42"/>
    <s v="Philadelphia"/>
    <s v="Platinum"/>
    <s v="Female"/>
    <b v="1"/>
    <x v="12"/>
  </r>
  <r>
    <s v="ORD-20773"/>
    <s v="CUST-5096"/>
    <d v="2022-06-24T00:00:00"/>
    <s v="Electronics"/>
    <s v="Smart Watch"/>
    <n v="199.99"/>
    <n v="2"/>
    <n v="15"/>
    <n v="169.99"/>
    <n v="339.98"/>
    <s v="Credit Card"/>
    <s v="Delivered"/>
    <n v="5"/>
    <n v="34"/>
    <s v="Chicago"/>
    <s v="Silver"/>
    <s v="Female"/>
    <b v="1"/>
    <x v="8"/>
  </r>
  <r>
    <s v="ORD-20774"/>
    <s v="CUST-5096"/>
    <d v="2022-01-18T00:00:00"/>
    <s v="Toys"/>
    <s v="Remote Control Car"/>
    <n v="39.99"/>
    <n v="3"/>
    <n v="0"/>
    <n v="39.99"/>
    <n v="119.97"/>
    <s v="Wallet"/>
    <s v="Shipped"/>
    <n v="5"/>
    <n v="34"/>
    <s v="Chicago"/>
    <s v="Silver"/>
    <s v="Female"/>
    <b v="1"/>
    <x v="2"/>
  </r>
  <r>
    <s v="ORD-20775"/>
    <s v="CUST-5096"/>
    <d v="2022-01-07T00:00:00"/>
    <s v="Toys"/>
    <s v="LEGO Classic Set"/>
    <n v="49.99"/>
    <n v="4"/>
    <n v="0"/>
    <n v="49.99"/>
    <n v="199.96"/>
    <s v="Wallet"/>
    <s v="Delivered"/>
    <n v="5"/>
    <n v="34"/>
    <s v="Chicago"/>
    <s v="Silver"/>
    <s v="Female"/>
    <b v="1"/>
    <x v="2"/>
  </r>
  <r>
    <s v="ORD-20776"/>
    <s v="CUST-5096"/>
    <d v="2022-02-09T00:00:00"/>
    <s v="Clothing"/>
    <s v="Running Shoes"/>
    <n v="89.99"/>
    <n v="2"/>
    <n v="5"/>
    <n v="85.49"/>
    <n v="170.98"/>
    <s v="Wallet"/>
    <s v="Delivered"/>
    <m/>
    <n v="34"/>
    <s v="Chicago"/>
    <s v="Silver"/>
    <s v="Female"/>
    <b v="1"/>
    <x v="17"/>
  </r>
  <r>
    <s v="ORD-20777"/>
    <s v="CUST-5096"/>
    <d v="2022-04-15T00:00:00"/>
    <s v="Sports"/>
    <s v="Yoga Mat"/>
    <n v="29.99"/>
    <n v="1"/>
    <n v="0"/>
    <n v="29.99"/>
    <n v="29.99"/>
    <s v="UPI"/>
    <s v="Delivered"/>
    <m/>
    <n v="34"/>
    <s v="Chicago"/>
    <s v="Silver"/>
    <s v="Female"/>
    <b v="1"/>
    <x v="12"/>
  </r>
  <r>
    <s v="ORD-20778"/>
    <s v="CUST-5096"/>
    <d v="2022-06-16T00:00:00"/>
    <s v="Home &amp; Kitchen"/>
    <s v="Non-stick Pan Set"/>
    <n v="44.99"/>
    <n v="2"/>
    <n v="20"/>
    <n v="35.99"/>
    <n v="71.98"/>
    <s v="Wallet"/>
    <s v="Delivered"/>
    <m/>
    <n v="34"/>
    <s v="Chicago"/>
    <s v="Silver"/>
    <s v="Female"/>
    <b v="1"/>
    <x v="8"/>
  </r>
  <r>
    <s v="ORD-20779"/>
    <s v="CUST-5096"/>
    <d v="2022-02-24T00:00:00"/>
    <s v="Beauty"/>
    <s v="Lip Balm Set"/>
    <n v="14.99"/>
    <n v="4"/>
    <n v="0"/>
    <n v="14.99"/>
    <n v="59.96"/>
    <s v="Debit Card"/>
    <s v="Returned"/>
    <n v="4"/>
    <n v="34"/>
    <s v="Chicago"/>
    <s v="Silver"/>
    <s v="Female"/>
    <b v="1"/>
    <x v="17"/>
  </r>
  <r>
    <s v="ORD-20780"/>
    <s v="CUST-5096"/>
    <d v="2022-01-24T00:00:00"/>
    <s v="Home &amp; Kitchen"/>
    <s v="Blender"/>
    <n v="64.989999999999995"/>
    <n v="3"/>
    <n v="5"/>
    <n v="61.74"/>
    <n v="185.22"/>
    <s v="UPI"/>
    <s v="Delivered"/>
    <n v="4"/>
    <n v="34"/>
    <s v="Chicago"/>
    <s v="Silver"/>
    <s v="Female"/>
    <b v="1"/>
    <x v="2"/>
  </r>
  <r>
    <s v="ORD-20781"/>
    <s v="CUST-5096"/>
    <d v="2024-06-26T00:00:00"/>
    <s v="Clothing"/>
    <s v="Yoga Pants"/>
    <n v="44.99"/>
    <n v="3"/>
    <n v="10"/>
    <n v="40.49"/>
    <n v="121.47"/>
    <s v="UPI"/>
    <s v="Delivered"/>
    <n v="4"/>
    <n v="34"/>
    <s v="Chicago"/>
    <s v="Silver"/>
    <s v="Female"/>
    <b v="1"/>
    <x v="35"/>
  </r>
  <r>
    <s v="ORD-20782"/>
    <s v="CUST-5096"/>
    <d v="2022-03-20T00:00:00"/>
    <s v="Home &amp; Kitchen"/>
    <s v="Coffee Maker"/>
    <n v="59.99"/>
    <n v="1"/>
    <n v="10"/>
    <n v="53.99"/>
    <n v="53.99"/>
    <s v="Debit Card"/>
    <s v="Delivered"/>
    <n v="4"/>
    <n v="34"/>
    <s v="Chicago"/>
    <s v="Silver"/>
    <s v="Female"/>
    <b v="1"/>
    <x v="11"/>
  </r>
  <r>
    <s v="ORD-20783"/>
    <s v="CUST-5096"/>
    <d v="2023-02-04T00:00:00"/>
    <s v="Sports"/>
    <s v="Resistance Bands"/>
    <n v="19.989999999999998"/>
    <n v="1"/>
    <n v="0"/>
    <n v="19.989999999999998"/>
    <n v="19.989999999999998"/>
    <s v="Credit Card"/>
    <s v="Processing"/>
    <n v="4"/>
    <n v="34"/>
    <s v="Chicago"/>
    <s v="Silver"/>
    <s v="Female"/>
    <b v="1"/>
    <x v="34"/>
  </r>
  <r>
    <s v="ORD-20784"/>
    <s v="CUST-5096"/>
    <d v="2024-12-18T00:00:00"/>
    <s v="Home &amp; Kitchen"/>
    <s v="Coffee Maker"/>
    <n v="59.99"/>
    <n v="3"/>
    <n v="0"/>
    <n v="59.99"/>
    <n v="179.97"/>
    <s v="Credit Card"/>
    <s v="Delivered"/>
    <m/>
    <n v="34"/>
    <s v="Chicago"/>
    <s v="Silver"/>
    <s v="Female"/>
    <b v="1"/>
    <x v="32"/>
  </r>
  <r>
    <s v="ORD-20785"/>
    <s v="CUST-5096"/>
    <d v="2024-10-24T00:00:00"/>
    <s v="Clothing"/>
    <s v="Cotton T-Shirt"/>
    <n v="24.99"/>
    <n v="2"/>
    <n v="5"/>
    <n v="23.74"/>
    <n v="47.48"/>
    <s v="Debit Card"/>
    <s v="Delivered"/>
    <n v="4"/>
    <n v="34"/>
    <s v="Chicago"/>
    <s v="Silver"/>
    <s v="Female"/>
    <b v="1"/>
    <x v="21"/>
  </r>
  <r>
    <s v="ORD-20786"/>
    <s v="CUST-5097"/>
    <d v="2024-05-18T00:00:00"/>
    <s v="Home &amp; Kitchen"/>
    <s v="Blender"/>
    <n v="64.989999999999995"/>
    <n v="2"/>
    <n v="15"/>
    <n v="55.24"/>
    <n v="110.48"/>
    <s v="Wallet"/>
    <s v="Delivered"/>
    <m/>
    <n v="64"/>
    <s v="Chicago"/>
    <s v="Free"/>
    <s v="Male"/>
    <b v="1"/>
    <x v="30"/>
  </r>
  <r>
    <s v="ORD-20787"/>
    <s v="CUST-5097"/>
    <d v="2023-12-03T00:00:00"/>
    <s v="Electronics"/>
    <s v="Bluetooth Speaker"/>
    <n v="49.99"/>
    <n v="1"/>
    <n v="0"/>
    <n v="49.99"/>
    <n v="49.99"/>
    <s v="Wallet"/>
    <s v="Delivered"/>
    <m/>
    <n v="64"/>
    <s v="Chicago"/>
    <s v="Free"/>
    <s v="Male"/>
    <b v="1"/>
    <x v="14"/>
  </r>
  <r>
    <s v="ORD-20788"/>
    <s v="CUST-5097"/>
    <d v="2023-10-13T00:00:00"/>
    <s v="Clothing"/>
    <s v="Running Shoes"/>
    <n v="89.99"/>
    <n v="2"/>
    <n v="0"/>
    <n v="89.99"/>
    <n v="179.98"/>
    <s v="Debit Card"/>
    <s v="Delivered"/>
    <n v="4"/>
    <n v="64"/>
    <s v="Chicago"/>
    <s v="Free"/>
    <s v="Male"/>
    <b v="1"/>
    <x v="13"/>
  </r>
  <r>
    <s v="ORD-20789"/>
    <s v="CUST-5097"/>
    <d v="2023-08-26T00:00:00"/>
    <s v="Toys"/>
    <s v="LEGO Classic Set"/>
    <n v="49.99"/>
    <n v="2"/>
    <n v="0"/>
    <n v="49.99"/>
    <n v="99.98"/>
    <s v="Debit Card"/>
    <s v="Shipped"/>
    <n v="3"/>
    <n v="64"/>
    <s v="Chicago"/>
    <s v="Free"/>
    <s v="Male"/>
    <b v="1"/>
    <x v="24"/>
  </r>
  <r>
    <s v="ORD-20790"/>
    <s v="CUST-5097"/>
    <d v="2024-01-26T00:00:00"/>
    <s v="Books"/>
    <s v="Business Analytics"/>
    <n v="39.99"/>
    <n v="1"/>
    <n v="10"/>
    <n v="35.99"/>
    <n v="35.99"/>
    <s v="PayPal"/>
    <s v="Returned"/>
    <m/>
    <n v="64"/>
    <s v="Chicago"/>
    <s v="Free"/>
    <s v="Male"/>
    <b v="1"/>
    <x v="25"/>
  </r>
  <r>
    <s v="ORD-20791"/>
    <s v="CUST-5097"/>
    <d v="2024-12-18T00:00:00"/>
    <s v="Home &amp; Kitchen"/>
    <s v="Blender"/>
    <n v="64.989999999999995"/>
    <n v="4"/>
    <n v="10"/>
    <n v="58.49"/>
    <n v="233.96"/>
    <s v="PayPal"/>
    <s v="Delivered"/>
    <m/>
    <n v="64"/>
    <s v="Chicago"/>
    <s v="Free"/>
    <s v="Male"/>
    <b v="1"/>
    <x v="32"/>
  </r>
  <r>
    <s v="ORD-20792"/>
    <s v="CUST-5097"/>
    <d v="2022-11-01T00:00:00"/>
    <s v="Sports"/>
    <s v="Yoga Mat"/>
    <n v="29.99"/>
    <n v="4"/>
    <n v="20"/>
    <n v="23.99"/>
    <n v="95.96"/>
    <s v="PayPal"/>
    <s v="Delivered"/>
    <n v="4"/>
    <n v="64"/>
    <s v="Chicago"/>
    <s v="Free"/>
    <s v="Male"/>
    <b v="1"/>
    <x v="3"/>
  </r>
  <r>
    <s v="ORD-20793"/>
    <s v="CUST-5097"/>
    <d v="2022-07-28T00:00:00"/>
    <s v="Sports"/>
    <s v="Resistance Bands"/>
    <n v="19.989999999999998"/>
    <n v="3"/>
    <n v="0"/>
    <n v="19.989999999999998"/>
    <n v="59.97"/>
    <s v="PayPal"/>
    <s v="Delivered"/>
    <n v="4"/>
    <n v="64"/>
    <s v="Chicago"/>
    <s v="Free"/>
    <s v="Male"/>
    <b v="1"/>
    <x v="33"/>
  </r>
  <r>
    <s v="ORD-20794"/>
    <s v="CUST-5097"/>
    <d v="2022-05-16T00:00:00"/>
    <s v="Toys"/>
    <s v="LEGO Classic Set"/>
    <n v="49.99"/>
    <n v="1"/>
    <n v="5"/>
    <n v="47.49"/>
    <n v="47.49"/>
    <s v="UPI"/>
    <s v="Delivered"/>
    <m/>
    <n v="64"/>
    <s v="Chicago"/>
    <s v="Free"/>
    <s v="Male"/>
    <b v="1"/>
    <x v="31"/>
  </r>
  <r>
    <s v="ORD-20795"/>
    <s v="CUST-5098"/>
    <d v="2024-01-10T00:00:00"/>
    <s v="Toys"/>
    <s v="Action Figure"/>
    <n v="19.989999999999998"/>
    <n v="3"/>
    <n v="0"/>
    <n v="19.989999999999998"/>
    <n v="59.97"/>
    <s v="UPI"/>
    <s v="Delivered"/>
    <n v="4"/>
    <n v="35"/>
    <s v="San Diego"/>
    <s v="Silver"/>
    <s v="Female"/>
    <b v="1"/>
    <x v="25"/>
  </r>
  <r>
    <s v="ORD-20796"/>
    <s v="CUST-5098"/>
    <d v="2024-02-06T00:00:00"/>
    <s v="Clothing"/>
    <s v="Cotton T-Shirt"/>
    <n v="24.99"/>
    <n v="4"/>
    <n v="0"/>
    <n v="24.99"/>
    <n v="99.96"/>
    <s v="Debit Card"/>
    <s v="Delivered"/>
    <m/>
    <n v="35"/>
    <s v="San Diego"/>
    <s v="Silver"/>
    <s v="Female"/>
    <b v="1"/>
    <x v="0"/>
  </r>
  <r>
    <s v="ORD-20797"/>
    <s v="CUST-5098"/>
    <d v="2022-09-09T00:00:00"/>
    <s v="Clothing"/>
    <s v="Cotton T-Shirt"/>
    <n v="24.99"/>
    <n v="4"/>
    <n v="0"/>
    <n v="24.99"/>
    <n v="99.96"/>
    <s v="Wallet"/>
    <s v="Delivered"/>
    <m/>
    <n v="35"/>
    <s v="San Diego"/>
    <s v="Silver"/>
    <s v="Female"/>
    <b v="1"/>
    <x v="22"/>
  </r>
  <r>
    <s v="ORD-20798"/>
    <s v="CUST-5098"/>
    <d v="2024-06-15T00:00:00"/>
    <s v="Sports"/>
    <s v="Yoga Mat"/>
    <n v="29.99"/>
    <n v="2"/>
    <n v="10"/>
    <n v="26.99"/>
    <n v="53.98"/>
    <s v="Wallet"/>
    <s v="Delivered"/>
    <n v="5"/>
    <n v="35"/>
    <s v="San Diego"/>
    <s v="Silver"/>
    <s v="Female"/>
    <b v="1"/>
    <x v="35"/>
  </r>
  <r>
    <s v="ORD-20799"/>
    <s v="CUST-5098"/>
    <d v="2024-01-19T00:00:00"/>
    <s v="Electronics"/>
    <s v="Bluetooth Speaker"/>
    <n v="49.99"/>
    <n v="1"/>
    <n v="15"/>
    <n v="42.49"/>
    <n v="42.49"/>
    <s v="UPI"/>
    <s v="Delivered"/>
    <n v="4"/>
    <n v="35"/>
    <s v="San Diego"/>
    <s v="Silver"/>
    <s v="Female"/>
    <b v="1"/>
    <x v="25"/>
  </r>
  <r>
    <s v="ORD-20800"/>
    <s v="CUST-5098"/>
    <d v="2023-03-26T00:00:00"/>
    <s v="Clothing"/>
    <s v="Running Shoes"/>
    <n v="89.99"/>
    <n v="4"/>
    <n v="20"/>
    <n v="71.989999999999995"/>
    <n v="287.95999999999998"/>
    <s v="Wallet"/>
    <s v="Delivered"/>
    <m/>
    <n v="35"/>
    <s v="San Diego"/>
    <s v="Silver"/>
    <s v="Female"/>
    <b v="1"/>
    <x v="23"/>
  </r>
  <r>
    <s v="ORD-20801"/>
    <s v="CUST-5098"/>
    <d v="2022-12-23T00:00:00"/>
    <s v="Clothing"/>
    <s v="Running Shoes"/>
    <n v="89.99"/>
    <n v="1"/>
    <n v="5"/>
    <n v="85.49"/>
    <n v="85.49"/>
    <s v="UPI"/>
    <s v="Delivered"/>
    <m/>
    <n v="35"/>
    <s v="San Diego"/>
    <s v="Silver"/>
    <s v="Female"/>
    <b v="1"/>
    <x v="28"/>
  </r>
  <r>
    <s v="ORD-20802"/>
    <s v="CUST-5098"/>
    <d v="2023-09-16T00:00:00"/>
    <s v="Toys"/>
    <s v="LEGO Classic Set"/>
    <n v="49.99"/>
    <n v="1"/>
    <n v="0"/>
    <n v="49.99"/>
    <n v="49.99"/>
    <s v="PayPal"/>
    <s v="Shipped"/>
    <n v="4"/>
    <n v="35"/>
    <s v="San Diego"/>
    <s v="Silver"/>
    <s v="Female"/>
    <b v="1"/>
    <x v="6"/>
  </r>
  <r>
    <s v="ORD-20803"/>
    <s v="CUST-5098"/>
    <d v="2022-06-25T00:00:00"/>
    <s v="Electronics"/>
    <s v="Bluetooth Speaker"/>
    <n v="49.99"/>
    <n v="1"/>
    <n v="5"/>
    <n v="47.49"/>
    <n v="47.49"/>
    <s v="Debit Card"/>
    <s v="Delivered"/>
    <m/>
    <n v="35"/>
    <s v="San Diego"/>
    <s v="Silver"/>
    <s v="Female"/>
    <b v="1"/>
    <x v="8"/>
  </r>
  <r>
    <s v="ORD-20804"/>
    <s v="CUST-5098"/>
    <d v="2023-09-11T00:00:00"/>
    <s v="Clothing"/>
    <s v="Denim Jacket"/>
    <n v="69.989999999999995"/>
    <n v="1"/>
    <n v="15"/>
    <n v="59.49"/>
    <n v="59.49"/>
    <s v="UPI"/>
    <s v="Shipped"/>
    <n v="4"/>
    <n v="35"/>
    <s v="San Diego"/>
    <s v="Silver"/>
    <s v="Female"/>
    <b v="1"/>
    <x v="6"/>
  </r>
  <r>
    <s v="ORD-20805"/>
    <s v="CUST-5098"/>
    <d v="2023-04-02T00:00:00"/>
    <s v="Toys"/>
    <s v="Remote Control Car"/>
    <n v="39.99"/>
    <n v="4"/>
    <n v="20"/>
    <n v="31.99"/>
    <n v="127.96"/>
    <s v="PayPal"/>
    <s v="Delivered"/>
    <m/>
    <n v="35"/>
    <s v="San Diego"/>
    <s v="Silver"/>
    <s v="Female"/>
    <b v="1"/>
    <x v="18"/>
  </r>
  <r>
    <s v="ORD-20806"/>
    <s v="CUST-5099"/>
    <d v="2022-02-21T00:00:00"/>
    <s v="Toys"/>
    <s v="Action Figure"/>
    <n v="19.989999999999998"/>
    <n v="1"/>
    <n v="10"/>
    <n v="17.989999999999998"/>
    <n v="17.989999999999998"/>
    <s v="PayPal"/>
    <s v="Delivered"/>
    <n v="4"/>
    <n v="51"/>
    <s v="San Antonio"/>
    <s v="Free"/>
    <s v="Male"/>
    <b v="1"/>
    <x v="17"/>
  </r>
  <r>
    <s v="ORD-20807"/>
    <s v="CUST-5099"/>
    <d v="2024-04-15T00:00:00"/>
    <s v="Toys"/>
    <s v="LEGO Classic Set"/>
    <n v="49.99"/>
    <n v="3"/>
    <n v="10"/>
    <n v="44.99"/>
    <n v="134.97"/>
    <s v="PayPal"/>
    <s v="Delivered"/>
    <n v="3"/>
    <n v="51"/>
    <s v="San Antonio"/>
    <s v="Free"/>
    <s v="Male"/>
    <b v="1"/>
    <x v="27"/>
  </r>
  <r>
    <s v="ORD-20808"/>
    <s v="CUST-5099"/>
    <d v="2022-04-06T00:00:00"/>
    <s v="Books"/>
    <s v="Python for Beginners"/>
    <n v="29.99"/>
    <n v="1"/>
    <n v="10"/>
    <n v="26.99"/>
    <n v="26.99"/>
    <s v="UPI"/>
    <s v="Delivered"/>
    <m/>
    <n v="51"/>
    <s v="San Antonio"/>
    <s v="Free"/>
    <s v="Male"/>
    <b v="1"/>
    <x v="12"/>
  </r>
  <r>
    <s v="ORD-20809"/>
    <s v="CUST-5099"/>
    <d v="2023-09-08T00:00:00"/>
    <s v="Toys"/>
    <s v="Puzzle 1000pcs"/>
    <n v="24.99"/>
    <n v="3"/>
    <n v="15"/>
    <n v="21.24"/>
    <n v="63.72"/>
    <s v="UPI"/>
    <s v="Cancelled"/>
    <n v="5"/>
    <n v="51"/>
    <s v="San Antonio"/>
    <s v="Free"/>
    <s v="Male"/>
    <b v="1"/>
    <x v="6"/>
  </r>
  <r>
    <s v="ORD-20810"/>
    <s v="CUST-5099"/>
    <d v="2024-02-24T00:00:00"/>
    <s v="Home &amp; Kitchen"/>
    <s v="Blender"/>
    <n v="64.989999999999995"/>
    <n v="1"/>
    <n v="0"/>
    <n v="64.989999999999995"/>
    <n v="64.989999999999995"/>
    <s v="PayPal"/>
    <s v="Delivered"/>
    <n v="4"/>
    <n v="51"/>
    <s v="San Antonio"/>
    <s v="Free"/>
    <s v="Male"/>
    <b v="1"/>
    <x v="0"/>
  </r>
  <r>
    <s v="ORD-20811"/>
    <s v="CUST-5099"/>
    <d v="2022-04-03T00:00:00"/>
    <s v="Clothing"/>
    <s v="Yoga Pants"/>
    <n v="44.99"/>
    <n v="1"/>
    <n v="0"/>
    <n v="44.99"/>
    <n v="44.99"/>
    <s v="Debit Card"/>
    <s v="Delivered"/>
    <n v="1"/>
    <n v="51"/>
    <s v="San Antonio"/>
    <s v="Free"/>
    <s v="Male"/>
    <b v="1"/>
    <x v="12"/>
  </r>
  <r>
    <s v="ORD-20812"/>
    <s v="CUST-5099"/>
    <d v="2022-11-17T00:00:00"/>
    <s v="Toys"/>
    <s v="Action Figure"/>
    <n v="19.989999999999998"/>
    <n v="1"/>
    <n v="15"/>
    <n v="16.989999999999998"/>
    <n v="16.989999999999998"/>
    <s v="UPI"/>
    <s v="Delivered"/>
    <n v="5"/>
    <n v="51"/>
    <s v="San Antonio"/>
    <s v="Free"/>
    <s v="Male"/>
    <b v="1"/>
    <x v="3"/>
  </r>
  <r>
    <s v="ORD-20813"/>
    <s v="CUST-5099"/>
    <d v="2024-09-13T00:00:00"/>
    <s v="Home &amp; Kitchen"/>
    <s v="Non-stick Pan Set"/>
    <n v="44.99"/>
    <n v="3"/>
    <n v="0"/>
    <n v="44.99"/>
    <n v="134.97"/>
    <s v="Wallet"/>
    <s v="Delivered"/>
    <n v="3"/>
    <n v="51"/>
    <s v="San Antonio"/>
    <s v="Free"/>
    <s v="Male"/>
    <b v="1"/>
    <x v="15"/>
  </r>
  <r>
    <s v="ORD-20814"/>
    <s v="CUST-5099"/>
    <d v="2024-10-07T00:00:00"/>
    <s v="Home &amp; Kitchen"/>
    <s v="Non-stick Pan Set"/>
    <n v="44.99"/>
    <n v="2"/>
    <n v="10"/>
    <n v="40.49"/>
    <n v="80.98"/>
    <s v="PayPal"/>
    <s v="Delivered"/>
    <n v="5"/>
    <n v="51"/>
    <s v="San Antonio"/>
    <s v="Free"/>
    <s v="Male"/>
    <b v="1"/>
    <x v="21"/>
  </r>
  <r>
    <s v="ORD-20815"/>
    <s v="CUST-5100"/>
    <d v="2023-02-11T00:00:00"/>
    <s v="Clothing"/>
    <s v="Cotton T-Shirt"/>
    <n v="24.99"/>
    <n v="3"/>
    <n v="5"/>
    <n v="23.74"/>
    <n v="71.22"/>
    <s v="Credit Card"/>
    <s v="Delivered"/>
    <n v="4"/>
    <n v="32"/>
    <s v="Phoenix"/>
    <s v="Free"/>
    <s v="Female"/>
    <b v="1"/>
    <x v="34"/>
  </r>
  <r>
    <s v="ORD-20816"/>
    <s v="CUST-5100"/>
    <d v="2024-04-25T00:00:00"/>
    <s v="Sports"/>
    <s v="Yoga Mat"/>
    <n v="29.99"/>
    <n v="3"/>
    <n v="0"/>
    <n v="29.99"/>
    <n v="89.97"/>
    <s v="Wallet"/>
    <s v="Delivered"/>
    <n v="4"/>
    <n v="32"/>
    <s v="Phoenix"/>
    <s v="Free"/>
    <s v="Female"/>
    <b v="1"/>
    <x v="27"/>
  </r>
  <r>
    <s v="ORD-20817"/>
    <s v="CUST-5100"/>
    <d v="2022-04-01T00:00:00"/>
    <s v="Toys"/>
    <s v="Remote Control Car"/>
    <n v="39.99"/>
    <n v="4"/>
    <n v="20"/>
    <n v="31.99"/>
    <n v="127.96"/>
    <s v="PayPal"/>
    <s v="Delivered"/>
    <n v="4"/>
    <n v="32"/>
    <s v="Phoenix"/>
    <s v="Free"/>
    <s v="Female"/>
    <b v="1"/>
    <x v="12"/>
  </r>
  <r>
    <s v="ORD-20818"/>
    <s v="CUST-5100"/>
    <d v="2024-01-24T00:00:00"/>
    <s v="Sports"/>
    <s v="Jump Rope"/>
    <n v="14.99"/>
    <n v="1"/>
    <n v="10"/>
    <n v="13.49"/>
    <n v="13.49"/>
    <s v="Debit Card"/>
    <s v="Delivered"/>
    <n v="4"/>
    <n v="32"/>
    <s v="Phoenix"/>
    <s v="Free"/>
    <s v="Female"/>
    <b v="1"/>
    <x v="25"/>
  </r>
  <r>
    <s v="ORD-20819"/>
    <s v="CUST-5100"/>
    <d v="2024-04-16T00:00:00"/>
    <s v="Clothing"/>
    <s v="Running Shoes"/>
    <n v="89.99"/>
    <n v="1"/>
    <n v="0"/>
    <n v="89.99"/>
    <n v="89.99"/>
    <s v="PayPal"/>
    <s v="Delivered"/>
    <n v="3"/>
    <n v="32"/>
    <s v="Phoenix"/>
    <s v="Free"/>
    <s v="Female"/>
    <b v="1"/>
    <x v="27"/>
  </r>
  <r>
    <s v="ORD-20820"/>
    <s v="CUST-5100"/>
    <d v="2023-04-12T00:00:00"/>
    <s v="Clothing"/>
    <s v="Running Shoes"/>
    <n v="89.99"/>
    <n v="1"/>
    <n v="5"/>
    <n v="85.49"/>
    <n v="85.49"/>
    <s v="Credit Card"/>
    <s v="Delivered"/>
    <n v="5"/>
    <n v="32"/>
    <s v="Phoenix"/>
    <s v="Free"/>
    <s v="Female"/>
    <b v="1"/>
    <x v="18"/>
  </r>
  <r>
    <s v="ORD-20821"/>
    <s v="CUST-5100"/>
    <d v="2022-10-24T00:00:00"/>
    <s v="Sports"/>
    <s v="Resistance Bands"/>
    <n v="19.989999999999998"/>
    <n v="3"/>
    <n v="0"/>
    <n v="19.989999999999998"/>
    <n v="59.97"/>
    <s v="Debit Card"/>
    <s v="Delivered"/>
    <n v="5"/>
    <n v="32"/>
    <s v="Phoenix"/>
    <s v="Free"/>
    <s v="Female"/>
    <b v="1"/>
    <x v="20"/>
  </r>
  <r>
    <s v="ORD-20822"/>
    <s v="CUST-5100"/>
    <d v="2024-01-12T00:00:00"/>
    <s v="Clothing"/>
    <s v="Yoga Pants"/>
    <n v="44.99"/>
    <n v="1"/>
    <n v="10"/>
    <n v="40.49"/>
    <n v="40.49"/>
    <s v="Credit Card"/>
    <s v="Delivered"/>
    <n v="4"/>
    <n v="32"/>
    <s v="Phoenix"/>
    <s v="Free"/>
    <s v="Female"/>
    <b v="1"/>
    <x v="25"/>
  </r>
  <r>
    <s v="ORD-20823"/>
    <s v="CUST-5100"/>
    <d v="2022-03-28T00:00:00"/>
    <s v="Home &amp; Kitchen"/>
    <s v="Non-stick Pan Set"/>
    <n v="44.99"/>
    <n v="3"/>
    <n v="5"/>
    <n v="42.74"/>
    <n v="128.22"/>
    <s v="PayPal"/>
    <s v="Delivered"/>
    <n v="4"/>
    <n v="32"/>
    <s v="Phoenix"/>
    <s v="Free"/>
    <s v="Female"/>
    <b v="1"/>
    <x v="11"/>
  </r>
  <r>
    <s v="ORD-20824"/>
    <s v="CUST-5100"/>
    <d v="2023-01-19T00:00:00"/>
    <s v="Beauty"/>
    <s v="Moisturizer SPF 50"/>
    <n v="29.99"/>
    <n v="1"/>
    <n v="15"/>
    <n v="25.49"/>
    <n v="25.49"/>
    <s v="PayPal"/>
    <s v="Delivered"/>
    <m/>
    <n v="32"/>
    <s v="Phoenix"/>
    <s v="Free"/>
    <s v="Female"/>
    <b v="1"/>
    <x v="10"/>
  </r>
  <r>
    <s v="ORD-20825"/>
    <s v="CUST-5100"/>
    <d v="2023-10-25T00:00:00"/>
    <s v="Sports"/>
    <s v="Jump Rope"/>
    <n v="14.99"/>
    <n v="4"/>
    <n v="0"/>
    <n v="14.99"/>
    <n v="59.96"/>
    <s v="Credit Card"/>
    <s v="Delivered"/>
    <n v="5"/>
    <n v="32"/>
    <s v="Phoenix"/>
    <s v="Free"/>
    <s v="Female"/>
    <b v="1"/>
    <x v="13"/>
  </r>
  <r>
    <s v="ORD-20826"/>
    <s v="CUST-5101"/>
    <d v="2022-07-08T00:00:00"/>
    <s v="Sports"/>
    <s v="Water Bottle"/>
    <n v="24.99"/>
    <n v="2"/>
    <n v="0"/>
    <n v="24.99"/>
    <n v="49.98"/>
    <s v="Credit Card"/>
    <s v="Delivered"/>
    <n v="5"/>
    <n v="58"/>
    <s v="San Jose"/>
    <s v="Free"/>
    <s v="Female"/>
    <b v="1"/>
    <x v="33"/>
  </r>
  <r>
    <s v="ORD-20827"/>
    <s v="CUST-5101"/>
    <d v="2022-09-15T00:00:00"/>
    <s v="Home &amp; Kitchen"/>
    <s v="Air Fryer"/>
    <n v="89.99"/>
    <n v="1"/>
    <n v="10"/>
    <n v="80.989999999999995"/>
    <n v="80.989999999999995"/>
    <s v="PayPal"/>
    <s v="Delivered"/>
    <n v="3"/>
    <n v="58"/>
    <s v="San Jose"/>
    <s v="Free"/>
    <s v="Female"/>
    <b v="1"/>
    <x v="22"/>
  </r>
  <r>
    <s v="ORD-20828"/>
    <s v="CUST-5101"/>
    <d v="2022-10-08T00:00:00"/>
    <s v="Toys"/>
    <s v="Action Figure"/>
    <n v="19.989999999999998"/>
    <n v="1"/>
    <n v="20"/>
    <n v="15.99"/>
    <n v="15.99"/>
    <s v="Wallet"/>
    <s v="Delivered"/>
    <n v="5"/>
    <n v="58"/>
    <s v="San Jose"/>
    <s v="Free"/>
    <s v="Female"/>
    <b v="1"/>
    <x v="20"/>
  </r>
  <r>
    <s v="ORD-20829"/>
    <s v="CUST-5101"/>
    <d v="2023-11-24T00:00:00"/>
    <s v="Home &amp; Kitchen"/>
    <s v="Non-stick Pan Set"/>
    <n v="44.99"/>
    <n v="1"/>
    <n v="10"/>
    <n v="40.49"/>
    <n v="40.49"/>
    <s v="Wallet"/>
    <s v="Delivered"/>
    <n v="2"/>
    <n v="58"/>
    <s v="San Jose"/>
    <s v="Free"/>
    <s v="Female"/>
    <b v="1"/>
    <x v="29"/>
  </r>
  <r>
    <s v="ORD-20830"/>
    <s v="CUST-5101"/>
    <d v="2022-02-24T00:00:00"/>
    <s v="Home &amp; Kitchen"/>
    <s v="Coffee Maker"/>
    <n v="59.99"/>
    <n v="1"/>
    <n v="5"/>
    <n v="56.99"/>
    <n v="56.99"/>
    <s v="PayPal"/>
    <s v="Delivered"/>
    <n v="3"/>
    <n v="58"/>
    <s v="San Jose"/>
    <s v="Free"/>
    <s v="Female"/>
    <b v="1"/>
    <x v="17"/>
  </r>
  <r>
    <s v="ORD-20831"/>
    <s v="CUST-5101"/>
    <d v="2022-04-25T00:00:00"/>
    <s v="Sports"/>
    <s v="Jump Rope"/>
    <n v="14.99"/>
    <n v="1"/>
    <n v="5"/>
    <n v="14.24"/>
    <n v="14.24"/>
    <s v="Wallet"/>
    <s v="Delivered"/>
    <n v="4"/>
    <n v="58"/>
    <s v="San Jose"/>
    <s v="Free"/>
    <s v="Female"/>
    <b v="1"/>
    <x v="12"/>
  </r>
  <r>
    <s v="ORD-20832"/>
    <s v="CUST-5101"/>
    <d v="2024-01-14T00:00:00"/>
    <s v="Home &amp; Kitchen"/>
    <s v="Blender"/>
    <n v="64.989999999999995"/>
    <n v="2"/>
    <n v="10"/>
    <n v="58.49"/>
    <n v="116.98"/>
    <s v="Credit Card"/>
    <s v="Delivered"/>
    <n v="4"/>
    <n v="58"/>
    <s v="San Jose"/>
    <s v="Free"/>
    <s v="Female"/>
    <b v="1"/>
    <x v="25"/>
  </r>
  <r>
    <s v="ORD-20833"/>
    <s v="CUST-5102"/>
    <d v="2023-07-11T00:00:00"/>
    <s v="Electronics"/>
    <s v="USB-C Hub"/>
    <n v="34.99"/>
    <n v="4"/>
    <n v="0"/>
    <n v="34.99"/>
    <n v="139.96"/>
    <s v="Credit Card"/>
    <s v="Delivered"/>
    <m/>
    <n v="57"/>
    <s v="San Jose"/>
    <s v="Free"/>
    <s v="Male"/>
    <b v="1"/>
    <x v="9"/>
  </r>
  <r>
    <s v="ORD-20834"/>
    <s v="CUST-5102"/>
    <d v="2023-03-23T00:00:00"/>
    <s v="Electronics"/>
    <s v="Bluetooth Speaker"/>
    <n v="49.99"/>
    <n v="2"/>
    <n v="10"/>
    <n v="44.99"/>
    <n v="89.98"/>
    <s v="Credit Card"/>
    <s v="Delivered"/>
    <n v="2"/>
    <n v="57"/>
    <s v="San Jose"/>
    <s v="Free"/>
    <s v="Male"/>
    <b v="1"/>
    <x v="23"/>
  </r>
  <r>
    <s v="ORD-20835"/>
    <s v="CUST-5102"/>
    <d v="2023-12-10T00:00:00"/>
    <s v="Books"/>
    <s v="Business Analytics"/>
    <n v="39.99"/>
    <n v="4"/>
    <n v="5"/>
    <n v="37.99"/>
    <n v="151.96"/>
    <s v="Wallet"/>
    <s v="Delivered"/>
    <m/>
    <n v="57"/>
    <s v="San Jose"/>
    <s v="Free"/>
    <s v="Male"/>
    <b v="1"/>
    <x v="14"/>
  </r>
  <r>
    <s v="ORD-20836"/>
    <s v="CUST-5102"/>
    <d v="2022-09-18T00:00:00"/>
    <s v="Electronics"/>
    <s v="Smart Watch"/>
    <n v="199.99"/>
    <n v="4"/>
    <n v="0"/>
    <n v="199.99"/>
    <n v="799.96"/>
    <s v="Wallet"/>
    <s v="Delivered"/>
    <n v="4"/>
    <n v="57"/>
    <s v="San Jose"/>
    <s v="Free"/>
    <s v="Male"/>
    <b v="1"/>
    <x v="22"/>
  </r>
  <r>
    <s v="ORD-20837"/>
    <s v="CUST-5102"/>
    <d v="2024-03-24T00:00:00"/>
    <s v="Sports"/>
    <s v="Yoga Mat"/>
    <n v="29.99"/>
    <n v="1"/>
    <n v="15"/>
    <n v="25.49"/>
    <n v="25.49"/>
    <s v="Debit Card"/>
    <s v="Processing"/>
    <n v="2"/>
    <n v="57"/>
    <s v="San Jose"/>
    <s v="Free"/>
    <s v="Male"/>
    <b v="1"/>
    <x v="1"/>
  </r>
  <r>
    <s v="ORD-20838"/>
    <s v="CUST-5102"/>
    <d v="2022-05-19T00:00:00"/>
    <s v="Beauty"/>
    <s v="Lip Balm Set"/>
    <n v="14.99"/>
    <n v="1"/>
    <n v="10"/>
    <n v="13.49"/>
    <n v="13.49"/>
    <s v="PayPal"/>
    <s v="Shipped"/>
    <n v="4"/>
    <n v="57"/>
    <s v="San Jose"/>
    <s v="Free"/>
    <s v="Male"/>
    <b v="1"/>
    <x v="31"/>
  </r>
  <r>
    <s v="ORD-20839"/>
    <s v="CUST-5102"/>
    <d v="2024-12-26T00:00:00"/>
    <s v="Sports"/>
    <s v="Jump Rope"/>
    <n v="14.99"/>
    <n v="4"/>
    <n v="20"/>
    <n v="11.99"/>
    <n v="47.96"/>
    <s v="Credit Card"/>
    <s v="Delivered"/>
    <n v="3"/>
    <n v="57"/>
    <s v="San Jose"/>
    <s v="Free"/>
    <s v="Male"/>
    <b v="1"/>
    <x v="32"/>
  </r>
  <r>
    <s v="ORD-20840"/>
    <s v="CUST-5102"/>
    <d v="2023-03-13T00:00:00"/>
    <s v="Beauty"/>
    <s v="Hair Mask"/>
    <n v="24.99"/>
    <n v="4"/>
    <n v="0"/>
    <n v="24.99"/>
    <n v="99.96"/>
    <s v="Credit Card"/>
    <s v="Delivered"/>
    <n v="5"/>
    <n v="57"/>
    <s v="San Jose"/>
    <s v="Free"/>
    <s v="Male"/>
    <b v="1"/>
    <x v="23"/>
  </r>
  <r>
    <s v="ORD-20841"/>
    <s v="CUST-5102"/>
    <d v="2023-08-17T00:00:00"/>
    <s v="Beauty"/>
    <s v="Moisturizer SPF 50"/>
    <n v="29.99"/>
    <n v="3"/>
    <n v="0"/>
    <n v="29.99"/>
    <n v="89.97"/>
    <s v="PayPal"/>
    <s v="Delivered"/>
    <n v="5"/>
    <n v="57"/>
    <s v="San Jose"/>
    <s v="Free"/>
    <s v="Male"/>
    <b v="1"/>
    <x v="24"/>
  </r>
  <r>
    <s v="ORD-20842"/>
    <s v="CUST-5102"/>
    <d v="2023-04-15T00:00:00"/>
    <s v="Electronics"/>
    <s v="USB-C Hub"/>
    <n v="34.99"/>
    <n v="3"/>
    <n v="0"/>
    <n v="34.99"/>
    <n v="104.97"/>
    <s v="Debit Card"/>
    <s v="Delivered"/>
    <m/>
    <n v="57"/>
    <s v="San Jose"/>
    <s v="Free"/>
    <s v="Male"/>
    <b v="1"/>
    <x v="18"/>
  </r>
  <r>
    <s v="ORD-20843"/>
    <s v="CUST-5102"/>
    <d v="2022-02-15T00:00:00"/>
    <s v="Books"/>
    <s v="Business Analytics"/>
    <n v="39.99"/>
    <n v="3"/>
    <n v="20"/>
    <n v="31.99"/>
    <n v="95.97"/>
    <s v="Wallet"/>
    <s v="Delivered"/>
    <n v="4"/>
    <n v="57"/>
    <s v="San Jose"/>
    <s v="Free"/>
    <s v="Male"/>
    <b v="1"/>
    <x v="17"/>
  </r>
  <r>
    <s v="ORD-20844"/>
    <s v="CUST-5102"/>
    <d v="2022-07-20T00:00:00"/>
    <s v="Beauty"/>
    <s v="Hair Mask"/>
    <n v="24.99"/>
    <n v="2"/>
    <n v="0"/>
    <n v="24.99"/>
    <n v="49.98"/>
    <s v="Wallet"/>
    <s v="Delivered"/>
    <n v="3"/>
    <n v="57"/>
    <s v="San Jose"/>
    <s v="Free"/>
    <s v="Male"/>
    <b v="1"/>
    <x v="33"/>
  </r>
  <r>
    <s v="ORD-20845"/>
    <s v="CUST-5102"/>
    <d v="2023-10-10T00:00:00"/>
    <s v="Clothing"/>
    <s v="Cotton T-Shirt"/>
    <n v="24.99"/>
    <n v="2"/>
    <n v="5"/>
    <n v="23.74"/>
    <n v="47.48"/>
    <s v="UPI"/>
    <s v="Delivered"/>
    <m/>
    <n v="57"/>
    <s v="San Jose"/>
    <s v="Free"/>
    <s v="Male"/>
    <b v="1"/>
    <x v="13"/>
  </r>
  <r>
    <s v="ORD-20846"/>
    <s v="CUST-5102"/>
    <d v="2023-03-21T00:00:00"/>
    <s v="Beauty"/>
    <s v="Face Serum"/>
    <n v="39.99"/>
    <n v="1"/>
    <n v="20"/>
    <n v="31.99"/>
    <n v="31.99"/>
    <s v="Credit Card"/>
    <s v="Delivered"/>
    <n v="5"/>
    <n v="57"/>
    <s v="San Jose"/>
    <s v="Free"/>
    <s v="Male"/>
    <b v="1"/>
    <x v="23"/>
  </r>
  <r>
    <s v="ORD-20847"/>
    <s v="CUST-5102"/>
    <d v="2024-04-20T00:00:00"/>
    <s v="Sports"/>
    <s v="Yoga Mat"/>
    <n v="29.99"/>
    <n v="3"/>
    <n v="0"/>
    <n v="29.99"/>
    <n v="89.97"/>
    <s v="Credit Card"/>
    <s v="Delivered"/>
    <n v="2"/>
    <n v="57"/>
    <s v="San Jose"/>
    <s v="Free"/>
    <s v="Male"/>
    <b v="1"/>
    <x v="27"/>
  </r>
  <r>
    <s v="ORD-20848"/>
    <s v="CUST-5103"/>
    <d v="2022-04-25T00:00:00"/>
    <s v="Home &amp; Kitchen"/>
    <s v="Air Fryer"/>
    <n v="89.99"/>
    <n v="3"/>
    <n v="5"/>
    <n v="85.49"/>
    <n v="256.47000000000003"/>
    <s v="Debit Card"/>
    <s v="Delivered"/>
    <n v="1"/>
    <n v="47"/>
    <s v="Chicago"/>
    <s v="Free"/>
    <s v="Female"/>
    <b v="1"/>
    <x v="12"/>
  </r>
  <r>
    <s v="ORD-20849"/>
    <s v="CUST-5104"/>
    <d v="2022-09-10T00:00:00"/>
    <s v="Books"/>
    <s v="Business Analytics"/>
    <n v="39.99"/>
    <n v="4"/>
    <n v="10"/>
    <n v="35.99"/>
    <n v="143.96"/>
    <s v="Credit Card"/>
    <s v="Delivered"/>
    <n v="4"/>
    <n v="59"/>
    <s v="San Jose"/>
    <s v="Free"/>
    <s v="Female"/>
    <b v="1"/>
    <x v="22"/>
  </r>
  <r>
    <s v="ORD-20850"/>
    <s v="CUST-5104"/>
    <d v="2022-07-05T00:00:00"/>
    <s v="Sports"/>
    <s v="Resistance Bands"/>
    <n v="19.989999999999998"/>
    <n v="1"/>
    <n v="0"/>
    <n v="19.989999999999998"/>
    <n v="19.989999999999998"/>
    <s v="UPI"/>
    <s v="Delivered"/>
    <n v="2"/>
    <n v="59"/>
    <s v="San Jose"/>
    <s v="Free"/>
    <s v="Female"/>
    <b v="1"/>
    <x v="33"/>
  </r>
  <r>
    <s v="ORD-20851"/>
    <s v="CUST-5104"/>
    <d v="2023-10-21T00:00:00"/>
    <s v="Beauty"/>
    <s v="Hair Mask"/>
    <n v="24.99"/>
    <n v="1"/>
    <n v="20"/>
    <n v="19.989999999999998"/>
    <n v="19.989999999999998"/>
    <s v="Debit Card"/>
    <s v="Shipped"/>
    <m/>
    <n v="59"/>
    <s v="San Jose"/>
    <s v="Free"/>
    <s v="Female"/>
    <b v="1"/>
    <x v="13"/>
  </r>
  <r>
    <s v="ORD-20852"/>
    <s v="CUST-5104"/>
    <d v="2022-01-19T00:00:00"/>
    <s v="Toys"/>
    <s v="LEGO Classic Set"/>
    <n v="49.99"/>
    <n v="4"/>
    <n v="15"/>
    <n v="42.49"/>
    <n v="169.96"/>
    <s v="Wallet"/>
    <s v="Delivered"/>
    <n v="5"/>
    <n v="59"/>
    <s v="San Jose"/>
    <s v="Free"/>
    <s v="Female"/>
    <b v="1"/>
    <x v="2"/>
  </r>
  <r>
    <s v="ORD-20853"/>
    <s v="CUST-5104"/>
    <d v="2022-12-08T00:00:00"/>
    <s v="Books"/>
    <s v="Data Science Handbook"/>
    <n v="49.99"/>
    <n v="4"/>
    <n v="0"/>
    <n v="49.99"/>
    <n v="199.96"/>
    <s v="Credit Card"/>
    <s v="Delivered"/>
    <n v="3"/>
    <n v="59"/>
    <s v="San Jose"/>
    <s v="Free"/>
    <s v="Female"/>
    <b v="1"/>
    <x v="28"/>
  </r>
  <r>
    <s v="ORD-20854"/>
    <s v="CUST-5104"/>
    <d v="2024-01-17T00:00:00"/>
    <s v="Books"/>
    <s v="Python for Beginners"/>
    <n v="29.99"/>
    <n v="2"/>
    <n v="0"/>
    <n v="29.99"/>
    <n v="59.98"/>
    <s v="UPI"/>
    <s v="Delivered"/>
    <m/>
    <n v="59"/>
    <s v="San Jose"/>
    <s v="Free"/>
    <s v="Female"/>
    <b v="1"/>
    <x v="25"/>
  </r>
  <r>
    <s v="ORD-20855"/>
    <s v="CUST-5105"/>
    <d v="2024-11-28T00:00:00"/>
    <s v="Toys"/>
    <s v="LEGO Classic Set"/>
    <n v="49.99"/>
    <n v="1"/>
    <n v="20"/>
    <n v="39.99"/>
    <n v="39.99"/>
    <s v="Credit Card"/>
    <s v="Delivered"/>
    <m/>
    <n v="53"/>
    <s v="Austin"/>
    <s v="Free"/>
    <s v="Female"/>
    <b v="1"/>
    <x v="16"/>
  </r>
  <r>
    <s v="ORD-20856"/>
    <s v="CUST-5105"/>
    <d v="2022-09-26T00:00:00"/>
    <s v="Toys"/>
    <s v="Action Figure"/>
    <n v="19.989999999999998"/>
    <n v="4"/>
    <n v="0"/>
    <n v="19.989999999999998"/>
    <n v="79.959999999999994"/>
    <s v="Credit Card"/>
    <s v="Delivered"/>
    <n v="5"/>
    <n v="53"/>
    <s v="Austin"/>
    <s v="Free"/>
    <s v="Female"/>
    <b v="1"/>
    <x v="22"/>
  </r>
  <r>
    <s v="ORD-20857"/>
    <s v="CUST-5105"/>
    <d v="2024-08-22T00:00:00"/>
    <s v="Books"/>
    <s v="Business Analytics"/>
    <n v="39.99"/>
    <n v="4"/>
    <n v="15"/>
    <n v="33.99"/>
    <n v="135.96"/>
    <s v="PayPal"/>
    <s v="Delivered"/>
    <n v="5"/>
    <n v="53"/>
    <s v="Austin"/>
    <s v="Free"/>
    <s v="Female"/>
    <b v="1"/>
    <x v="26"/>
  </r>
  <r>
    <s v="ORD-20858"/>
    <s v="CUST-5105"/>
    <d v="2024-02-19T00:00:00"/>
    <s v="Beauty"/>
    <s v="Moisturizer SPF 50"/>
    <n v="29.99"/>
    <n v="3"/>
    <n v="20"/>
    <n v="23.99"/>
    <n v="71.97"/>
    <s v="Debit Card"/>
    <s v="Delivered"/>
    <m/>
    <n v="53"/>
    <s v="Austin"/>
    <s v="Free"/>
    <s v="Female"/>
    <b v="1"/>
    <x v="0"/>
  </r>
  <r>
    <s v="ORD-20859"/>
    <s v="CUST-5105"/>
    <d v="2023-09-07T00:00:00"/>
    <s v="Books"/>
    <s v="Fiction Novel"/>
    <n v="14.99"/>
    <n v="4"/>
    <n v="15"/>
    <n v="12.74"/>
    <n v="50.96"/>
    <s v="UPI"/>
    <s v="Delivered"/>
    <m/>
    <n v="53"/>
    <s v="Austin"/>
    <s v="Free"/>
    <s v="Female"/>
    <b v="1"/>
    <x v="6"/>
  </r>
  <r>
    <s v="ORD-20860"/>
    <s v="CUST-5105"/>
    <d v="2023-02-27T00:00:00"/>
    <s v="Sports"/>
    <s v="Yoga Mat"/>
    <n v="29.99"/>
    <n v="4"/>
    <n v="0"/>
    <n v="29.99"/>
    <n v="119.96"/>
    <s v="Credit Card"/>
    <s v="Delivered"/>
    <n v="5"/>
    <n v="53"/>
    <s v="Austin"/>
    <s v="Free"/>
    <s v="Female"/>
    <b v="1"/>
    <x v="34"/>
  </r>
  <r>
    <s v="ORD-20861"/>
    <s v="CUST-5105"/>
    <d v="2022-08-16T00:00:00"/>
    <s v="Sports"/>
    <s v="Jump Rope"/>
    <n v="14.99"/>
    <n v="1"/>
    <n v="5"/>
    <n v="14.24"/>
    <n v="14.24"/>
    <s v="Wallet"/>
    <s v="Delivered"/>
    <n v="4"/>
    <n v="53"/>
    <s v="Austin"/>
    <s v="Free"/>
    <s v="Female"/>
    <b v="1"/>
    <x v="7"/>
  </r>
  <r>
    <s v="ORD-20862"/>
    <s v="CUST-5106"/>
    <d v="2024-04-20T00:00:00"/>
    <s v="Home &amp; Kitchen"/>
    <s v="Non-stick Pan Set"/>
    <n v="44.99"/>
    <n v="2"/>
    <n v="15"/>
    <n v="38.24"/>
    <n v="76.48"/>
    <s v="Wallet"/>
    <s v="Delivered"/>
    <n v="5"/>
    <n v="21"/>
    <s v="Philadelphia"/>
    <s v="Platinum"/>
    <s v="Male"/>
    <b v="1"/>
    <x v="27"/>
  </r>
  <r>
    <s v="ORD-20863"/>
    <s v="CUST-5106"/>
    <d v="2022-10-25T00:00:00"/>
    <s v="Home &amp; Kitchen"/>
    <s v="Air Fryer"/>
    <n v="89.99"/>
    <n v="2"/>
    <n v="0"/>
    <n v="89.99"/>
    <n v="179.98"/>
    <s v="Debit Card"/>
    <s v="Delivered"/>
    <n v="5"/>
    <n v="21"/>
    <s v="Philadelphia"/>
    <s v="Platinum"/>
    <s v="Male"/>
    <b v="1"/>
    <x v="20"/>
  </r>
  <r>
    <s v="ORD-20864"/>
    <s v="CUST-5106"/>
    <d v="2024-03-03T00:00:00"/>
    <s v="Home &amp; Kitchen"/>
    <s v="Non-stick Pan Set"/>
    <n v="44.99"/>
    <n v="4"/>
    <n v="0"/>
    <n v="44.99"/>
    <n v="179.96"/>
    <s v="Debit Card"/>
    <s v="Delivered"/>
    <m/>
    <n v="21"/>
    <s v="Philadelphia"/>
    <s v="Platinum"/>
    <s v="Male"/>
    <b v="1"/>
    <x v="1"/>
  </r>
  <r>
    <s v="ORD-20865"/>
    <s v="CUST-5106"/>
    <d v="2024-09-12T00:00:00"/>
    <s v="Clothing"/>
    <s v="Yoga Pants"/>
    <n v="44.99"/>
    <n v="2"/>
    <n v="0"/>
    <n v="44.99"/>
    <n v="89.98"/>
    <s v="Wallet"/>
    <s v="Delivered"/>
    <m/>
    <n v="21"/>
    <s v="Philadelphia"/>
    <s v="Platinum"/>
    <s v="Male"/>
    <b v="1"/>
    <x v="15"/>
  </r>
  <r>
    <s v="ORD-20866"/>
    <s v="CUST-5106"/>
    <d v="2024-12-09T00:00:00"/>
    <s v="Books"/>
    <s v="Python for Beginners"/>
    <n v="29.99"/>
    <n v="2"/>
    <n v="15"/>
    <n v="25.49"/>
    <n v="50.98"/>
    <s v="UPI"/>
    <s v="Delivered"/>
    <n v="4"/>
    <n v="21"/>
    <s v="Philadelphia"/>
    <s v="Platinum"/>
    <s v="Male"/>
    <b v="1"/>
    <x v="32"/>
  </r>
  <r>
    <s v="ORD-20867"/>
    <s v="CUST-5106"/>
    <d v="2023-12-04T00:00:00"/>
    <s v="Beauty"/>
    <s v="Moisturizer SPF 50"/>
    <n v="29.99"/>
    <n v="2"/>
    <n v="0"/>
    <n v="29.99"/>
    <n v="59.98"/>
    <s v="Credit Card"/>
    <s v="Delivered"/>
    <n v="3"/>
    <n v="21"/>
    <s v="Philadelphia"/>
    <s v="Platinum"/>
    <s v="Male"/>
    <b v="1"/>
    <x v="14"/>
  </r>
  <r>
    <s v="ORD-20868"/>
    <s v="CUST-5106"/>
    <d v="2023-04-04T00:00:00"/>
    <s v="Beauty"/>
    <s v="Hair Mask"/>
    <n v="24.99"/>
    <n v="1"/>
    <n v="0"/>
    <n v="24.99"/>
    <n v="24.99"/>
    <s v="UPI"/>
    <s v="Delivered"/>
    <n v="2"/>
    <n v="21"/>
    <s v="Philadelphia"/>
    <s v="Platinum"/>
    <s v="Male"/>
    <b v="1"/>
    <x v="18"/>
  </r>
  <r>
    <s v="ORD-20869"/>
    <s v="CUST-5106"/>
    <d v="2022-01-13T00:00:00"/>
    <s v="Toys"/>
    <s v="Remote Control Car"/>
    <n v="39.99"/>
    <n v="2"/>
    <n v="10"/>
    <n v="35.99"/>
    <n v="71.98"/>
    <s v="Wallet"/>
    <s v="Delivered"/>
    <n v="3"/>
    <n v="21"/>
    <s v="Philadelphia"/>
    <s v="Platinum"/>
    <s v="Male"/>
    <b v="1"/>
    <x v="2"/>
  </r>
  <r>
    <s v="ORD-20870"/>
    <s v="CUST-5106"/>
    <d v="2024-12-13T00:00:00"/>
    <s v="Clothing"/>
    <s v="Denim Jacket"/>
    <n v="69.989999999999995"/>
    <n v="3"/>
    <n v="5"/>
    <n v="66.489999999999995"/>
    <n v="199.47"/>
    <s v="Credit Card"/>
    <s v="Delivered"/>
    <n v="3"/>
    <n v="21"/>
    <s v="Philadelphia"/>
    <s v="Platinum"/>
    <s v="Male"/>
    <b v="1"/>
    <x v="32"/>
  </r>
  <r>
    <s v="ORD-20871"/>
    <s v="CUST-5106"/>
    <d v="2022-04-17T00:00:00"/>
    <s v="Electronics"/>
    <s v="Wireless Earbuds"/>
    <n v="79.989999999999995"/>
    <n v="3"/>
    <n v="5"/>
    <n v="75.989999999999995"/>
    <n v="227.97"/>
    <s v="Wallet"/>
    <s v="Delivered"/>
    <n v="1"/>
    <n v="21"/>
    <s v="Philadelphia"/>
    <s v="Platinum"/>
    <s v="Male"/>
    <b v="1"/>
    <x v="12"/>
  </r>
  <r>
    <s v="ORD-20872"/>
    <s v="CUST-5106"/>
    <d v="2022-04-14T00:00:00"/>
    <s v="Electronics"/>
    <s v="USB-C Hub"/>
    <n v="34.99"/>
    <n v="4"/>
    <n v="5"/>
    <n v="33.24"/>
    <n v="132.96"/>
    <s v="Credit Card"/>
    <s v="Delivered"/>
    <m/>
    <n v="21"/>
    <s v="Philadelphia"/>
    <s v="Platinum"/>
    <s v="Male"/>
    <b v="1"/>
    <x v="12"/>
  </r>
  <r>
    <s v="ORD-20873"/>
    <s v="CUST-5107"/>
    <d v="2023-03-07T00:00:00"/>
    <s v="Sports"/>
    <s v="Water Bottle"/>
    <n v="24.99"/>
    <n v="4"/>
    <n v="0"/>
    <n v="24.99"/>
    <n v="99.96"/>
    <s v="UPI"/>
    <s v="Delivered"/>
    <n v="3"/>
    <n v="33"/>
    <s v="Houston"/>
    <s v="Platinum"/>
    <s v="Male"/>
    <b v="1"/>
    <x v="23"/>
  </r>
  <r>
    <s v="ORD-20874"/>
    <s v="CUST-5107"/>
    <d v="2024-10-04T00:00:00"/>
    <s v="Clothing"/>
    <s v="Cotton T-Shirt"/>
    <n v="24.99"/>
    <n v="3"/>
    <n v="0"/>
    <n v="24.99"/>
    <n v="74.97"/>
    <s v="Credit Card"/>
    <s v="Returned"/>
    <n v="4"/>
    <n v="33"/>
    <s v="Houston"/>
    <s v="Platinum"/>
    <s v="Male"/>
    <b v="1"/>
    <x v="21"/>
  </r>
  <r>
    <s v="ORD-20875"/>
    <s v="CUST-5107"/>
    <d v="2022-01-01T00:00:00"/>
    <s v="Clothing"/>
    <s v="Running Shoes"/>
    <n v="89.99"/>
    <n v="3"/>
    <n v="5"/>
    <n v="85.49"/>
    <n v="256.47000000000003"/>
    <s v="UPI"/>
    <s v="Delivered"/>
    <m/>
    <n v="33"/>
    <s v="Houston"/>
    <s v="Platinum"/>
    <s v="Male"/>
    <b v="1"/>
    <x v="2"/>
  </r>
  <r>
    <s v="ORD-20876"/>
    <s v="CUST-5108"/>
    <d v="2024-06-22T00:00:00"/>
    <s v="Books"/>
    <s v="Fiction Novel"/>
    <n v="14.99"/>
    <n v="3"/>
    <n v="0"/>
    <n v="14.99"/>
    <n v="44.97"/>
    <s v="Credit Card"/>
    <s v="Delivered"/>
    <n v="5"/>
    <n v="23"/>
    <s v="San Diego"/>
    <s v="Free"/>
    <s v="Female"/>
    <b v="1"/>
    <x v="35"/>
  </r>
  <r>
    <s v="ORD-20877"/>
    <s v="CUST-5108"/>
    <d v="2023-12-23T00:00:00"/>
    <s v="Books"/>
    <s v="Business Analytics"/>
    <n v="39.99"/>
    <n v="1"/>
    <n v="0"/>
    <n v="39.99"/>
    <n v="39.99"/>
    <s v="PayPal"/>
    <s v="Processing"/>
    <n v="4"/>
    <n v="23"/>
    <s v="San Diego"/>
    <s v="Free"/>
    <s v="Female"/>
    <b v="1"/>
    <x v="14"/>
  </r>
  <r>
    <s v="ORD-20878"/>
    <s v="CUST-5108"/>
    <d v="2023-12-17T00:00:00"/>
    <s v="Clothing"/>
    <s v="Denim Jacket"/>
    <n v="69.989999999999995"/>
    <n v="1"/>
    <n v="15"/>
    <n v="59.49"/>
    <n v="59.49"/>
    <s v="PayPal"/>
    <s v="Delivered"/>
    <m/>
    <n v="23"/>
    <s v="San Diego"/>
    <s v="Free"/>
    <s v="Female"/>
    <b v="1"/>
    <x v="14"/>
  </r>
  <r>
    <s v="ORD-20879"/>
    <s v="CUST-5108"/>
    <d v="2024-08-15T00:00:00"/>
    <s v="Clothing"/>
    <s v="Cotton T-Shirt"/>
    <n v="24.99"/>
    <n v="1"/>
    <n v="0"/>
    <n v="24.99"/>
    <n v="24.99"/>
    <s v="Credit Card"/>
    <s v="Delivered"/>
    <n v="3"/>
    <n v="23"/>
    <s v="San Diego"/>
    <s v="Free"/>
    <s v="Female"/>
    <b v="1"/>
    <x v="26"/>
  </r>
  <r>
    <s v="ORD-20880"/>
    <s v="CUST-5108"/>
    <d v="2023-05-19T00:00:00"/>
    <s v="Clothing"/>
    <s v="Denim Jacket"/>
    <n v="69.989999999999995"/>
    <n v="4"/>
    <n v="15"/>
    <n v="59.49"/>
    <n v="237.96"/>
    <s v="Debit Card"/>
    <s v="Delivered"/>
    <n v="5"/>
    <n v="23"/>
    <s v="San Diego"/>
    <s v="Free"/>
    <s v="Female"/>
    <b v="1"/>
    <x v="5"/>
  </r>
  <r>
    <s v="ORD-20881"/>
    <s v="CUST-5108"/>
    <d v="2024-02-28T00:00:00"/>
    <s v="Toys"/>
    <s v="LEGO Classic Set"/>
    <n v="49.99"/>
    <n v="2"/>
    <n v="20"/>
    <n v="39.99"/>
    <n v="79.98"/>
    <s v="Credit Card"/>
    <s v="Delivered"/>
    <n v="3"/>
    <n v="23"/>
    <s v="San Diego"/>
    <s v="Free"/>
    <s v="Female"/>
    <b v="1"/>
    <x v="0"/>
  </r>
  <r>
    <s v="ORD-20882"/>
    <s v="CUST-5108"/>
    <d v="2022-01-26T00:00:00"/>
    <s v="Beauty"/>
    <s v="Lip Balm Set"/>
    <n v="14.99"/>
    <n v="2"/>
    <n v="10"/>
    <n v="13.49"/>
    <n v="26.98"/>
    <s v="Credit Card"/>
    <s v="Cancelled"/>
    <m/>
    <n v="23"/>
    <s v="San Diego"/>
    <s v="Free"/>
    <s v="Female"/>
    <b v="1"/>
    <x v="2"/>
  </r>
  <r>
    <s v="ORD-20883"/>
    <s v="CUST-5108"/>
    <d v="2024-10-21T00:00:00"/>
    <s v="Clothing"/>
    <s v="Running Shoes"/>
    <n v="89.99"/>
    <n v="3"/>
    <n v="15"/>
    <n v="76.489999999999995"/>
    <n v="229.47"/>
    <s v="Debit Card"/>
    <s v="Cancelled"/>
    <m/>
    <n v="23"/>
    <s v="San Diego"/>
    <s v="Free"/>
    <s v="Female"/>
    <b v="1"/>
    <x v="21"/>
  </r>
  <r>
    <s v="ORD-20884"/>
    <s v="CUST-5108"/>
    <d v="2024-05-14T00:00:00"/>
    <s v="Home &amp; Kitchen"/>
    <s v="Non-stick Pan Set"/>
    <n v="44.99"/>
    <n v="1"/>
    <n v="0"/>
    <n v="44.99"/>
    <n v="44.99"/>
    <s v="PayPal"/>
    <s v="Delivered"/>
    <m/>
    <n v="23"/>
    <s v="San Diego"/>
    <s v="Free"/>
    <s v="Female"/>
    <b v="1"/>
    <x v="30"/>
  </r>
  <r>
    <s v="ORD-20885"/>
    <s v="CUST-5108"/>
    <d v="2024-08-28T00:00:00"/>
    <s v="Sports"/>
    <s v="Jump Rope"/>
    <n v="14.99"/>
    <n v="3"/>
    <n v="10"/>
    <n v="13.49"/>
    <n v="40.47"/>
    <s v="Credit Card"/>
    <s v="Delivered"/>
    <n v="4"/>
    <n v="23"/>
    <s v="San Diego"/>
    <s v="Free"/>
    <s v="Female"/>
    <b v="1"/>
    <x v="26"/>
  </r>
  <r>
    <s v="ORD-20886"/>
    <s v="CUST-5108"/>
    <d v="2022-04-15T00:00:00"/>
    <s v="Clothing"/>
    <s v="Running Shoes"/>
    <n v="89.99"/>
    <n v="4"/>
    <n v="10"/>
    <n v="80.989999999999995"/>
    <n v="323.95999999999998"/>
    <s v="PayPal"/>
    <s v="Delivered"/>
    <n v="4"/>
    <n v="23"/>
    <s v="San Diego"/>
    <s v="Free"/>
    <s v="Female"/>
    <b v="1"/>
    <x v="12"/>
  </r>
  <r>
    <s v="ORD-20887"/>
    <s v="CUST-5108"/>
    <d v="2023-03-20T00:00:00"/>
    <s v="Books"/>
    <s v="Fiction Novel"/>
    <n v="14.99"/>
    <n v="3"/>
    <n v="15"/>
    <n v="12.74"/>
    <n v="38.22"/>
    <s v="Wallet"/>
    <s v="Delivered"/>
    <n v="5"/>
    <n v="23"/>
    <s v="San Diego"/>
    <s v="Free"/>
    <s v="Female"/>
    <b v="1"/>
    <x v="23"/>
  </r>
  <r>
    <s v="ORD-20888"/>
    <s v="CUST-5108"/>
    <d v="2023-09-02T00:00:00"/>
    <s v="Clothing"/>
    <s v="Cotton T-Shirt"/>
    <n v="24.99"/>
    <n v="4"/>
    <n v="15"/>
    <n v="21.24"/>
    <n v="84.96"/>
    <s v="UPI"/>
    <s v="Delivered"/>
    <m/>
    <n v="23"/>
    <s v="San Diego"/>
    <s v="Free"/>
    <s v="Female"/>
    <b v="1"/>
    <x v="6"/>
  </r>
  <r>
    <s v="ORD-20889"/>
    <s v="CUST-5109"/>
    <d v="2024-03-21T00:00:00"/>
    <s v="Clothing"/>
    <s v="Running Shoes"/>
    <n v="89.99"/>
    <n v="1"/>
    <n v="0"/>
    <n v="89.99"/>
    <n v="89.99"/>
    <s v="PayPal"/>
    <s v="Delivered"/>
    <n v="5"/>
    <n v="38"/>
    <s v="San Jose"/>
    <s v="Gold"/>
    <s v="Female"/>
    <b v="1"/>
    <x v="1"/>
  </r>
  <r>
    <s v="ORD-20890"/>
    <s v="CUST-5109"/>
    <d v="2023-02-24T00:00:00"/>
    <s v="Clothing"/>
    <s v="Cotton T-Shirt"/>
    <n v="24.99"/>
    <n v="3"/>
    <n v="0"/>
    <n v="24.99"/>
    <n v="74.97"/>
    <s v="PayPal"/>
    <s v="Delivered"/>
    <n v="5"/>
    <n v="38"/>
    <s v="San Jose"/>
    <s v="Gold"/>
    <s v="Female"/>
    <b v="1"/>
    <x v="34"/>
  </r>
  <r>
    <s v="ORD-20891"/>
    <s v="CUST-5109"/>
    <d v="2024-02-02T00:00:00"/>
    <s v="Clothing"/>
    <s v="Yoga Pants"/>
    <n v="44.99"/>
    <n v="2"/>
    <n v="10"/>
    <n v="40.49"/>
    <n v="80.98"/>
    <s v="Debit Card"/>
    <s v="Delivered"/>
    <n v="3"/>
    <n v="38"/>
    <s v="San Jose"/>
    <s v="Gold"/>
    <s v="Female"/>
    <b v="1"/>
    <x v="0"/>
  </r>
  <r>
    <s v="ORD-20892"/>
    <s v="CUST-5109"/>
    <d v="2023-12-01T00:00:00"/>
    <s v="Sports"/>
    <s v="Yoga Mat"/>
    <n v="29.99"/>
    <n v="4"/>
    <n v="20"/>
    <n v="23.99"/>
    <n v="95.96"/>
    <s v="Credit Card"/>
    <s v="Delivered"/>
    <n v="4"/>
    <n v="38"/>
    <s v="San Jose"/>
    <s v="Gold"/>
    <s v="Female"/>
    <b v="1"/>
    <x v="14"/>
  </r>
  <r>
    <s v="ORD-20893"/>
    <s v="CUST-5109"/>
    <d v="2024-08-16T00:00:00"/>
    <s v="Beauty"/>
    <s v="Moisturizer SPF 50"/>
    <n v="29.99"/>
    <n v="4"/>
    <n v="10"/>
    <n v="26.99"/>
    <n v="107.96"/>
    <s v="UPI"/>
    <s v="Delivered"/>
    <n v="5"/>
    <n v="38"/>
    <s v="San Jose"/>
    <s v="Gold"/>
    <s v="Female"/>
    <b v="1"/>
    <x v="26"/>
  </r>
  <r>
    <s v="ORD-20894"/>
    <s v="CUST-5109"/>
    <d v="2022-10-02T00:00:00"/>
    <s v="Books"/>
    <s v="Data Science Handbook"/>
    <n v="49.99"/>
    <n v="4"/>
    <n v="0"/>
    <n v="49.99"/>
    <n v="199.96"/>
    <s v="Credit Card"/>
    <s v="Delivered"/>
    <n v="4"/>
    <n v="38"/>
    <s v="San Jose"/>
    <s v="Gold"/>
    <s v="Female"/>
    <b v="1"/>
    <x v="20"/>
  </r>
  <r>
    <s v="ORD-20895"/>
    <s v="CUST-5110"/>
    <d v="2022-12-09T00:00:00"/>
    <s v="Electronics"/>
    <s v="Smart Watch"/>
    <n v="199.99"/>
    <n v="3"/>
    <n v="15"/>
    <n v="169.99"/>
    <n v="509.97"/>
    <s v="UPI"/>
    <s v="Delivered"/>
    <n v="4"/>
    <n v="19"/>
    <s v="San Antonio"/>
    <s v="Silver"/>
    <s v="Female"/>
    <b v="1"/>
    <x v="28"/>
  </r>
  <r>
    <s v="ORD-20896"/>
    <s v="CUST-5110"/>
    <d v="2022-08-28T00:00:00"/>
    <s v="Toys"/>
    <s v="Action Figure"/>
    <n v="19.989999999999998"/>
    <n v="4"/>
    <n v="0"/>
    <n v="19.989999999999998"/>
    <n v="79.959999999999994"/>
    <s v="UPI"/>
    <s v="Delivered"/>
    <n v="4"/>
    <n v="19"/>
    <s v="San Antonio"/>
    <s v="Silver"/>
    <s v="Female"/>
    <b v="1"/>
    <x v="7"/>
  </r>
  <r>
    <s v="ORD-20897"/>
    <s v="CUST-5110"/>
    <d v="2024-08-02T00:00:00"/>
    <s v="Clothing"/>
    <s v="Denim Jacket"/>
    <n v="69.989999999999995"/>
    <n v="1"/>
    <n v="15"/>
    <n v="59.49"/>
    <n v="59.49"/>
    <s v="Debit Card"/>
    <s v="Processing"/>
    <m/>
    <n v="19"/>
    <s v="San Antonio"/>
    <s v="Silver"/>
    <s v="Female"/>
    <b v="1"/>
    <x v="26"/>
  </r>
  <r>
    <s v="ORD-20898"/>
    <s v="CUST-5110"/>
    <d v="2022-09-03T00:00:00"/>
    <s v="Books"/>
    <s v="Python for Beginners"/>
    <n v="29.99"/>
    <n v="3"/>
    <n v="15"/>
    <n v="25.49"/>
    <n v="76.47"/>
    <s v="UPI"/>
    <s v="Delivered"/>
    <m/>
    <n v="19"/>
    <s v="San Antonio"/>
    <s v="Silver"/>
    <s v="Female"/>
    <b v="1"/>
    <x v="22"/>
  </r>
  <r>
    <s v="ORD-20899"/>
    <s v="CUST-5110"/>
    <d v="2024-12-22T00:00:00"/>
    <s v="Toys"/>
    <s v="LEGO Classic Set"/>
    <n v="49.99"/>
    <n v="1"/>
    <n v="0"/>
    <n v="49.99"/>
    <n v="49.99"/>
    <s v="UPI"/>
    <s v="Delivered"/>
    <m/>
    <n v="19"/>
    <s v="San Antonio"/>
    <s v="Silver"/>
    <s v="Female"/>
    <b v="1"/>
    <x v="32"/>
  </r>
  <r>
    <s v="ORD-20900"/>
    <s v="CUST-5111"/>
    <d v="2023-01-01T00:00:00"/>
    <s v="Beauty"/>
    <s v="Hair Mask"/>
    <n v="24.99"/>
    <n v="3"/>
    <n v="5"/>
    <n v="23.74"/>
    <n v="71.22"/>
    <s v="Wallet"/>
    <s v="Delivered"/>
    <m/>
    <n v="62"/>
    <s v="San Diego"/>
    <s v="Free"/>
    <s v="Female"/>
    <b v="1"/>
    <x v="10"/>
  </r>
  <r>
    <s v="ORD-20901"/>
    <s v="CUST-5111"/>
    <d v="2023-07-16T00:00:00"/>
    <s v="Electronics"/>
    <s v="Wireless Earbuds"/>
    <n v="79.989999999999995"/>
    <n v="3"/>
    <n v="20"/>
    <n v="63.99"/>
    <n v="191.97"/>
    <s v="UPI"/>
    <s v="Delivered"/>
    <n v="3"/>
    <n v="62"/>
    <s v="San Diego"/>
    <s v="Free"/>
    <s v="Female"/>
    <b v="1"/>
    <x v="9"/>
  </r>
  <r>
    <s v="ORD-20902"/>
    <s v="CUST-5111"/>
    <d v="2023-12-05T00:00:00"/>
    <s v="Clothing"/>
    <s v="Denim Jacket"/>
    <n v="69.989999999999995"/>
    <n v="4"/>
    <n v="5"/>
    <n v="66.489999999999995"/>
    <n v="265.95999999999998"/>
    <s v="Wallet"/>
    <s v="Delivered"/>
    <m/>
    <n v="62"/>
    <s v="San Diego"/>
    <s v="Free"/>
    <s v="Female"/>
    <b v="1"/>
    <x v="14"/>
  </r>
  <r>
    <s v="ORD-20903"/>
    <s v="CUST-5111"/>
    <d v="2024-07-24T00:00:00"/>
    <s v="Books"/>
    <s v="Fiction Novel"/>
    <n v="14.99"/>
    <n v="4"/>
    <n v="0"/>
    <n v="14.99"/>
    <n v="59.96"/>
    <s v="Credit Card"/>
    <s v="Delivered"/>
    <m/>
    <n v="62"/>
    <s v="San Diego"/>
    <s v="Free"/>
    <s v="Female"/>
    <b v="1"/>
    <x v="4"/>
  </r>
  <r>
    <s v="ORD-20904"/>
    <s v="CUST-5111"/>
    <d v="2022-02-17T00:00:00"/>
    <s v="Toys"/>
    <s v="LEGO Classic Set"/>
    <n v="49.99"/>
    <n v="4"/>
    <n v="0"/>
    <n v="49.99"/>
    <n v="199.96"/>
    <s v="PayPal"/>
    <s v="Delivered"/>
    <n v="4"/>
    <n v="62"/>
    <s v="San Diego"/>
    <s v="Free"/>
    <s v="Female"/>
    <b v="1"/>
    <x v="17"/>
  </r>
  <r>
    <s v="ORD-20905"/>
    <s v="CUST-5111"/>
    <d v="2023-10-25T00:00:00"/>
    <s v="Books"/>
    <s v="Business Analytics"/>
    <n v="39.99"/>
    <n v="4"/>
    <n v="10"/>
    <n v="35.99"/>
    <n v="143.96"/>
    <s v="UPI"/>
    <s v="Delivered"/>
    <m/>
    <n v="62"/>
    <s v="San Diego"/>
    <s v="Free"/>
    <s v="Female"/>
    <b v="1"/>
    <x v="13"/>
  </r>
  <r>
    <s v="ORD-20906"/>
    <s v="CUST-5111"/>
    <d v="2024-06-11T00:00:00"/>
    <s v="Electronics"/>
    <s v="Bluetooth Speaker"/>
    <n v="49.99"/>
    <n v="2"/>
    <n v="0"/>
    <n v="49.99"/>
    <n v="99.98"/>
    <s v="UPI"/>
    <s v="Delivered"/>
    <n v="4"/>
    <n v="62"/>
    <s v="San Diego"/>
    <s v="Free"/>
    <s v="Female"/>
    <b v="1"/>
    <x v="35"/>
  </r>
  <r>
    <s v="ORD-20907"/>
    <s v="CUST-5111"/>
    <d v="2023-02-22T00:00:00"/>
    <s v="Toys"/>
    <s v="LEGO Classic Set"/>
    <n v="49.99"/>
    <n v="4"/>
    <n v="20"/>
    <n v="39.99"/>
    <n v="159.96"/>
    <s v="Wallet"/>
    <s v="Cancelled"/>
    <n v="5"/>
    <n v="62"/>
    <s v="San Diego"/>
    <s v="Free"/>
    <s v="Female"/>
    <b v="1"/>
    <x v="34"/>
  </r>
  <r>
    <s v="ORD-20908"/>
    <s v="CUST-5111"/>
    <d v="2024-07-23T00:00:00"/>
    <s v="Home &amp; Kitchen"/>
    <s v="Non-stick Pan Set"/>
    <n v="44.99"/>
    <n v="3"/>
    <n v="20"/>
    <n v="35.99"/>
    <n v="107.97"/>
    <s v="Wallet"/>
    <s v="Delivered"/>
    <n v="4"/>
    <n v="62"/>
    <s v="San Diego"/>
    <s v="Free"/>
    <s v="Female"/>
    <b v="1"/>
    <x v="4"/>
  </r>
  <r>
    <s v="ORD-20909"/>
    <s v="CUST-5111"/>
    <d v="2022-03-16T00:00:00"/>
    <s v="Toys"/>
    <s v="Remote Control Car"/>
    <n v="39.99"/>
    <n v="4"/>
    <n v="0"/>
    <n v="39.99"/>
    <n v="159.96"/>
    <s v="UPI"/>
    <s v="Delivered"/>
    <n v="4"/>
    <n v="62"/>
    <s v="San Diego"/>
    <s v="Free"/>
    <s v="Female"/>
    <b v="1"/>
    <x v="11"/>
  </r>
  <r>
    <s v="ORD-20910"/>
    <s v="CUST-5111"/>
    <d v="2023-06-16T00:00:00"/>
    <s v="Sports"/>
    <s v="Jump Rope"/>
    <n v="14.99"/>
    <n v="2"/>
    <n v="5"/>
    <n v="14.24"/>
    <n v="28.48"/>
    <s v="Debit Card"/>
    <s v="Delivered"/>
    <n v="2"/>
    <n v="62"/>
    <s v="San Diego"/>
    <s v="Free"/>
    <s v="Female"/>
    <b v="1"/>
    <x v="19"/>
  </r>
  <r>
    <s v="ORD-20911"/>
    <s v="CUST-5111"/>
    <d v="2022-06-12T00:00:00"/>
    <s v="Home &amp; Kitchen"/>
    <s v="Coffee Maker"/>
    <n v="59.99"/>
    <n v="4"/>
    <n v="0"/>
    <n v="59.99"/>
    <n v="239.96"/>
    <s v="UPI"/>
    <s v="Delivered"/>
    <n v="3"/>
    <n v="62"/>
    <s v="San Diego"/>
    <s v="Free"/>
    <s v="Female"/>
    <b v="1"/>
    <x v="8"/>
  </r>
  <r>
    <s v="ORD-20912"/>
    <s v="CUST-5111"/>
    <d v="2022-07-08T00:00:00"/>
    <s v="Electronics"/>
    <s v="USB-C Hub"/>
    <n v="34.99"/>
    <n v="1"/>
    <n v="0"/>
    <n v="34.99"/>
    <n v="34.99"/>
    <s v="UPI"/>
    <s v="Delivered"/>
    <m/>
    <n v="62"/>
    <s v="San Diego"/>
    <s v="Free"/>
    <s v="Female"/>
    <b v="1"/>
    <x v="33"/>
  </r>
  <r>
    <s v="ORD-20913"/>
    <s v="CUST-5111"/>
    <d v="2024-02-16T00:00:00"/>
    <s v="Sports"/>
    <s v="Water Bottle"/>
    <n v="24.99"/>
    <n v="2"/>
    <n v="0"/>
    <n v="24.99"/>
    <n v="49.98"/>
    <s v="PayPal"/>
    <s v="Delivered"/>
    <m/>
    <n v="62"/>
    <s v="San Diego"/>
    <s v="Free"/>
    <s v="Female"/>
    <b v="1"/>
    <x v="0"/>
  </r>
  <r>
    <s v="ORD-20914"/>
    <s v="CUST-5111"/>
    <d v="2022-10-14T00:00:00"/>
    <s v="Electronics"/>
    <s v="Wireless Earbuds"/>
    <n v="79.989999999999995"/>
    <n v="1"/>
    <n v="20"/>
    <n v="63.99"/>
    <n v="63.99"/>
    <s v="Wallet"/>
    <s v="Delivered"/>
    <n v="5"/>
    <n v="62"/>
    <s v="San Diego"/>
    <s v="Free"/>
    <s v="Female"/>
    <b v="1"/>
    <x v="20"/>
  </r>
  <r>
    <s v="ORD-20915"/>
    <s v="CUST-5112"/>
    <d v="2024-02-11T00:00:00"/>
    <s v="Clothing"/>
    <s v="Running Shoes"/>
    <n v="89.99"/>
    <n v="2"/>
    <n v="10"/>
    <n v="80.989999999999995"/>
    <n v="161.97999999999999"/>
    <s v="UPI"/>
    <s v="Shipped"/>
    <n v="3"/>
    <n v="33"/>
    <s v="Dallas"/>
    <s v="Free"/>
    <s v="Male"/>
    <b v="1"/>
    <x v="0"/>
  </r>
  <r>
    <s v="ORD-20916"/>
    <s v="CUST-5112"/>
    <d v="2022-07-16T00:00:00"/>
    <s v="Electronics"/>
    <s v="USB-C Hub"/>
    <n v="34.99"/>
    <n v="4"/>
    <n v="0"/>
    <n v="34.99"/>
    <n v="139.96"/>
    <s v="Wallet"/>
    <s v="Shipped"/>
    <n v="2"/>
    <n v="33"/>
    <s v="Dallas"/>
    <s v="Free"/>
    <s v="Male"/>
    <b v="1"/>
    <x v="33"/>
  </r>
  <r>
    <s v="ORD-20917"/>
    <s v="CUST-5112"/>
    <d v="2024-12-06T00:00:00"/>
    <s v="Clothing"/>
    <s v="Running Shoes"/>
    <n v="89.99"/>
    <n v="3"/>
    <n v="20"/>
    <n v="71.989999999999995"/>
    <n v="215.97"/>
    <s v="PayPal"/>
    <s v="Shipped"/>
    <m/>
    <n v="33"/>
    <s v="Dallas"/>
    <s v="Free"/>
    <s v="Male"/>
    <b v="1"/>
    <x v="32"/>
  </r>
  <r>
    <s v="ORD-20918"/>
    <s v="CUST-5112"/>
    <d v="2024-10-25T00:00:00"/>
    <s v="Clothing"/>
    <s v="Yoga Pants"/>
    <n v="44.99"/>
    <n v="3"/>
    <n v="20"/>
    <n v="35.99"/>
    <n v="107.97"/>
    <s v="UPI"/>
    <s v="Delivered"/>
    <m/>
    <n v="33"/>
    <s v="Dallas"/>
    <s v="Free"/>
    <s v="Male"/>
    <b v="1"/>
    <x v="21"/>
  </r>
  <r>
    <s v="ORD-20919"/>
    <s v="CUST-5112"/>
    <d v="2024-09-05T00:00:00"/>
    <s v="Sports"/>
    <s v="Jump Rope"/>
    <n v="14.99"/>
    <n v="3"/>
    <n v="0"/>
    <n v="14.99"/>
    <n v="44.97"/>
    <s v="Debit Card"/>
    <s v="Delivered"/>
    <n v="4"/>
    <n v="33"/>
    <s v="Dallas"/>
    <s v="Free"/>
    <s v="Male"/>
    <b v="1"/>
    <x v="15"/>
  </r>
  <r>
    <s v="ORD-20920"/>
    <s v="CUST-5112"/>
    <d v="2024-04-14T00:00:00"/>
    <s v="Home &amp; Kitchen"/>
    <s v="Blender"/>
    <n v="64.989999999999995"/>
    <n v="2"/>
    <n v="15"/>
    <n v="55.24"/>
    <n v="110.48"/>
    <s v="UPI"/>
    <s v="Delivered"/>
    <n v="4"/>
    <n v="33"/>
    <s v="Dallas"/>
    <s v="Free"/>
    <s v="Male"/>
    <b v="1"/>
    <x v="27"/>
  </r>
  <r>
    <s v="ORD-20921"/>
    <s v="CUST-5112"/>
    <d v="2022-04-27T00:00:00"/>
    <s v="Books"/>
    <s v="Fiction Novel"/>
    <n v="14.99"/>
    <n v="1"/>
    <n v="0"/>
    <n v="14.99"/>
    <n v="14.99"/>
    <s v="Credit Card"/>
    <s v="Delivered"/>
    <n v="3"/>
    <n v="33"/>
    <s v="Dallas"/>
    <s v="Free"/>
    <s v="Male"/>
    <b v="1"/>
    <x v="12"/>
  </r>
  <r>
    <s v="ORD-20922"/>
    <s v="CUST-5112"/>
    <d v="2023-03-19T00:00:00"/>
    <s v="Toys"/>
    <s v="Action Figure"/>
    <n v="19.989999999999998"/>
    <n v="3"/>
    <n v="5"/>
    <n v="18.989999999999998"/>
    <n v="56.97"/>
    <s v="UPI"/>
    <s v="Delivered"/>
    <n v="4"/>
    <n v="33"/>
    <s v="Dallas"/>
    <s v="Free"/>
    <s v="Male"/>
    <b v="1"/>
    <x v="23"/>
  </r>
  <r>
    <s v="ORD-20923"/>
    <s v="CUST-5112"/>
    <d v="2022-02-04T00:00:00"/>
    <s v="Electronics"/>
    <s v="USB-C Hub"/>
    <n v="34.99"/>
    <n v="2"/>
    <n v="0"/>
    <n v="34.99"/>
    <n v="69.98"/>
    <s v="PayPal"/>
    <s v="Delivered"/>
    <m/>
    <n v="33"/>
    <s v="Dallas"/>
    <s v="Free"/>
    <s v="Male"/>
    <b v="1"/>
    <x v="17"/>
  </r>
  <r>
    <s v="ORD-20924"/>
    <s v="CUST-5112"/>
    <d v="2024-11-17T00:00:00"/>
    <s v="Toys"/>
    <s v="Remote Control Car"/>
    <n v="39.99"/>
    <n v="1"/>
    <n v="0"/>
    <n v="39.99"/>
    <n v="39.99"/>
    <s v="Credit Card"/>
    <s v="Delivered"/>
    <n v="2"/>
    <n v="33"/>
    <s v="Dallas"/>
    <s v="Free"/>
    <s v="Male"/>
    <b v="1"/>
    <x v="16"/>
  </r>
  <r>
    <s v="ORD-20925"/>
    <s v="CUST-5112"/>
    <d v="2022-06-10T00:00:00"/>
    <s v="Books"/>
    <s v="Fiction Novel"/>
    <n v="14.99"/>
    <n v="3"/>
    <n v="0"/>
    <n v="14.99"/>
    <n v="44.97"/>
    <s v="Wallet"/>
    <s v="Delivered"/>
    <n v="4"/>
    <n v="33"/>
    <s v="Dallas"/>
    <s v="Free"/>
    <s v="Male"/>
    <b v="1"/>
    <x v="8"/>
  </r>
  <r>
    <s v="ORD-20926"/>
    <s v="CUST-5113"/>
    <d v="2022-11-10T00:00:00"/>
    <s v="Beauty"/>
    <s v="Face Serum"/>
    <n v="39.99"/>
    <n v="1"/>
    <n v="20"/>
    <n v="31.99"/>
    <n v="31.99"/>
    <s v="PayPal"/>
    <s v="Delivered"/>
    <n v="5"/>
    <n v="36"/>
    <s v="New York"/>
    <s v="Free"/>
    <s v="Female"/>
    <b v="1"/>
    <x v="3"/>
  </r>
  <r>
    <s v="ORD-20927"/>
    <s v="CUST-5113"/>
    <d v="2022-08-08T00:00:00"/>
    <s v="Sports"/>
    <s v="Jump Rope"/>
    <n v="14.99"/>
    <n v="2"/>
    <n v="5"/>
    <n v="14.24"/>
    <n v="28.48"/>
    <s v="PayPal"/>
    <s v="Shipped"/>
    <n v="4"/>
    <n v="36"/>
    <s v="New York"/>
    <s v="Free"/>
    <s v="Female"/>
    <b v="1"/>
    <x v="7"/>
  </r>
  <r>
    <s v="ORD-20928"/>
    <s v="CUST-5113"/>
    <d v="2023-08-27T00:00:00"/>
    <s v="Home &amp; Kitchen"/>
    <s v="Coffee Maker"/>
    <n v="59.99"/>
    <n v="1"/>
    <n v="0"/>
    <n v="59.99"/>
    <n v="59.99"/>
    <s v="Wallet"/>
    <s v="Delivered"/>
    <n v="5"/>
    <n v="36"/>
    <s v="New York"/>
    <s v="Free"/>
    <s v="Female"/>
    <b v="1"/>
    <x v="24"/>
  </r>
  <r>
    <s v="ORD-20929"/>
    <s v="CUST-5113"/>
    <d v="2024-07-06T00:00:00"/>
    <s v="Clothing"/>
    <s v="Yoga Pants"/>
    <n v="44.99"/>
    <n v="2"/>
    <n v="20"/>
    <n v="35.99"/>
    <n v="71.98"/>
    <s v="UPI"/>
    <s v="Delivered"/>
    <n v="5"/>
    <n v="36"/>
    <s v="New York"/>
    <s v="Free"/>
    <s v="Female"/>
    <b v="1"/>
    <x v="4"/>
  </r>
  <r>
    <s v="ORD-20930"/>
    <s v="CUST-5113"/>
    <d v="2024-08-14T00:00:00"/>
    <s v="Sports"/>
    <s v="Resistance Bands"/>
    <n v="19.989999999999998"/>
    <n v="1"/>
    <n v="10"/>
    <n v="17.989999999999998"/>
    <n v="17.989999999999998"/>
    <s v="Credit Card"/>
    <s v="Shipped"/>
    <n v="5"/>
    <n v="36"/>
    <s v="New York"/>
    <s v="Free"/>
    <s v="Female"/>
    <b v="1"/>
    <x v="26"/>
  </r>
  <r>
    <s v="ORD-20931"/>
    <s v="CUST-5113"/>
    <d v="2024-10-19T00:00:00"/>
    <s v="Toys"/>
    <s v="LEGO Classic Set"/>
    <n v="49.99"/>
    <n v="2"/>
    <n v="0"/>
    <n v="49.99"/>
    <n v="99.98"/>
    <s v="Debit Card"/>
    <s v="Delivered"/>
    <n v="5"/>
    <n v="36"/>
    <s v="New York"/>
    <s v="Free"/>
    <s v="Female"/>
    <b v="1"/>
    <x v="21"/>
  </r>
  <r>
    <s v="ORD-20932"/>
    <s v="CUST-5113"/>
    <d v="2023-03-24T00:00:00"/>
    <s v="Electronics"/>
    <s v="Wireless Earbuds"/>
    <n v="79.989999999999995"/>
    <n v="3"/>
    <n v="20"/>
    <n v="63.99"/>
    <n v="191.97"/>
    <s v="Credit Card"/>
    <s v="Processing"/>
    <m/>
    <n v="36"/>
    <s v="New York"/>
    <s v="Free"/>
    <s v="Female"/>
    <b v="1"/>
    <x v="23"/>
  </r>
  <r>
    <s v="ORD-20933"/>
    <s v="CUST-5113"/>
    <d v="2022-04-16T00:00:00"/>
    <s v="Home &amp; Kitchen"/>
    <s v="Coffee Maker"/>
    <n v="59.99"/>
    <n v="3"/>
    <n v="5"/>
    <n v="56.99"/>
    <n v="170.97"/>
    <s v="Debit Card"/>
    <s v="Delivered"/>
    <m/>
    <n v="36"/>
    <s v="New York"/>
    <s v="Free"/>
    <s v="Female"/>
    <b v="1"/>
    <x v="12"/>
  </r>
  <r>
    <s v="ORD-20934"/>
    <s v="CUST-5114"/>
    <d v="2023-10-01T00:00:00"/>
    <s v="Home &amp; Kitchen"/>
    <s v="Non-stick Pan Set"/>
    <n v="44.99"/>
    <n v="3"/>
    <n v="5"/>
    <n v="42.74"/>
    <n v="128.22"/>
    <s v="UPI"/>
    <s v="Delivered"/>
    <n v="4"/>
    <n v="36"/>
    <s v="Phoenix"/>
    <s v="Free"/>
    <s v="Male"/>
    <b v="1"/>
    <x v="13"/>
  </r>
  <r>
    <s v="ORD-20935"/>
    <s v="CUST-5114"/>
    <d v="2023-08-13T00:00:00"/>
    <s v="Books"/>
    <s v="Business Analytics"/>
    <n v="39.99"/>
    <n v="3"/>
    <n v="10"/>
    <n v="35.99"/>
    <n v="107.97"/>
    <s v="Wallet"/>
    <s v="Delivered"/>
    <n v="4"/>
    <n v="36"/>
    <s v="Phoenix"/>
    <s v="Free"/>
    <s v="Male"/>
    <b v="1"/>
    <x v="24"/>
  </r>
  <r>
    <s v="ORD-20936"/>
    <s v="CUST-5114"/>
    <d v="2022-03-21T00:00:00"/>
    <s v="Clothing"/>
    <s v="Yoga Pants"/>
    <n v="44.99"/>
    <n v="4"/>
    <n v="0"/>
    <n v="44.99"/>
    <n v="179.96"/>
    <s v="Debit Card"/>
    <s v="Delivered"/>
    <n v="4"/>
    <n v="36"/>
    <s v="Phoenix"/>
    <s v="Free"/>
    <s v="Male"/>
    <b v="1"/>
    <x v="11"/>
  </r>
  <r>
    <s v="ORD-20937"/>
    <s v="CUST-5114"/>
    <d v="2024-10-26T00:00:00"/>
    <s v="Toys"/>
    <s v="LEGO Classic Set"/>
    <n v="49.99"/>
    <n v="1"/>
    <n v="10"/>
    <n v="44.99"/>
    <n v="44.99"/>
    <s v="Wallet"/>
    <s v="Delivered"/>
    <n v="5"/>
    <n v="36"/>
    <s v="Phoenix"/>
    <s v="Free"/>
    <s v="Male"/>
    <b v="1"/>
    <x v="21"/>
  </r>
  <r>
    <s v="ORD-20938"/>
    <s v="CUST-5114"/>
    <d v="2022-06-05T00:00:00"/>
    <s v="Sports"/>
    <s v="Water Bottle"/>
    <n v="24.99"/>
    <n v="2"/>
    <n v="10"/>
    <n v="22.49"/>
    <n v="44.98"/>
    <s v="UPI"/>
    <s v="Delivered"/>
    <n v="3"/>
    <n v="36"/>
    <s v="Phoenix"/>
    <s v="Free"/>
    <s v="Male"/>
    <b v="1"/>
    <x v="8"/>
  </r>
  <r>
    <s v="ORD-20939"/>
    <s v="CUST-5114"/>
    <d v="2022-02-13T00:00:00"/>
    <s v="Clothing"/>
    <s v="Running Shoes"/>
    <n v="89.99"/>
    <n v="1"/>
    <n v="10"/>
    <n v="80.989999999999995"/>
    <n v="80.989999999999995"/>
    <s v="Wallet"/>
    <s v="Delivered"/>
    <m/>
    <n v="36"/>
    <s v="Phoenix"/>
    <s v="Free"/>
    <s v="Male"/>
    <b v="1"/>
    <x v="17"/>
  </r>
  <r>
    <s v="ORD-20940"/>
    <s v="CUST-5114"/>
    <d v="2022-01-18T00:00:00"/>
    <s v="Toys"/>
    <s v="LEGO Classic Set"/>
    <n v="49.99"/>
    <n v="1"/>
    <n v="20"/>
    <n v="39.99"/>
    <n v="39.99"/>
    <s v="Debit Card"/>
    <s v="Delivered"/>
    <n v="4"/>
    <n v="36"/>
    <s v="Phoenix"/>
    <s v="Free"/>
    <s v="Male"/>
    <b v="1"/>
    <x v="2"/>
  </r>
  <r>
    <s v="ORD-20941"/>
    <s v="CUST-5114"/>
    <d v="2022-09-06T00:00:00"/>
    <s v="Electronics"/>
    <s v="Smart Watch"/>
    <n v="199.99"/>
    <n v="2"/>
    <n v="0"/>
    <n v="199.99"/>
    <n v="399.98"/>
    <s v="Credit Card"/>
    <s v="Delivered"/>
    <m/>
    <n v="36"/>
    <s v="Phoenix"/>
    <s v="Free"/>
    <s v="Male"/>
    <b v="1"/>
    <x v="22"/>
  </r>
  <r>
    <s v="ORD-20942"/>
    <s v="CUST-5114"/>
    <d v="2023-05-23T00:00:00"/>
    <s v="Sports"/>
    <s v="Water Bottle"/>
    <n v="24.99"/>
    <n v="3"/>
    <n v="15"/>
    <n v="21.24"/>
    <n v="63.72"/>
    <s v="Credit Card"/>
    <s v="Delivered"/>
    <m/>
    <n v="36"/>
    <s v="Phoenix"/>
    <s v="Free"/>
    <s v="Male"/>
    <b v="1"/>
    <x v="5"/>
  </r>
  <r>
    <s v="ORD-20943"/>
    <s v="CUST-5114"/>
    <d v="2024-01-20T00:00:00"/>
    <s v="Sports"/>
    <s v="Water Bottle"/>
    <n v="24.99"/>
    <n v="4"/>
    <n v="20"/>
    <n v="19.989999999999998"/>
    <n v="79.959999999999994"/>
    <s v="PayPal"/>
    <s v="Delivered"/>
    <n v="5"/>
    <n v="36"/>
    <s v="Phoenix"/>
    <s v="Free"/>
    <s v="Male"/>
    <b v="1"/>
    <x v="25"/>
  </r>
  <r>
    <s v="ORD-20944"/>
    <s v="CUST-5115"/>
    <d v="2024-09-03T00:00:00"/>
    <s v="Electronics"/>
    <s v="USB-C Hub"/>
    <n v="34.99"/>
    <n v="2"/>
    <n v="15"/>
    <n v="29.74"/>
    <n v="59.48"/>
    <s v="Credit Card"/>
    <s v="Cancelled"/>
    <n v="5"/>
    <n v="25"/>
    <s v="Los Angeles"/>
    <s v="Platinum"/>
    <s v="Female"/>
    <b v="1"/>
    <x v="15"/>
  </r>
  <r>
    <s v="ORD-20945"/>
    <s v="CUST-5115"/>
    <d v="2023-06-25T00:00:00"/>
    <s v="Clothing"/>
    <s v="Running Shoes"/>
    <n v="89.99"/>
    <n v="2"/>
    <n v="20"/>
    <n v="71.989999999999995"/>
    <n v="143.97999999999999"/>
    <s v="Debit Card"/>
    <s v="Delivered"/>
    <n v="4"/>
    <n v="25"/>
    <s v="Los Angeles"/>
    <s v="Platinum"/>
    <s v="Female"/>
    <b v="1"/>
    <x v="19"/>
  </r>
  <r>
    <s v="ORD-20946"/>
    <s v="CUST-5115"/>
    <d v="2024-11-11T00:00:00"/>
    <s v="Electronics"/>
    <s v="Wireless Earbuds"/>
    <n v="79.989999999999995"/>
    <n v="1"/>
    <n v="0"/>
    <n v="79.989999999999995"/>
    <n v="79.989999999999995"/>
    <s v="UPI"/>
    <s v="Delivered"/>
    <n v="5"/>
    <n v="25"/>
    <s v="Los Angeles"/>
    <s v="Platinum"/>
    <s v="Female"/>
    <b v="1"/>
    <x v="16"/>
  </r>
  <r>
    <s v="ORD-20947"/>
    <s v="CUST-5115"/>
    <d v="2024-01-19T00:00:00"/>
    <s v="Beauty"/>
    <s v="Lip Balm Set"/>
    <n v="14.99"/>
    <n v="2"/>
    <n v="20"/>
    <n v="11.99"/>
    <n v="23.98"/>
    <s v="UPI"/>
    <s v="Shipped"/>
    <n v="5"/>
    <n v="25"/>
    <s v="Los Angeles"/>
    <s v="Platinum"/>
    <s v="Female"/>
    <b v="1"/>
    <x v="25"/>
  </r>
  <r>
    <s v="ORD-20948"/>
    <s v="CUST-5115"/>
    <d v="2024-08-04T00:00:00"/>
    <s v="Beauty"/>
    <s v="Lip Balm Set"/>
    <n v="14.99"/>
    <n v="2"/>
    <n v="10"/>
    <n v="13.49"/>
    <n v="26.98"/>
    <s v="Debit Card"/>
    <s v="Delivered"/>
    <n v="5"/>
    <n v="25"/>
    <s v="Los Angeles"/>
    <s v="Platinum"/>
    <s v="Female"/>
    <b v="1"/>
    <x v="26"/>
  </r>
  <r>
    <s v="ORD-20949"/>
    <s v="CUST-5115"/>
    <d v="2023-11-15T00:00:00"/>
    <s v="Home &amp; Kitchen"/>
    <s v="Air Fryer"/>
    <n v="89.99"/>
    <n v="3"/>
    <n v="0"/>
    <n v="89.99"/>
    <n v="269.97000000000003"/>
    <s v="PayPal"/>
    <s v="Delivered"/>
    <m/>
    <n v="25"/>
    <s v="Los Angeles"/>
    <s v="Platinum"/>
    <s v="Female"/>
    <b v="1"/>
    <x v="29"/>
  </r>
  <r>
    <s v="ORD-20950"/>
    <s v="CUST-5115"/>
    <d v="2023-02-25T00:00:00"/>
    <s v="Sports"/>
    <s v="Jump Rope"/>
    <n v="14.99"/>
    <n v="1"/>
    <n v="5"/>
    <n v="14.24"/>
    <n v="14.24"/>
    <s v="PayPal"/>
    <s v="Delivered"/>
    <n v="4"/>
    <n v="25"/>
    <s v="Los Angeles"/>
    <s v="Platinum"/>
    <s v="Female"/>
    <b v="1"/>
    <x v="34"/>
  </r>
  <r>
    <s v="ORD-20951"/>
    <s v="CUST-5115"/>
    <d v="2022-09-21T00:00:00"/>
    <s v="Toys"/>
    <s v="LEGO Classic Set"/>
    <n v="49.99"/>
    <n v="2"/>
    <n v="0"/>
    <n v="49.99"/>
    <n v="99.98"/>
    <s v="Wallet"/>
    <s v="Delivered"/>
    <m/>
    <n v="25"/>
    <s v="Los Angeles"/>
    <s v="Platinum"/>
    <s v="Female"/>
    <b v="1"/>
    <x v="22"/>
  </r>
  <r>
    <s v="ORD-20952"/>
    <s v="CUST-5115"/>
    <d v="2024-04-26T00:00:00"/>
    <s v="Toys"/>
    <s v="LEGO Classic Set"/>
    <n v="49.99"/>
    <n v="3"/>
    <n v="10"/>
    <n v="44.99"/>
    <n v="134.97"/>
    <s v="Wallet"/>
    <s v="Delivered"/>
    <n v="4"/>
    <n v="25"/>
    <s v="Los Angeles"/>
    <s v="Platinum"/>
    <s v="Female"/>
    <b v="1"/>
    <x v="27"/>
  </r>
  <r>
    <s v="ORD-20953"/>
    <s v="CUST-5116"/>
    <d v="2024-12-08T00:00:00"/>
    <s v="Books"/>
    <s v="Business Analytics"/>
    <n v="39.99"/>
    <n v="2"/>
    <n v="20"/>
    <n v="31.99"/>
    <n v="63.98"/>
    <s v="Debit Card"/>
    <s v="Delivered"/>
    <n v="3"/>
    <n v="52"/>
    <s v="San Diego"/>
    <s v="Free"/>
    <s v="Female"/>
    <b v="1"/>
    <x v="32"/>
  </r>
  <r>
    <s v="ORD-20954"/>
    <s v="CUST-5116"/>
    <d v="2024-08-24T00:00:00"/>
    <s v="Beauty"/>
    <s v="Lip Balm Set"/>
    <n v="14.99"/>
    <n v="3"/>
    <n v="0"/>
    <n v="14.99"/>
    <n v="44.97"/>
    <s v="PayPal"/>
    <s v="Delivered"/>
    <n v="3"/>
    <n v="52"/>
    <s v="San Diego"/>
    <s v="Free"/>
    <s v="Female"/>
    <b v="1"/>
    <x v="26"/>
  </r>
  <r>
    <s v="ORD-20955"/>
    <s v="CUST-5116"/>
    <d v="2023-03-02T00:00:00"/>
    <s v="Sports"/>
    <s v="Water Bottle"/>
    <n v="24.99"/>
    <n v="3"/>
    <n v="20"/>
    <n v="19.989999999999998"/>
    <n v="59.97"/>
    <s v="PayPal"/>
    <s v="Delivered"/>
    <n v="5"/>
    <n v="52"/>
    <s v="San Diego"/>
    <s v="Free"/>
    <s v="Female"/>
    <b v="1"/>
    <x v="23"/>
  </r>
  <r>
    <s v="ORD-20956"/>
    <s v="CUST-5116"/>
    <d v="2024-02-18T00:00:00"/>
    <s v="Books"/>
    <s v="Data Science Handbook"/>
    <n v="49.99"/>
    <n v="3"/>
    <n v="20"/>
    <n v="39.99"/>
    <n v="119.97"/>
    <s v="Credit Card"/>
    <s v="Delivered"/>
    <n v="5"/>
    <n v="52"/>
    <s v="San Diego"/>
    <s v="Free"/>
    <s v="Female"/>
    <b v="1"/>
    <x v="0"/>
  </r>
  <r>
    <s v="ORD-20957"/>
    <s v="CUST-5116"/>
    <d v="2022-07-03T00:00:00"/>
    <s v="Books"/>
    <s v="Fiction Novel"/>
    <n v="14.99"/>
    <n v="1"/>
    <n v="20"/>
    <n v="11.99"/>
    <n v="11.99"/>
    <s v="PayPal"/>
    <s v="Delivered"/>
    <m/>
    <n v="52"/>
    <s v="San Diego"/>
    <s v="Free"/>
    <s v="Female"/>
    <b v="1"/>
    <x v="33"/>
  </r>
  <r>
    <s v="ORD-20958"/>
    <s v="CUST-5116"/>
    <d v="2022-06-14T00:00:00"/>
    <s v="Clothing"/>
    <s v="Running Shoes"/>
    <n v="89.99"/>
    <n v="1"/>
    <n v="0"/>
    <n v="89.99"/>
    <n v="89.99"/>
    <s v="UPI"/>
    <s v="Delivered"/>
    <n v="1"/>
    <n v="52"/>
    <s v="San Diego"/>
    <s v="Free"/>
    <s v="Female"/>
    <b v="1"/>
    <x v="8"/>
  </r>
  <r>
    <s v="ORD-20959"/>
    <s v="CUST-5117"/>
    <d v="2023-06-25T00:00:00"/>
    <s v="Sports"/>
    <s v="Jump Rope"/>
    <n v="14.99"/>
    <n v="4"/>
    <n v="0"/>
    <n v="14.99"/>
    <n v="59.96"/>
    <s v="UPI"/>
    <s v="Delivered"/>
    <n v="4"/>
    <n v="21"/>
    <s v="San Jose"/>
    <s v="Silver"/>
    <s v="Male"/>
    <b v="1"/>
    <x v="19"/>
  </r>
  <r>
    <s v="ORD-20960"/>
    <s v="CUST-5117"/>
    <d v="2024-06-27T00:00:00"/>
    <s v="Books"/>
    <s v="Python for Beginners"/>
    <n v="29.99"/>
    <n v="2"/>
    <n v="0"/>
    <n v="29.99"/>
    <n v="59.98"/>
    <s v="PayPal"/>
    <s v="Delivered"/>
    <n v="4"/>
    <n v="21"/>
    <s v="San Jose"/>
    <s v="Silver"/>
    <s v="Male"/>
    <b v="1"/>
    <x v="35"/>
  </r>
  <r>
    <s v="ORD-20961"/>
    <s v="CUST-5118"/>
    <d v="2023-10-15T00:00:00"/>
    <s v="Books"/>
    <s v="Data Science Handbook"/>
    <n v="49.99"/>
    <n v="2"/>
    <n v="15"/>
    <n v="42.49"/>
    <n v="84.98"/>
    <s v="PayPal"/>
    <s v="Delivered"/>
    <n v="4"/>
    <n v="62"/>
    <s v="Houston"/>
    <s v="Silver"/>
    <s v="Male"/>
    <b v="1"/>
    <x v="13"/>
  </r>
  <r>
    <s v="ORD-20962"/>
    <s v="CUST-5118"/>
    <d v="2022-04-03T00:00:00"/>
    <s v="Books"/>
    <s v="Fiction Novel"/>
    <n v="14.99"/>
    <n v="3"/>
    <n v="0"/>
    <n v="14.99"/>
    <n v="44.97"/>
    <s v="Credit Card"/>
    <s v="Delivered"/>
    <n v="5"/>
    <n v="62"/>
    <s v="Houston"/>
    <s v="Silver"/>
    <s v="Male"/>
    <b v="1"/>
    <x v="12"/>
  </r>
  <r>
    <s v="ORD-20963"/>
    <s v="CUST-5118"/>
    <d v="2024-06-24T00:00:00"/>
    <s v="Clothing"/>
    <s v="Denim Jacket"/>
    <n v="69.989999999999995"/>
    <n v="2"/>
    <n v="15"/>
    <n v="59.49"/>
    <n v="118.98"/>
    <s v="Wallet"/>
    <s v="Processing"/>
    <n v="2"/>
    <n v="62"/>
    <s v="Houston"/>
    <s v="Silver"/>
    <s v="Male"/>
    <b v="1"/>
    <x v="35"/>
  </r>
  <r>
    <s v="ORD-20964"/>
    <s v="CUST-5118"/>
    <d v="2023-01-09T00:00:00"/>
    <s v="Books"/>
    <s v="Business Analytics"/>
    <n v="39.99"/>
    <n v="1"/>
    <n v="10"/>
    <n v="35.99"/>
    <n v="35.99"/>
    <s v="Debit Card"/>
    <s v="Shipped"/>
    <n v="4"/>
    <n v="62"/>
    <s v="Houston"/>
    <s v="Silver"/>
    <s v="Male"/>
    <b v="1"/>
    <x v="10"/>
  </r>
  <r>
    <s v="ORD-20965"/>
    <s v="CUST-5118"/>
    <d v="2024-05-06T00:00:00"/>
    <s v="Sports"/>
    <s v="Water Bottle"/>
    <n v="24.99"/>
    <n v="2"/>
    <n v="20"/>
    <n v="19.989999999999998"/>
    <n v="39.979999999999997"/>
    <s v="Debit Card"/>
    <s v="Delivered"/>
    <n v="5"/>
    <n v="62"/>
    <s v="Houston"/>
    <s v="Silver"/>
    <s v="Male"/>
    <b v="1"/>
    <x v="30"/>
  </r>
  <r>
    <s v="ORD-20966"/>
    <s v="CUST-5118"/>
    <d v="2022-12-07T00:00:00"/>
    <s v="Sports"/>
    <s v="Yoga Mat"/>
    <n v="29.99"/>
    <n v="2"/>
    <n v="20"/>
    <n v="23.99"/>
    <n v="47.98"/>
    <s v="Credit Card"/>
    <s v="Delivered"/>
    <n v="5"/>
    <n v="62"/>
    <s v="Houston"/>
    <s v="Silver"/>
    <s v="Male"/>
    <b v="1"/>
    <x v="28"/>
  </r>
  <r>
    <s v="ORD-20967"/>
    <s v="CUST-5118"/>
    <d v="2024-10-23T00:00:00"/>
    <s v="Home &amp; Kitchen"/>
    <s v="Non-stick Pan Set"/>
    <n v="44.99"/>
    <n v="2"/>
    <n v="10"/>
    <n v="40.49"/>
    <n v="80.98"/>
    <s v="Credit Card"/>
    <s v="Delivered"/>
    <n v="3"/>
    <n v="62"/>
    <s v="Houston"/>
    <s v="Silver"/>
    <s v="Male"/>
    <b v="1"/>
    <x v="21"/>
  </r>
  <r>
    <s v="ORD-20968"/>
    <s v="CUST-5118"/>
    <d v="2024-08-20T00:00:00"/>
    <s v="Beauty"/>
    <s v="Hair Mask"/>
    <n v="24.99"/>
    <n v="3"/>
    <n v="0"/>
    <n v="24.99"/>
    <n v="74.97"/>
    <s v="PayPal"/>
    <s v="Delivered"/>
    <n v="4"/>
    <n v="62"/>
    <s v="Houston"/>
    <s v="Silver"/>
    <s v="Male"/>
    <b v="1"/>
    <x v="26"/>
  </r>
  <r>
    <s v="ORD-20969"/>
    <s v="CUST-5118"/>
    <d v="2024-01-09T00:00:00"/>
    <s v="Electronics"/>
    <s v="USB-C Hub"/>
    <n v="34.99"/>
    <n v="2"/>
    <n v="10"/>
    <n v="31.49"/>
    <n v="62.98"/>
    <s v="Credit Card"/>
    <s v="Delivered"/>
    <n v="5"/>
    <n v="62"/>
    <s v="Houston"/>
    <s v="Silver"/>
    <s v="Male"/>
    <b v="1"/>
    <x v="25"/>
  </r>
  <r>
    <s v="ORD-20970"/>
    <s v="CUST-5118"/>
    <d v="2024-01-22T00:00:00"/>
    <s v="Beauty"/>
    <s v="Moisturizer SPF 50"/>
    <n v="29.99"/>
    <n v="3"/>
    <n v="5"/>
    <n v="28.49"/>
    <n v="85.47"/>
    <s v="PayPal"/>
    <s v="Shipped"/>
    <m/>
    <n v="62"/>
    <s v="Houston"/>
    <s v="Silver"/>
    <s v="Male"/>
    <b v="1"/>
    <x v="25"/>
  </r>
  <r>
    <s v="ORD-20971"/>
    <s v="CUST-5118"/>
    <d v="2022-09-26T00:00:00"/>
    <s v="Beauty"/>
    <s v="Lip Balm Set"/>
    <n v="14.99"/>
    <n v="1"/>
    <n v="20"/>
    <n v="11.99"/>
    <n v="11.99"/>
    <s v="Debit Card"/>
    <s v="Delivered"/>
    <n v="5"/>
    <n v="62"/>
    <s v="Houston"/>
    <s v="Silver"/>
    <s v="Male"/>
    <b v="1"/>
    <x v="22"/>
  </r>
  <r>
    <s v="ORD-20972"/>
    <s v="CUST-5118"/>
    <d v="2024-11-24T00:00:00"/>
    <s v="Toys"/>
    <s v="Action Figure"/>
    <n v="19.989999999999998"/>
    <n v="4"/>
    <n v="0"/>
    <n v="19.989999999999998"/>
    <n v="79.959999999999994"/>
    <s v="Debit Card"/>
    <s v="Delivered"/>
    <n v="5"/>
    <n v="62"/>
    <s v="Houston"/>
    <s v="Silver"/>
    <s v="Male"/>
    <b v="1"/>
    <x v="16"/>
  </r>
  <r>
    <s v="ORD-20973"/>
    <s v="CUST-5118"/>
    <d v="2022-06-06T00:00:00"/>
    <s v="Clothing"/>
    <s v="Cotton T-Shirt"/>
    <n v="24.99"/>
    <n v="1"/>
    <n v="15"/>
    <n v="21.24"/>
    <n v="21.24"/>
    <s v="Debit Card"/>
    <s v="Shipped"/>
    <n v="4"/>
    <n v="62"/>
    <s v="Houston"/>
    <s v="Silver"/>
    <s v="Male"/>
    <b v="1"/>
    <x v="8"/>
  </r>
  <r>
    <s v="ORD-20974"/>
    <s v="CUST-5118"/>
    <d v="2022-12-27T00:00:00"/>
    <s v="Clothing"/>
    <s v="Cotton T-Shirt"/>
    <n v="24.99"/>
    <n v="2"/>
    <n v="0"/>
    <n v="24.99"/>
    <n v="49.98"/>
    <s v="PayPal"/>
    <s v="Delivered"/>
    <m/>
    <n v="62"/>
    <s v="Houston"/>
    <s v="Silver"/>
    <s v="Male"/>
    <b v="1"/>
    <x v="28"/>
  </r>
  <r>
    <s v="ORD-20975"/>
    <s v="CUST-5118"/>
    <d v="2023-10-05T00:00:00"/>
    <s v="Toys"/>
    <s v="Action Figure"/>
    <n v="19.989999999999998"/>
    <n v="1"/>
    <n v="0"/>
    <n v="19.989999999999998"/>
    <n v="19.989999999999998"/>
    <s v="Credit Card"/>
    <s v="Delivered"/>
    <m/>
    <n v="62"/>
    <s v="Houston"/>
    <s v="Silver"/>
    <s v="Male"/>
    <b v="1"/>
    <x v="13"/>
  </r>
  <r>
    <s v="ORD-20976"/>
    <s v="CUST-5119"/>
    <d v="2024-08-21T00:00:00"/>
    <s v="Toys"/>
    <s v="Remote Control Car"/>
    <n v="39.99"/>
    <n v="3"/>
    <n v="0"/>
    <n v="39.99"/>
    <n v="119.97"/>
    <s v="Wallet"/>
    <s v="Shipped"/>
    <n v="5"/>
    <n v="34"/>
    <s v="Jacksonville"/>
    <s v="Free"/>
    <s v="Male"/>
    <b v="1"/>
    <x v="26"/>
  </r>
  <r>
    <s v="ORD-20977"/>
    <s v="CUST-5119"/>
    <d v="2022-10-21T00:00:00"/>
    <s v="Home &amp; Kitchen"/>
    <s v="Coffee Maker"/>
    <n v="59.99"/>
    <n v="3"/>
    <n v="0"/>
    <n v="59.99"/>
    <n v="179.97"/>
    <s v="Debit Card"/>
    <s v="Delivered"/>
    <n v="4"/>
    <n v="34"/>
    <s v="Jacksonville"/>
    <s v="Free"/>
    <s v="Male"/>
    <b v="1"/>
    <x v="20"/>
  </r>
  <r>
    <s v="ORD-20978"/>
    <s v="CUST-5120"/>
    <d v="2022-12-21T00:00:00"/>
    <s v="Sports"/>
    <s v="Yoga Mat"/>
    <n v="29.99"/>
    <n v="2"/>
    <n v="0"/>
    <n v="29.99"/>
    <n v="59.98"/>
    <s v="Wallet"/>
    <s v="Delivered"/>
    <m/>
    <n v="58"/>
    <s v="Houston"/>
    <s v="Free"/>
    <s v="Male"/>
    <b v="1"/>
    <x v="28"/>
  </r>
  <r>
    <s v="ORD-20979"/>
    <s v="CUST-5120"/>
    <d v="2024-04-08T00:00:00"/>
    <s v="Home &amp; Kitchen"/>
    <s v="Air Fryer"/>
    <n v="89.99"/>
    <n v="3"/>
    <n v="0"/>
    <n v="89.99"/>
    <n v="269.97000000000003"/>
    <s v="Wallet"/>
    <s v="Delivered"/>
    <n v="4"/>
    <n v="58"/>
    <s v="Houston"/>
    <s v="Free"/>
    <s v="Male"/>
    <b v="1"/>
    <x v="27"/>
  </r>
  <r>
    <s v="ORD-20980"/>
    <s v="CUST-5120"/>
    <d v="2024-09-04T00:00:00"/>
    <s v="Sports"/>
    <s v="Yoga Mat"/>
    <n v="29.99"/>
    <n v="2"/>
    <n v="0"/>
    <n v="29.99"/>
    <n v="59.98"/>
    <s v="Credit Card"/>
    <s v="Delivered"/>
    <m/>
    <n v="58"/>
    <s v="Houston"/>
    <s v="Free"/>
    <s v="Male"/>
    <b v="1"/>
    <x v="15"/>
  </r>
  <r>
    <s v="ORD-20981"/>
    <s v="CUST-5120"/>
    <d v="2024-10-21T00:00:00"/>
    <s v="Beauty"/>
    <s v="Lip Balm Set"/>
    <n v="14.99"/>
    <n v="3"/>
    <n v="0"/>
    <n v="14.99"/>
    <n v="44.97"/>
    <s v="Credit Card"/>
    <s v="Delivered"/>
    <n v="5"/>
    <n v="58"/>
    <s v="Houston"/>
    <s v="Free"/>
    <s v="Male"/>
    <b v="1"/>
    <x v="21"/>
  </r>
  <r>
    <s v="ORD-20982"/>
    <s v="CUST-5120"/>
    <d v="2023-02-07T00:00:00"/>
    <s v="Toys"/>
    <s v="LEGO Classic Set"/>
    <n v="49.99"/>
    <n v="4"/>
    <n v="0"/>
    <n v="49.99"/>
    <n v="199.96"/>
    <s v="Wallet"/>
    <s v="Delivered"/>
    <n v="5"/>
    <n v="58"/>
    <s v="Houston"/>
    <s v="Free"/>
    <s v="Male"/>
    <b v="1"/>
    <x v="34"/>
  </r>
  <r>
    <s v="ORD-20983"/>
    <s v="CUST-5120"/>
    <d v="2022-04-22T00:00:00"/>
    <s v="Beauty"/>
    <s v="Face Serum"/>
    <n v="39.99"/>
    <n v="4"/>
    <n v="10"/>
    <n v="35.99"/>
    <n v="143.96"/>
    <s v="Credit Card"/>
    <s v="Delivered"/>
    <n v="5"/>
    <n v="58"/>
    <s v="Houston"/>
    <s v="Free"/>
    <s v="Male"/>
    <b v="1"/>
    <x v="12"/>
  </r>
  <r>
    <s v="ORD-20984"/>
    <s v="CUST-5120"/>
    <d v="2022-04-18T00:00:00"/>
    <s v="Electronics"/>
    <s v="USB-C Hub"/>
    <n v="34.99"/>
    <n v="3"/>
    <n v="0"/>
    <n v="34.99"/>
    <n v="104.97"/>
    <s v="Debit Card"/>
    <s v="Returned"/>
    <m/>
    <n v="58"/>
    <s v="Houston"/>
    <s v="Free"/>
    <s v="Male"/>
    <b v="1"/>
    <x v="12"/>
  </r>
  <r>
    <s v="ORD-20985"/>
    <s v="CUST-5120"/>
    <d v="2023-02-14T00:00:00"/>
    <s v="Toys"/>
    <s v="LEGO Classic Set"/>
    <n v="49.99"/>
    <n v="4"/>
    <n v="0"/>
    <n v="49.99"/>
    <n v="199.96"/>
    <s v="Wallet"/>
    <s v="Delivered"/>
    <m/>
    <n v="58"/>
    <s v="Houston"/>
    <s v="Free"/>
    <s v="Male"/>
    <b v="1"/>
    <x v="34"/>
  </r>
  <r>
    <s v="ORD-20986"/>
    <s v="CUST-5120"/>
    <d v="2022-09-13T00:00:00"/>
    <s v="Books"/>
    <s v="Data Science Handbook"/>
    <n v="49.99"/>
    <n v="4"/>
    <n v="20"/>
    <n v="39.99"/>
    <n v="159.96"/>
    <s v="UPI"/>
    <s v="Delivered"/>
    <n v="3"/>
    <n v="58"/>
    <s v="Houston"/>
    <s v="Free"/>
    <s v="Male"/>
    <b v="1"/>
    <x v="22"/>
  </r>
  <r>
    <s v="ORD-20987"/>
    <s v="CUST-5120"/>
    <d v="2022-12-04T00:00:00"/>
    <s v="Home &amp; Kitchen"/>
    <s v="Air Fryer"/>
    <n v="89.99"/>
    <n v="1"/>
    <n v="0"/>
    <n v="89.99"/>
    <n v="89.99"/>
    <s v="Credit Card"/>
    <s v="Delivered"/>
    <n v="5"/>
    <n v="58"/>
    <s v="Houston"/>
    <s v="Free"/>
    <s v="Male"/>
    <b v="1"/>
    <x v="28"/>
  </r>
  <r>
    <s v="ORD-20988"/>
    <s v="CUST-5121"/>
    <d v="2022-02-06T00:00:00"/>
    <s v="Home &amp; Kitchen"/>
    <s v="Air Fryer"/>
    <n v="89.99"/>
    <n v="4"/>
    <n v="0"/>
    <n v="89.99"/>
    <n v="359.96"/>
    <s v="PayPal"/>
    <s v="Delivered"/>
    <m/>
    <n v="21"/>
    <s v="San Jose"/>
    <s v="Silver"/>
    <s v="Female"/>
    <b v="1"/>
    <x v="17"/>
  </r>
  <r>
    <s v="ORD-20989"/>
    <s v="CUST-5121"/>
    <d v="2022-03-09T00:00:00"/>
    <s v="Beauty"/>
    <s v="Moisturizer SPF 50"/>
    <n v="29.99"/>
    <n v="4"/>
    <n v="0"/>
    <n v="29.99"/>
    <n v="119.96"/>
    <s v="Wallet"/>
    <s v="Shipped"/>
    <n v="4"/>
    <n v="21"/>
    <s v="San Jose"/>
    <s v="Silver"/>
    <s v="Female"/>
    <b v="1"/>
    <x v="11"/>
  </r>
  <r>
    <s v="ORD-20990"/>
    <s v="CUST-5121"/>
    <d v="2023-03-20T00:00:00"/>
    <s v="Electronics"/>
    <s v="Bluetooth Speaker"/>
    <n v="49.99"/>
    <n v="3"/>
    <n v="10"/>
    <n v="44.99"/>
    <n v="134.97"/>
    <s v="UPI"/>
    <s v="Delivered"/>
    <m/>
    <n v="21"/>
    <s v="San Jose"/>
    <s v="Silver"/>
    <s v="Female"/>
    <b v="1"/>
    <x v="23"/>
  </r>
  <r>
    <s v="ORD-20991"/>
    <s v="CUST-5121"/>
    <d v="2024-11-22T00:00:00"/>
    <s v="Home &amp; Kitchen"/>
    <s v="Air Fryer"/>
    <n v="89.99"/>
    <n v="2"/>
    <n v="0"/>
    <n v="89.99"/>
    <n v="179.98"/>
    <s v="Wallet"/>
    <s v="Delivered"/>
    <m/>
    <n v="21"/>
    <s v="San Jose"/>
    <s v="Silver"/>
    <s v="Female"/>
    <b v="1"/>
    <x v="16"/>
  </r>
  <r>
    <s v="ORD-20992"/>
    <s v="CUST-5121"/>
    <d v="2024-06-14T00:00:00"/>
    <s v="Toys"/>
    <s v="Puzzle 1000pcs"/>
    <n v="24.99"/>
    <n v="1"/>
    <n v="15"/>
    <n v="21.24"/>
    <n v="21.24"/>
    <s v="UPI"/>
    <s v="Delivered"/>
    <n v="2"/>
    <n v="21"/>
    <s v="San Jose"/>
    <s v="Silver"/>
    <s v="Female"/>
    <b v="1"/>
    <x v="35"/>
  </r>
  <r>
    <s v="ORD-20993"/>
    <s v="CUST-5121"/>
    <d v="2023-03-22T00:00:00"/>
    <s v="Books"/>
    <s v="Data Science Handbook"/>
    <n v="49.99"/>
    <n v="1"/>
    <n v="20"/>
    <n v="39.99"/>
    <n v="39.99"/>
    <s v="Debit Card"/>
    <s v="Delivered"/>
    <n v="4"/>
    <n v="21"/>
    <s v="San Jose"/>
    <s v="Silver"/>
    <s v="Female"/>
    <b v="1"/>
    <x v="23"/>
  </r>
  <r>
    <s v="ORD-20994"/>
    <s v="CUST-5121"/>
    <d v="2023-07-25T00:00:00"/>
    <s v="Books"/>
    <s v="Data Science Handbook"/>
    <n v="49.99"/>
    <n v="3"/>
    <n v="15"/>
    <n v="42.49"/>
    <n v="127.47"/>
    <s v="Debit Card"/>
    <s v="Delivered"/>
    <n v="5"/>
    <n v="21"/>
    <s v="San Jose"/>
    <s v="Silver"/>
    <s v="Female"/>
    <b v="1"/>
    <x v="9"/>
  </r>
  <r>
    <s v="ORD-20995"/>
    <s v="CUST-5121"/>
    <d v="2024-05-24T00:00:00"/>
    <s v="Books"/>
    <s v="Business Analytics"/>
    <n v="39.99"/>
    <n v="2"/>
    <n v="0"/>
    <n v="39.99"/>
    <n v="79.98"/>
    <s v="Wallet"/>
    <s v="Delivered"/>
    <n v="4"/>
    <n v="21"/>
    <s v="San Jose"/>
    <s v="Silver"/>
    <s v="Female"/>
    <b v="1"/>
    <x v="30"/>
  </r>
  <r>
    <s v="ORD-20996"/>
    <s v="CUST-5121"/>
    <d v="2023-10-09T00:00:00"/>
    <s v="Sports"/>
    <s v="Yoga Mat"/>
    <n v="29.99"/>
    <n v="1"/>
    <n v="0"/>
    <n v="29.99"/>
    <n v="29.99"/>
    <s v="Wallet"/>
    <s v="Delivered"/>
    <n v="5"/>
    <n v="21"/>
    <s v="San Jose"/>
    <s v="Silver"/>
    <s v="Female"/>
    <b v="1"/>
    <x v="13"/>
  </r>
  <r>
    <s v="ORD-20997"/>
    <s v="CUST-5122"/>
    <d v="2024-11-08T00:00:00"/>
    <s v="Clothing"/>
    <s v="Denim Jacket"/>
    <n v="69.989999999999995"/>
    <n v="2"/>
    <n v="10"/>
    <n v="62.99"/>
    <n v="125.98"/>
    <s v="UPI"/>
    <s v="Delivered"/>
    <n v="5"/>
    <n v="59"/>
    <s v="Austin"/>
    <s v="Silver"/>
    <s v="Male"/>
    <b v="1"/>
    <x v="16"/>
  </r>
  <r>
    <s v="ORD-20998"/>
    <s v="CUST-5122"/>
    <d v="2024-09-26T00:00:00"/>
    <s v="Home &amp; Kitchen"/>
    <s v="Coffee Maker"/>
    <n v="59.99"/>
    <n v="3"/>
    <n v="0"/>
    <n v="59.99"/>
    <n v="179.97"/>
    <s v="UPI"/>
    <s v="Delivered"/>
    <n v="5"/>
    <n v="59"/>
    <s v="Austin"/>
    <s v="Silver"/>
    <s v="Male"/>
    <b v="1"/>
    <x v="15"/>
  </r>
  <r>
    <s v="ORD-20999"/>
    <s v="CUST-5122"/>
    <d v="2023-08-18T00:00:00"/>
    <s v="Beauty"/>
    <s v="Hair Mask"/>
    <n v="24.99"/>
    <n v="2"/>
    <n v="15"/>
    <n v="21.24"/>
    <n v="42.48"/>
    <s v="Wallet"/>
    <s v="Delivered"/>
    <n v="3"/>
    <n v="59"/>
    <s v="Austin"/>
    <s v="Silver"/>
    <s v="Male"/>
    <b v="1"/>
    <x v="24"/>
  </r>
  <r>
    <s v="ORD-21000"/>
    <s v="CUST-5123"/>
    <d v="2024-06-05T00:00:00"/>
    <s v="Beauty"/>
    <s v="Moisturizer SPF 50"/>
    <n v="29.99"/>
    <n v="1"/>
    <n v="15"/>
    <n v="25.49"/>
    <n v="25.49"/>
    <s v="Credit Card"/>
    <s v="Delivered"/>
    <m/>
    <n v="18"/>
    <s v="Phoenix"/>
    <s v="Gold"/>
    <s v="Female"/>
    <b v="1"/>
    <x v="35"/>
  </r>
  <r>
    <s v="ORD-21001"/>
    <s v="CUST-5123"/>
    <d v="2022-05-25T00:00:00"/>
    <s v="Beauty"/>
    <s v="Moisturizer SPF 50"/>
    <n v="29.99"/>
    <n v="3"/>
    <n v="0"/>
    <n v="29.99"/>
    <n v="89.97"/>
    <s v="Wallet"/>
    <s v="Delivered"/>
    <n v="4"/>
    <n v="18"/>
    <s v="Phoenix"/>
    <s v="Gold"/>
    <s v="Female"/>
    <b v="1"/>
    <x v="31"/>
  </r>
  <r>
    <s v="ORD-21002"/>
    <s v="CUST-5123"/>
    <d v="2022-12-01T00:00:00"/>
    <s v="Home &amp; Kitchen"/>
    <s v="Non-stick Pan Set"/>
    <n v="44.99"/>
    <n v="2"/>
    <n v="5"/>
    <n v="42.74"/>
    <n v="85.48"/>
    <s v="Debit Card"/>
    <s v="Shipped"/>
    <m/>
    <n v="18"/>
    <s v="Phoenix"/>
    <s v="Gold"/>
    <s v="Female"/>
    <b v="1"/>
    <x v="28"/>
  </r>
  <r>
    <s v="ORD-21003"/>
    <s v="CUST-5123"/>
    <d v="2022-12-10T00:00:00"/>
    <s v="Toys"/>
    <s v="LEGO Classic Set"/>
    <n v="49.99"/>
    <n v="2"/>
    <n v="15"/>
    <n v="42.49"/>
    <n v="84.98"/>
    <s v="UPI"/>
    <s v="Delivered"/>
    <n v="5"/>
    <n v="18"/>
    <s v="Phoenix"/>
    <s v="Gold"/>
    <s v="Female"/>
    <b v="1"/>
    <x v="28"/>
  </r>
  <r>
    <s v="ORD-21004"/>
    <s v="CUST-5123"/>
    <d v="2024-09-15T00:00:00"/>
    <s v="Sports"/>
    <s v="Water Bottle"/>
    <n v="24.99"/>
    <n v="2"/>
    <n v="15"/>
    <n v="21.24"/>
    <n v="42.48"/>
    <s v="Credit Card"/>
    <s v="Returned"/>
    <n v="5"/>
    <n v="18"/>
    <s v="Phoenix"/>
    <s v="Gold"/>
    <s v="Female"/>
    <b v="1"/>
    <x v="15"/>
  </r>
  <r>
    <s v="ORD-21005"/>
    <s v="CUST-5123"/>
    <d v="2024-11-16T00:00:00"/>
    <s v="Sports"/>
    <s v="Resistance Bands"/>
    <n v="19.989999999999998"/>
    <n v="1"/>
    <n v="5"/>
    <n v="18.989999999999998"/>
    <n v="18.989999999999998"/>
    <s v="Debit Card"/>
    <s v="Delivered"/>
    <n v="4"/>
    <n v="18"/>
    <s v="Phoenix"/>
    <s v="Gold"/>
    <s v="Female"/>
    <b v="1"/>
    <x v="16"/>
  </r>
  <r>
    <s v="ORD-21006"/>
    <s v="CUST-5123"/>
    <d v="2022-07-19T00:00:00"/>
    <s v="Electronics"/>
    <s v="Bluetooth Speaker"/>
    <n v="49.99"/>
    <n v="2"/>
    <n v="0"/>
    <n v="49.99"/>
    <n v="99.98"/>
    <s v="UPI"/>
    <s v="Delivered"/>
    <n v="2"/>
    <n v="18"/>
    <s v="Phoenix"/>
    <s v="Gold"/>
    <s v="Female"/>
    <b v="1"/>
    <x v="33"/>
  </r>
  <r>
    <s v="ORD-21007"/>
    <s v="CUST-5123"/>
    <d v="2024-11-06T00:00:00"/>
    <s v="Toys"/>
    <s v="Remote Control Car"/>
    <n v="39.99"/>
    <n v="4"/>
    <n v="10"/>
    <n v="35.99"/>
    <n v="143.96"/>
    <s v="Wallet"/>
    <s v="Cancelled"/>
    <n v="4"/>
    <n v="18"/>
    <s v="Phoenix"/>
    <s v="Gold"/>
    <s v="Female"/>
    <b v="1"/>
    <x v="16"/>
  </r>
  <r>
    <s v="ORD-21008"/>
    <s v="CUST-5123"/>
    <d v="2023-03-21T00:00:00"/>
    <s v="Sports"/>
    <s v="Jump Rope"/>
    <n v="14.99"/>
    <n v="1"/>
    <n v="5"/>
    <n v="14.24"/>
    <n v="14.24"/>
    <s v="Wallet"/>
    <s v="Delivered"/>
    <n v="5"/>
    <n v="18"/>
    <s v="Phoenix"/>
    <s v="Gold"/>
    <s v="Female"/>
    <b v="1"/>
    <x v="23"/>
  </r>
  <r>
    <s v="ORD-21009"/>
    <s v="CUST-5123"/>
    <d v="2024-01-14T00:00:00"/>
    <s v="Toys"/>
    <s v="LEGO Classic Set"/>
    <n v="49.99"/>
    <n v="3"/>
    <n v="5"/>
    <n v="47.49"/>
    <n v="142.47"/>
    <s v="PayPal"/>
    <s v="Delivered"/>
    <n v="4"/>
    <n v="18"/>
    <s v="Phoenix"/>
    <s v="Gold"/>
    <s v="Female"/>
    <b v="1"/>
    <x v="25"/>
  </r>
  <r>
    <s v="ORD-21010"/>
    <s v="CUST-5123"/>
    <d v="2023-02-14T00:00:00"/>
    <s v="Toys"/>
    <s v="Puzzle 1000pcs"/>
    <n v="24.99"/>
    <n v="2"/>
    <n v="15"/>
    <n v="21.24"/>
    <n v="42.48"/>
    <s v="Credit Card"/>
    <s v="Delivered"/>
    <m/>
    <n v="18"/>
    <s v="Phoenix"/>
    <s v="Gold"/>
    <s v="Female"/>
    <b v="1"/>
    <x v="34"/>
  </r>
  <r>
    <s v="ORD-21011"/>
    <s v="CUST-5123"/>
    <d v="2024-04-27T00:00:00"/>
    <s v="Books"/>
    <s v="Data Science Handbook"/>
    <n v="49.99"/>
    <n v="1"/>
    <n v="0"/>
    <n v="49.99"/>
    <n v="49.99"/>
    <s v="PayPal"/>
    <s v="Delivered"/>
    <m/>
    <n v="18"/>
    <s v="Phoenix"/>
    <s v="Gold"/>
    <s v="Female"/>
    <b v="1"/>
    <x v="27"/>
  </r>
  <r>
    <s v="ORD-21012"/>
    <s v="CUST-5123"/>
    <d v="2022-05-07T00:00:00"/>
    <s v="Clothing"/>
    <s v="Cotton T-Shirt"/>
    <n v="24.99"/>
    <n v="3"/>
    <n v="15"/>
    <n v="21.24"/>
    <n v="63.72"/>
    <s v="UPI"/>
    <s v="Delivered"/>
    <n v="5"/>
    <n v="18"/>
    <s v="Phoenix"/>
    <s v="Gold"/>
    <s v="Female"/>
    <b v="1"/>
    <x v="31"/>
  </r>
  <r>
    <s v="ORD-21013"/>
    <s v="CUST-5124"/>
    <d v="2022-07-16T00:00:00"/>
    <s v="Books"/>
    <s v="Data Science Handbook"/>
    <n v="49.99"/>
    <n v="4"/>
    <n v="0"/>
    <n v="49.99"/>
    <n v="199.96"/>
    <s v="PayPal"/>
    <s v="Delivered"/>
    <m/>
    <n v="62"/>
    <s v="San Antonio"/>
    <s v="Platinum"/>
    <s v="Male"/>
    <b v="1"/>
    <x v="33"/>
  </r>
  <r>
    <s v="ORD-21014"/>
    <s v="CUST-5124"/>
    <d v="2023-07-26T00:00:00"/>
    <s v="Beauty"/>
    <s v="Face Serum"/>
    <n v="39.99"/>
    <n v="1"/>
    <n v="5"/>
    <n v="37.99"/>
    <n v="37.99"/>
    <s v="Wallet"/>
    <s v="Delivered"/>
    <n v="4"/>
    <n v="62"/>
    <s v="San Antonio"/>
    <s v="Platinum"/>
    <s v="Male"/>
    <b v="1"/>
    <x v="9"/>
  </r>
  <r>
    <s v="ORD-21015"/>
    <s v="CUST-5124"/>
    <d v="2023-07-22T00:00:00"/>
    <s v="Toys"/>
    <s v="Action Figure"/>
    <n v="19.989999999999998"/>
    <n v="3"/>
    <n v="5"/>
    <n v="18.989999999999998"/>
    <n v="56.97"/>
    <s v="Wallet"/>
    <s v="Delivered"/>
    <n v="4"/>
    <n v="62"/>
    <s v="San Antonio"/>
    <s v="Platinum"/>
    <s v="Male"/>
    <b v="1"/>
    <x v="9"/>
  </r>
  <r>
    <s v="ORD-21016"/>
    <s v="CUST-5124"/>
    <d v="2023-05-27T00:00:00"/>
    <s v="Electronics"/>
    <s v="Wireless Earbuds"/>
    <n v="79.989999999999995"/>
    <n v="1"/>
    <n v="0"/>
    <n v="79.989999999999995"/>
    <n v="79.989999999999995"/>
    <s v="Credit Card"/>
    <s v="Delivered"/>
    <m/>
    <n v="62"/>
    <s v="San Antonio"/>
    <s v="Platinum"/>
    <s v="Male"/>
    <b v="1"/>
    <x v="5"/>
  </r>
  <r>
    <s v="ORD-21017"/>
    <s v="CUST-5124"/>
    <d v="2024-07-26T00:00:00"/>
    <s v="Books"/>
    <s v="Business Analytics"/>
    <n v="39.99"/>
    <n v="3"/>
    <n v="10"/>
    <n v="35.99"/>
    <n v="107.97"/>
    <s v="PayPal"/>
    <s v="Delivered"/>
    <m/>
    <n v="62"/>
    <s v="San Antonio"/>
    <s v="Platinum"/>
    <s v="Male"/>
    <b v="1"/>
    <x v="4"/>
  </r>
  <r>
    <s v="ORD-21018"/>
    <s v="CUST-5124"/>
    <d v="2022-07-07T00:00:00"/>
    <s v="Electronics"/>
    <s v="Wireless Earbuds"/>
    <n v="79.989999999999995"/>
    <n v="4"/>
    <n v="10"/>
    <n v="71.989999999999995"/>
    <n v="287.95999999999998"/>
    <s v="Wallet"/>
    <s v="Delivered"/>
    <n v="5"/>
    <n v="62"/>
    <s v="San Antonio"/>
    <s v="Platinum"/>
    <s v="Male"/>
    <b v="1"/>
    <x v="33"/>
  </r>
  <r>
    <s v="ORD-21019"/>
    <s v="CUST-5124"/>
    <d v="2023-08-23T00:00:00"/>
    <s v="Beauty"/>
    <s v="Face Serum"/>
    <n v="39.99"/>
    <n v="1"/>
    <n v="0"/>
    <n v="39.99"/>
    <n v="39.99"/>
    <s v="UPI"/>
    <s v="Delivered"/>
    <m/>
    <n v="62"/>
    <s v="San Antonio"/>
    <s v="Platinum"/>
    <s v="Male"/>
    <b v="1"/>
    <x v="24"/>
  </r>
  <r>
    <s v="ORD-21020"/>
    <s v="CUST-5124"/>
    <d v="2023-01-02T00:00:00"/>
    <s v="Books"/>
    <s v="Fiction Novel"/>
    <n v="14.99"/>
    <n v="2"/>
    <n v="0"/>
    <n v="14.99"/>
    <n v="29.98"/>
    <s v="Credit Card"/>
    <s v="Delivered"/>
    <m/>
    <n v="62"/>
    <s v="San Antonio"/>
    <s v="Platinum"/>
    <s v="Male"/>
    <b v="1"/>
    <x v="10"/>
  </r>
  <r>
    <s v="ORD-21021"/>
    <s v="CUST-5124"/>
    <d v="2024-10-21T00:00:00"/>
    <s v="Sports"/>
    <s v="Resistance Bands"/>
    <n v="19.989999999999998"/>
    <n v="2"/>
    <n v="20"/>
    <n v="15.99"/>
    <n v="31.98"/>
    <s v="UPI"/>
    <s v="Delivered"/>
    <n v="5"/>
    <n v="62"/>
    <s v="San Antonio"/>
    <s v="Platinum"/>
    <s v="Male"/>
    <b v="1"/>
    <x v="21"/>
  </r>
  <r>
    <s v="ORD-21022"/>
    <s v="CUST-5124"/>
    <d v="2022-09-20T00:00:00"/>
    <s v="Toys"/>
    <s v="Remote Control Car"/>
    <n v="39.99"/>
    <n v="4"/>
    <n v="10"/>
    <n v="35.99"/>
    <n v="143.96"/>
    <s v="Credit Card"/>
    <s v="Delivered"/>
    <m/>
    <n v="62"/>
    <s v="San Antonio"/>
    <s v="Platinum"/>
    <s v="Male"/>
    <b v="1"/>
    <x v="22"/>
  </r>
  <r>
    <s v="ORD-21023"/>
    <s v="CUST-5124"/>
    <d v="2023-05-21T00:00:00"/>
    <s v="Clothing"/>
    <s v="Denim Jacket"/>
    <n v="69.989999999999995"/>
    <n v="1"/>
    <n v="15"/>
    <n v="59.49"/>
    <n v="59.49"/>
    <s v="Debit Card"/>
    <s v="Delivered"/>
    <m/>
    <n v="62"/>
    <s v="San Antonio"/>
    <s v="Platinum"/>
    <s v="Male"/>
    <b v="1"/>
    <x v="5"/>
  </r>
  <r>
    <s v="ORD-21024"/>
    <s v="CUST-5124"/>
    <d v="2024-03-14T00:00:00"/>
    <s v="Clothing"/>
    <s v="Cotton T-Shirt"/>
    <n v="24.99"/>
    <n v="2"/>
    <n v="20"/>
    <n v="19.989999999999998"/>
    <n v="39.979999999999997"/>
    <s v="Debit Card"/>
    <s v="Delivered"/>
    <n v="5"/>
    <n v="62"/>
    <s v="San Antonio"/>
    <s v="Platinum"/>
    <s v="Male"/>
    <b v="1"/>
    <x v="1"/>
  </r>
  <r>
    <s v="ORD-21025"/>
    <s v="CUST-5125"/>
    <d v="2022-02-13T00:00:00"/>
    <s v="Electronics"/>
    <s v="Bluetooth Speaker"/>
    <n v="49.99"/>
    <n v="4"/>
    <n v="0"/>
    <n v="49.99"/>
    <n v="199.96"/>
    <s v="UPI"/>
    <s v="Delivered"/>
    <m/>
    <n v="47"/>
    <s v="Dallas"/>
    <s v="Gold"/>
    <s v="Male"/>
    <b v="1"/>
    <x v="17"/>
  </r>
  <r>
    <s v="ORD-21026"/>
    <s v="CUST-5125"/>
    <d v="2022-02-13T00:00:00"/>
    <s v="Beauty"/>
    <s v="Face Serum"/>
    <n v="39.99"/>
    <n v="2"/>
    <n v="5"/>
    <n v="37.99"/>
    <n v="75.98"/>
    <s v="Debit Card"/>
    <s v="Delivered"/>
    <n v="5"/>
    <n v="47"/>
    <s v="Dallas"/>
    <s v="Gold"/>
    <s v="Male"/>
    <b v="1"/>
    <x v="17"/>
  </r>
  <r>
    <s v="ORD-21027"/>
    <s v="CUST-5125"/>
    <d v="2022-05-12T00:00:00"/>
    <s v="Toys"/>
    <s v="Action Figure"/>
    <n v="19.989999999999998"/>
    <n v="2"/>
    <n v="20"/>
    <n v="15.99"/>
    <n v="31.98"/>
    <s v="PayPal"/>
    <s v="Delivered"/>
    <n v="5"/>
    <n v="47"/>
    <s v="Dallas"/>
    <s v="Gold"/>
    <s v="Male"/>
    <b v="1"/>
    <x v="31"/>
  </r>
  <r>
    <s v="ORD-21028"/>
    <s v="CUST-5125"/>
    <d v="2022-08-20T00:00:00"/>
    <s v="Beauty"/>
    <s v="Face Serum"/>
    <n v="39.99"/>
    <n v="3"/>
    <n v="5"/>
    <n v="37.99"/>
    <n v="113.97"/>
    <s v="PayPal"/>
    <s v="Processing"/>
    <n v="4"/>
    <n v="47"/>
    <s v="Dallas"/>
    <s v="Gold"/>
    <s v="Male"/>
    <b v="1"/>
    <x v="7"/>
  </r>
  <r>
    <s v="ORD-21029"/>
    <s v="CUST-5125"/>
    <d v="2022-06-11T00:00:00"/>
    <s v="Books"/>
    <s v="Data Science Handbook"/>
    <n v="49.99"/>
    <n v="2"/>
    <n v="20"/>
    <n v="39.99"/>
    <n v="79.98"/>
    <s v="Credit Card"/>
    <s v="Delivered"/>
    <n v="5"/>
    <n v="47"/>
    <s v="Dallas"/>
    <s v="Gold"/>
    <s v="Male"/>
    <b v="1"/>
    <x v="8"/>
  </r>
  <r>
    <s v="ORD-21030"/>
    <s v="CUST-5125"/>
    <d v="2024-08-11T00:00:00"/>
    <s v="Home &amp; Kitchen"/>
    <s v="Coffee Maker"/>
    <n v="59.99"/>
    <n v="4"/>
    <n v="0"/>
    <n v="59.99"/>
    <n v="239.96"/>
    <s v="PayPal"/>
    <s v="Processing"/>
    <n v="3"/>
    <n v="47"/>
    <s v="Dallas"/>
    <s v="Gold"/>
    <s v="Male"/>
    <b v="1"/>
    <x v="26"/>
  </r>
  <r>
    <s v="ORD-21031"/>
    <s v="CUST-5125"/>
    <d v="2024-08-01T00:00:00"/>
    <s v="Books"/>
    <s v="Business Analytics"/>
    <n v="39.99"/>
    <n v="2"/>
    <n v="0"/>
    <n v="39.99"/>
    <n v="79.98"/>
    <s v="Wallet"/>
    <s v="Delivered"/>
    <n v="4"/>
    <n v="47"/>
    <s v="Dallas"/>
    <s v="Gold"/>
    <s v="Male"/>
    <b v="1"/>
    <x v="26"/>
  </r>
  <r>
    <s v="ORD-21032"/>
    <s v="CUST-5125"/>
    <d v="2023-04-02T00:00:00"/>
    <s v="Clothing"/>
    <s v="Running Shoes"/>
    <n v="89.99"/>
    <n v="1"/>
    <n v="0"/>
    <n v="89.99"/>
    <n v="89.99"/>
    <s v="Debit Card"/>
    <s v="Delivered"/>
    <n v="5"/>
    <n v="47"/>
    <s v="Dallas"/>
    <s v="Gold"/>
    <s v="Male"/>
    <b v="1"/>
    <x v="18"/>
  </r>
  <r>
    <s v="ORD-21033"/>
    <s v="CUST-5126"/>
    <d v="2024-02-19T00:00:00"/>
    <s v="Clothing"/>
    <s v="Cotton T-Shirt"/>
    <n v="24.99"/>
    <n v="4"/>
    <n v="10"/>
    <n v="22.49"/>
    <n v="89.96"/>
    <s v="Debit Card"/>
    <s v="Delivered"/>
    <n v="4"/>
    <n v="31"/>
    <s v="Chicago"/>
    <s v="Free"/>
    <s v="Female"/>
    <b v="1"/>
    <x v="0"/>
  </r>
  <r>
    <s v="ORD-21034"/>
    <s v="CUST-5127"/>
    <d v="2024-08-13T00:00:00"/>
    <s v="Sports"/>
    <s v="Jump Rope"/>
    <n v="14.99"/>
    <n v="4"/>
    <n v="10"/>
    <n v="13.49"/>
    <n v="53.96"/>
    <s v="PayPal"/>
    <s v="Delivered"/>
    <n v="5"/>
    <n v="46"/>
    <s v="Phoenix"/>
    <s v="Free"/>
    <s v="Male"/>
    <b v="1"/>
    <x v="26"/>
  </r>
  <r>
    <s v="ORD-21035"/>
    <s v="CUST-5127"/>
    <d v="2024-06-05T00:00:00"/>
    <s v="Beauty"/>
    <s v="Face Serum"/>
    <n v="39.99"/>
    <n v="3"/>
    <n v="15"/>
    <n v="33.99"/>
    <n v="101.97"/>
    <s v="Credit Card"/>
    <s v="Delivered"/>
    <n v="4"/>
    <n v="46"/>
    <s v="Phoenix"/>
    <s v="Free"/>
    <s v="Male"/>
    <b v="1"/>
    <x v="35"/>
  </r>
  <r>
    <s v="ORD-21036"/>
    <s v="CUST-5128"/>
    <d v="2023-04-14T00:00:00"/>
    <s v="Toys"/>
    <s v="Puzzle 1000pcs"/>
    <n v="24.99"/>
    <n v="3"/>
    <n v="5"/>
    <n v="23.74"/>
    <n v="71.22"/>
    <s v="Wallet"/>
    <s v="Shipped"/>
    <n v="5"/>
    <n v="59"/>
    <s v="San Jose"/>
    <s v="Silver"/>
    <s v="Male"/>
    <b v="1"/>
    <x v="18"/>
  </r>
  <r>
    <s v="ORD-21037"/>
    <s v="CUST-5129"/>
    <d v="2023-05-21T00:00:00"/>
    <s v="Clothing"/>
    <s v="Yoga Pants"/>
    <n v="44.99"/>
    <n v="2"/>
    <n v="10"/>
    <n v="40.49"/>
    <n v="80.98"/>
    <s v="Credit Card"/>
    <s v="Delivered"/>
    <n v="1"/>
    <n v="29"/>
    <s v="San Jose"/>
    <s v="Platinum"/>
    <s v="Female"/>
    <b v="1"/>
    <x v="5"/>
  </r>
  <r>
    <s v="ORD-21038"/>
    <s v="CUST-5129"/>
    <d v="2024-05-02T00:00:00"/>
    <s v="Toys"/>
    <s v="LEGO Classic Set"/>
    <n v="49.99"/>
    <n v="4"/>
    <n v="0"/>
    <n v="49.99"/>
    <n v="199.96"/>
    <s v="UPI"/>
    <s v="Delivered"/>
    <n v="5"/>
    <n v="29"/>
    <s v="San Jose"/>
    <s v="Platinum"/>
    <s v="Female"/>
    <b v="1"/>
    <x v="30"/>
  </r>
  <r>
    <s v="ORD-21039"/>
    <s v="CUST-5129"/>
    <d v="2022-10-14T00:00:00"/>
    <s v="Clothing"/>
    <s v="Cotton T-Shirt"/>
    <n v="24.99"/>
    <n v="3"/>
    <n v="0"/>
    <n v="24.99"/>
    <n v="74.97"/>
    <s v="PayPal"/>
    <s v="Processing"/>
    <m/>
    <n v="29"/>
    <s v="San Jose"/>
    <s v="Platinum"/>
    <s v="Female"/>
    <b v="1"/>
    <x v="20"/>
  </r>
  <r>
    <s v="ORD-21040"/>
    <s v="CUST-5129"/>
    <d v="2024-03-13T00:00:00"/>
    <s v="Sports"/>
    <s v="Resistance Bands"/>
    <n v="19.989999999999998"/>
    <n v="1"/>
    <n v="20"/>
    <n v="15.99"/>
    <n v="15.99"/>
    <s v="UPI"/>
    <s v="Delivered"/>
    <n v="2"/>
    <n v="29"/>
    <s v="San Jose"/>
    <s v="Platinum"/>
    <s v="Female"/>
    <b v="1"/>
    <x v="1"/>
  </r>
  <r>
    <s v="ORD-21041"/>
    <s v="CUST-5130"/>
    <d v="2024-03-18T00:00:00"/>
    <s v="Electronics"/>
    <s v="Bluetooth Speaker"/>
    <n v="49.99"/>
    <n v="4"/>
    <n v="0"/>
    <n v="49.99"/>
    <n v="199.96"/>
    <s v="Debit Card"/>
    <s v="Delivered"/>
    <m/>
    <n v="20"/>
    <s v="Phoenix"/>
    <s v="Free"/>
    <s v="Male"/>
    <b v="1"/>
    <x v="1"/>
  </r>
  <r>
    <s v="ORD-21042"/>
    <s v="CUST-5130"/>
    <d v="2023-11-27T00:00:00"/>
    <s v="Toys"/>
    <s v="Action Figure"/>
    <n v="19.989999999999998"/>
    <n v="4"/>
    <n v="15"/>
    <n v="16.989999999999998"/>
    <n v="67.959999999999994"/>
    <s v="Credit Card"/>
    <s v="Delivered"/>
    <n v="5"/>
    <n v="20"/>
    <s v="Phoenix"/>
    <s v="Free"/>
    <s v="Male"/>
    <b v="1"/>
    <x v="29"/>
  </r>
  <r>
    <s v="ORD-21043"/>
    <s v="CUST-5130"/>
    <d v="2024-11-09T00:00:00"/>
    <s v="Home &amp; Kitchen"/>
    <s v="Air Fryer"/>
    <n v="89.99"/>
    <n v="4"/>
    <n v="20"/>
    <n v="71.989999999999995"/>
    <n v="287.95999999999998"/>
    <s v="Credit Card"/>
    <s v="Delivered"/>
    <n v="4"/>
    <n v="20"/>
    <s v="Phoenix"/>
    <s v="Free"/>
    <s v="Male"/>
    <b v="1"/>
    <x v="16"/>
  </r>
  <r>
    <s v="ORD-21044"/>
    <s v="CUST-5130"/>
    <d v="2024-01-13T00:00:00"/>
    <s v="Clothing"/>
    <s v="Yoga Pants"/>
    <n v="44.99"/>
    <n v="2"/>
    <n v="15"/>
    <n v="38.24"/>
    <n v="76.48"/>
    <s v="PayPal"/>
    <s v="Delivered"/>
    <n v="4"/>
    <n v="20"/>
    <s v="Phoenix"/>
    <s v="Free"/>
    <s v="Male"/>
    <b v="1"/>
    <x v="25"/>
  </r>
  <r>
    <s v="ORD-21045"/>
    <s v="CUST-5130"/>
    <d v="2023-04-03T00:00:00"/>
    <s v="Sports"/>
    <s v="Yoga Mat"/>
    <n v="29.99"/>
    <n v="4"/>
    <n v="0"/>
    <n v="29.99"/>
    <n v="119.96"/>
    <s v="UPI"/>
    <s v="Delivered"/>
    <n v="4"/>
    <n v="20"/>
    <s v="Phoenix"/>
    <s v="Free"/>
    <s v="Male"/>
    <b v="1"/>
    <x v="18"/>
  </r>
  <r>
    <s v="ORD-21046"/>
    <s v="CUST-5130"/>
    <d v="2022-08-03T00:00:00"/>
    <s v="Clothing"/>
    <s v="Cotton T-Shirt"/>
    <n v="24.99"/>
    <n v="4"/>
    <n v="0"/>
    <n v="24.99"/>
    <n v="99.96"/>
    <s v="Debit Card"/>
    <s v="Delivered"/>
    <m/>
    <n v="20"/>
    <s v="Phoenix"/>
    <s v="Free"/>
    <s v="Male"/>
    <b v="1"/>
    <x v="7"/>
  </r>
  <r>
    <s v="ORD-21047"/>
    <s v="CUST-5130"/>
    <d v="2024-06-24T00:00:00"/>
    <s v="Toys"/>
    <s v="LEGO Classic Set"/>
    <n v="49.99"/>
    <n v="1"/>
    <n v="20"/>
    <n v="39.99"/>
    <n v="39.99"/>
    <s v="UPI"/>
    <s v="Delivered"/>
    <m/>
    <n v="20"/>
    <s v="Phoenix"/>
    <s v="Free"/>
    <s v="Male"/>
    <b v="1"/>
    <x v="35"/>
  </r>
  <r>
    <s v="ORD-21048"/>
    <s v="CUST-5130"/>
    <d v="2023-01-21T00:00:00"/>
    <s v="Electronics"/>
    <s v="Smart Watch"/>
    <n v="199.99"/>
    <n v="3"/>
    <n v="10"/>
    <n v="179.99"/>
    <n v="539.97"/>
    <s v="Credit Card"/>
    <s v="Processing"/>
    <n v="5"/>
    <n v="20"/>
    <s v="Phoenix"/>
    <s v="Free"/>
    <s v="Male"/>
    <b v="1"/>
    <x v="10"/>
  </r>
  <r>
    <s v="ORD-21049"/>
    <s v="CUST-5130"/>
    <d v="2023-04-15T00:00:00"/>
    <s v="Toys"/>
    <s v="LEGO Classic Set"/>
    <n v="49.99"/>
    <n v="4"/>
    <n v="0"/>
    <n v="49.99"/>
    <n v="199.96"/>
    <s v="Wallet"/>
    <s v="Delivered"/>
    <m/>
    <n v="20"/>
    <s v="Phoenix"/>
    <s v="Free"/>
    <s v="Male"/>
    <b v="1"/>
    <x v="18"/>
  </r>
  <r>
    <s v="ORD-21050"/>
    <s v="CUST-5131"/>
    <d v="2023-07-15T00:00:00"/>
    <s v="Home &amp; Kitchen"/>
    <s v="Non-stick Pan Set"/>
    <n v="44.99"/>
    <n v="2"/>
    <n v="20"/>
    <n v="35.99"/>
    <n v="71.98"/>
    <s v="Debit Card"/>
    <s v="Cancelled"/>
    <n v="4"/>
    <n v="39"/>
    <s v="Dallas"/>
    <s v="Free"/>
    <s v="Female"/>
    <b v="1"/>
    <x v="9"/>
  </r>
  <r>
    <s v="ORD-21051"/>
    <s v="CUST-5131"/>
    <d v="2022-05-26T00:00:00"/>
    <s v="Beauty"/>
    <s v="Hair Mask"/>
    <n v="24.99"/>
    <n v="3"/>
    <n v="0"/>
    <n v="24.99"/>
    <n v="74.97"/>
    <s v="Wallet"/>
    <s v="Delivered"/>
    <m/>
    <n v="39"/>
    <s v="Dallas"/>
    <s v="Free"/>
    <s v="Female"/>
    <b v="1"/>
    <x v="31"/>
  </r>
  <r>
    <s v="ORD-21052"/>
    <s v="CUST-5131"/>
    <d v="2024-07-13T00:00:00"/>
    <s v="Home &amp; Kitchen"/>
    <s v="Coffee Maker"/>
    <n v="59.99"/>
    <n v="2"/>
    <n v="15"/>
    <n v="50.99"/>
    <n v="101.98"/>
    <s v="Credit Card"/>
    <s v="Delivered"/>
    <m/>
    <n v="39"/>
    <s v="Dallas"/>
    <s v="Free"/>
    <s v="Female"/>
    <b v="1"/>
    <x v="4"/>
  </r>
  <r>
    <s v="ORD-21053"/>
    <s v="CUST-5131"/>
    <d v="2023-03-19T00:00:00"/>
    <s v="Clothing"/>
    <s v="Denim Jacket"/>
    <n v="69.989999999999995"/>
    <n v="4"/>
    <n v="5"/>
    <n v="66.489999999999995"/>
    <n v="265.95999999999998"/>
    <s v="Credit Card"/>
    <s v="Delivered"/>
    <n v="4"/>
    <n v="39"/>
    <s v="Dallas"/>
    <s v="Free"/>
    <s v="Female"/>
    <b v="1"/>
    <x v="23"/>
  </r>
  <r>
    <s v="ORD-21054"/>
    <s v="CUST-5131"/>
    <d v="2024-01-03T00:00:00"/>
    <s v="Sports"/>
    <s v="Water Bottle"/>
    <n v="24.99"/>
    <n v="2"/>
    <n v="15"/>
    <n v="21.24"/>
    <n v="42.48"/>
    <s v="PayPal"/>
    <s v="Delivered"/>
    <n v="5"/>
    <n v="39"/>
    <s v="Dallas"/>
    <s v="Free"/>
    <s v="Female"/>
    <b v="1"/>
    <x v="25"/>
  </r>
  <r>
    <s v="ORD-21055"/>
    <s v="CUST-5131"/>
    <d v="2023-05-07T00:00:00"/>
    <s v="Electronics"/>
    <s v="USB-C Hub"/>
    <n v="34.99"/>
    <n v="1"/>
    <n v="0"/>
    <n v="34.99"/>
    <n v="34.99"/>
    <s v="Credit Card"/>
    <s v="Delivered"/>
    <n v="4"/>
    <n v="39"/>
    <s v="Dallas"/>
    <s v="Free"/>
    <s v="Female"/>
    <b v="1"/>
    <x v="5"/>
  </r>
  <r>
    <s v="ORD-21056"/>
    <s v="CUST-5131"/>
    <d v="2024-02-15T00:00:00"/>
    <s v="Home &amp; Kitchen"/>
    <s v="Air Fryer"/>
    <n v="89.99"/>
    <n v="4"/>
    <n v="20"/>
    <n v="71.989999999999995"/>
    <n v="287.95999999999998"/>
    <s v="PayPal"/>
    <s v="Delivered"/>
    <n v="3"/>
    <n v="39"/>
    <s v="Dallas"/>
    <s v="Free"/>
    <s v="Female"/>
    <b v="1"/>
    <x v="0"/>
  </r>
  <r>
    <s v="ORD-21057"/>
    <s v="CUST-5131"/>
    <d v="2024-04-24T00:00:00"/>
    <s v="Toys"/>
    <s v="Puzzle 1000pcs"/>
    <n v="24.99"/>
    <n v="1"/>
    <n v="0"/>
    <n v="24.99"/>
    <n v="24.99"/>
    <s v="UPI"/>
    <s v="Delivered"/>
    <m/>
    <n v="39"/>
    <s v="Dallas"/>
    <s v="Free"/>
    <s v="Female"/>
    <b v="1"/>
    <x v="27"/>
  </r>
  <r>
    <s v="ORD-21058"/>
    <s v="CUST-5131"/>
    <d v="2023-05-26T00:00:00"/>
    <s v="Books"/>
    <s v="Fiction Novel"/>
    <n v="14.99"/>
    <n v="4"/>
    <n v="15"/>
    <n v="12.74"/>
    <n v="50.96"/>
    <s v="Wallet"/>
    <s v="Delivered"/>
    <n v="4"/>
    <n v="39"/>
    <s v="Dallas"/>
    <s v="Free"/>
    <s v="Female"/>
    <b v="1"/>
    <x v="5"/>
  </r>
  <r>
    <s v="ORD-21059"/>
    <s v="CUST-5131"/>
    <d v="2022-11-10T00:00:00"/>
    <s v="Toys"/>
    <s v="Puzzle 1000pcs"/>
    <n v="24.99"/>
    <n v="2"/>
    <n v="20"/>
    <n v="19.989999999999998"/>
    <n v="39.979999999999997"/>
    <s v="PayPal"/>
    <s v="Delivered"/>
    <m/>
    <n v="39"/>
    <s v="Dallas"/>
    <s v="Free"/>
    <s v="Female"/>
    <b v="1"/>
    <x v="3"/>
  </r>
  <r>
    <s v="ORD-21060"/>
    <s v="CUST-5131"/>
    <d v="2022-04-17T00:00:00"/>
    <s v="Beauty"/>
    <s v="Lip Balm Set"/>
    <n v="14.99"/>
    <n v="2"/>
    <n v="0"/>
    <n v="14.99"/>
    <n v="29.98"/>
    <s v="Wallet"/>
    <s v="Delivered"/>
    <n v="3"/>
    <n v="39"/>
    <s v="Dallas"/>
    <s v="Free"/>
    <s v="Female"/>
    <b v="1"/>
    <x v="12"/>
  </r>
  <r>
    <s v="ORD-21061"/>
    <s v="CUST-5131"/>
    <d v="2024-03-01T00:00:00"/>
    <s v="Home &amp; Kitchen"/>
    <s v="Air Fryer"/>
    <n v="89.99"/>
    <n v="1"/>
    <n v="0"/>
    <n v="89.99"/>
    <n v="89.99"/>
    <s v="PayPal"/>
    <s v="Cancelled"/>
    <n v="3"/>
    <n v="39"/>
    <s v="Dallas"/>
    <s v="Free"/>
    <s v="Female"/>
    <b v="1"/>
    <x v="1"/>
  </r>
  <r>
    <s v="ORD-21062"/>
    <s v="CUST-5132"/>
    <d v="2024-05-13T00:00:00"/>
    <s v="Beauty"/>
    <s v="Moisturizer SPF 50"/>
    <n v="29.99"/>
    <n v="1"/>
    <n v="0"/>
    <n v="29.99"/>
    <n v="29.99"/>
    <s v="Debit Card"/>
    <s v="Delivered"/>
    <n v="3"/>
    <n v="47"/>
    <s v="San Jose"/>
    <s v="Silver"/>
    <s v="Male"/>
    <b v="1"/>
    <x v="30"/>
  </r>
  <r>
    <s v="ORD-21063"/>
    <s v="CUST-5132"/>
    <d v="2024-04-19T00:00:00"/>
    <s v="Books"/>
    <s v="Business Analytics"/>
    <n v="39.99"/>
    <n v="2"/>
    <n v="20"/>
    <n v="31.99"/>
    <n v="63.98"/>
    <s v="Credit Card"/>
    <s v="Delivered"/>
    <n v="5"/>
    <n v="47"/>
    <s v="San Jose"/>
    <s v="Silver"/>
    <s v="Male"/>
    <b v="1"/>
    <x v="27"/>
  </r>
  <r>
    <s v="ORD-21064"/>
    <s v="CUST-5132"/>
    <d v="2024-10-21T00:00:00"/>
    <s v="Clothing"/>
    <s v="Cotton T-Shirt"/>
    <n v="24.99"/>
    <n v="3"/>
    <n v="20"/>
    <n v="19.989999999999998"/>
    <n v="59.97"/>
    <s v="Debit Card"/>
    <s v="Delivered"/>
    <m/>
    <n v="47"/>
    <s v="San Jose"/>
    <s v="Silver"/>
    <s v="Male"/>
    <b v="1"/>
    <x v="21"/>
  </r>
  <r>
    <s v="ORD-21065"/>
    <s v="CUST-5132"/>
    <d v="2024-09-06T00:00:00"/>
    <s v="Electronics"/>
    <s v="Wireless Earbuds"/>
    <n v="79.989999999999995"/>
    <n v="3"/>
    <n v="20"/>
    <n v="63.99"/>
    <n v="191.97"/>
    <s v="PayPal"/>
    <s v="Delivered"/>
    <n v="4"/>
    <n v="47"/>
    <s v="San Jose"/>
    <s v="Silver"/>
    <s v="Male"/>
    <b v="1"/>
    <x v="15"/>
  </r>
  <r>
    <s v="ORD-21066"/>
    <s v="CUST-5132"/>
    <d v="2022-07-20T00:00:00"/>
    <s v="Clothing"/>
    <s v="Cotton T-Shirt"/>
    <n v="24.99"/>
    <n v="2"/>
    <n v="0"/>
    <n v="24.99"/>
    <n v="49.98"/>
    <s v="Credit Card"/>
    <s v="Delivered"/>
    <n v="4"/>
    <n v="47"/>
    <s v="San Jose"/>
    <s v="Silver"/>
    <s v="Male"/>
    <b v="1"/>
    <x v="33"/>
  </r>
  <r>
    <s v="ORD-21067"/>
    <s v="CUST-5133"/>
    <d v="2023-09-27T00:00:00"/>
    <s v="Home &amp; Kitchen"/>
    <s v="Coffee Maker"/>
    <n v="59.99"/>
    <n v="4"/>
    <n v="10"/>
    <n v="53.99"/>
    <n v="215.96"/>
    <s v="Debit Card"/>
    <s v="Delivered"/>
    <n v="4"/>
    <n v="41"/>
    <s v="San Antonio"/>
    <s v="Silver"/>
    <s v="Female"/>
    <b v="1"/>
    <x v="6"/>
  </r>
  <r>
    <s v="ORD-21068"/>
    <s v="CUST-5133"/>
    <d v="2024-11-22T00:00:00"/>
    <s v="Electronics"/>
    <s v="USB-C Hub"/>
    <n v="34.99"/>
    <n v="4"/>
    <n v="20"/>
    <n v="27.99"/>
    <n v="111.96"/>
    <s v="Wallet"/>
    <s v="Delivered"/>
    <n v="4"/>
    <n v="41"/>
    <s v="San Antonio"/>
    <s v="Silver"/>
    <s v="Female"/>
    <b v="1"/>
    <x v="16"/>
  </r>
  <r>
    <s v="ORD-21069"/>
    <s v="CUST-5133"/>
    <d v="2024-11-04T00:00:00"/>
    <s v="Beauty"/>
    <s v="Lip Balm Set"/>
    <n v="14.99"/>
    <n v="3"/>
    <n v="20"/>
    <n v="11.99"/>
    <n v="35.97"/>
    <s v="UPI"/>
    <s v="Delivered"/>
    <n v="5"/>
    <n v="41"/>
    <s v="San Antonio"/>
    <s v="Silver"/>
    <s v="Female"/>
    <b v="1"/>
    <x v="16"/>
  </r>
  <r>
    <s v="ORD-21070"/>
    <s v="CUST-5133"/>
    <d v="2024-03-16T00:00:00"/>
    <s v="Clothing"/>
    <s v="Yoga Pants"/>
    <n v="44.99"/>
    <n v="2"/>
    <n v="10"/>
    <n v="40.49"/>
    <n v="80.98"/>
    <s v="PayPal"/>
    <s v="Delivered"/>
    <n v="4"/>
    <n v="41"/>
    <s v="San Antonio"/>
    <s v="Silver"/>
    <s v="Female"/>
    <b v="1"/>
    <x v="1"/>
  </r>
  <r>
    <s v="ORD-21071"/>
    <s v="CUST-5133"/>
    <d v="2024-03-06T00:00:00"/>
    <s v="Home &amp; Kitchen"/>
    <s v="Air Fryer"/>
    <n v="89.99"/>
    <n v="3"/>
    <n v="0"/>
    <n v="89.99"/>
    <n v="269.97000000000003"/>
    <s v="UPI"/>
    <s v="Delivered"/>
    <n v="5"/>
    <n v="41"/>
    <s v="San Antonio"/>
    <s v="Silver"/>
    <s v="Female"/>
    <b v="1"/>
    <x v="1"/>
  </r>
  <r>
    <s v="ORD-21072"/>
    <s v="CUST-5133"/>
    <d v="2023-07-19T00:00:00"/>
    <s v="Home &amp; Kitchen"/>
    <s v="Non-stick Pan Set"/>
    <n v="44.99"/>
    <n v="1"/>
    <n v="0"/>
    <n v="44.99"/>
    <n v="44.99"/>
    <s v="Wallet"/>
    <s v="Shipped"/>
    <m/>
    <n v="41"/>
    <s v="San Antonio"/>
    <s v="Silver"/>
    <s v="Female"/>
    <b v="1"/>
    <x v="9"/>
  </r>
  <r>
    <s v="ORD-21073"/>
    <s v="CUST-5133"/>
    <d v="2022-06-23T00:00:00"/>
    <s v="Beauty"/>
    <s v="Hair Mask"/>
    <n v="24.99"/>
    <n v="3"/>
    <n v="0"/>
    <n v="24.99"/>
    <n v="74.97"/>
    <s v="UPI"/>
    <s v="Delivered"/>
    <m/>
    <n v="41"/>
    <s v="San Antonio"/>
    <s v="Silver"/>
    <s v="Female"/>
    <b v="1"/>
    <x v="8"/>
  </r>
  <r>
    <s v="ORD-21074"/>
    <s v="CUST-5133"/>
    <d v="2022-09-13T00:00:00"/>
    <s v="Electronics"/>
    <s v="Smart Watch"/>
    <n v="199.99"/>
    <n v="1"/>
    <n v="0"/>
    <n v="199.99"/>
    <n v="199.99"/>
    <s v="Wallet"/>
    <s v="Delivered"/>
    <m/>
    <n v="41"/>
    <s v="San Antonio"/>
    <s v="Silver"/>
    <s v="Female"/>
    <b v="1"/>
    <x v="22"/>
  </r>
  <r>
    <s v="ORD-21075"/>
    <s v="CUST-5133"/>
    <d v="2024-04-11T00:00:00"/>
    <s v="Sports"/>
    <s v="Yoga Mat"/>
    <n v="29.99"/>
    <n v="2"/>
    <n v="20"/>
    <n v="23.99"/>
    <n v="47.98"/>
    <s v="UPI"/>
    <s v="Delivered"/>
    <n v="4"/>
    <n v="41"/>
    <s v="San Antonio"/>
    <s v="Silver"/>
    <s v="Female"/>
    <b v="1"/>
    <x v="27"/>
  </r>
  <r>
    <s v="ORD-21076"/>
    <s v="CUST-5133"/>
    <d v="2022-08-25T00:00:00"/>
    <s v="Toys"/>
    <s v="LEGO Classic Set"/>
    <n v="49.99"/>
    <n v="1"/>
    <n v="0"/>
    <n v="49.99"/>
    <n v="49.99"/>
    <s v="Wallet"/>
    <s v="Delivered"/>
    <n v="3"/>
    <n v="41"/>
    <s v="San Antonio"/>
    <s v="Silver"/>
    <s v="Female"/>
    <b v="1"/>
    <x v="7"/>
  </r>
  <r>
    <s v="ORD-21077"/>
    <s v="CUST-5133"/>
    <d v="2024-07-09T00:00:00"/>
    <s v="Electronics"/>
    <s v="Smart Watch"/>
    <n v="199.99"/>
    <n v="1"/>
    <n v="0"/>
    <n v="199.99"/>
    <n v="199.99"/>
    <s v="Credit Card"/>
    <s v="Delivered"/>
    <n v="5"/>
    <n v="41"/>
    <s v="San Antonio"/>
    <s v="Silver"/>
    <s v="Female"/>
    <b v="1"/>
    <x v="4"/>
  </r>
  <r>
    <s v="ORD-21078"/>
    <s v="CUST-5134"/>
    <d v="2024-10-20T00:00:00"/>
    <s v="Clothing"/>
    <s v="Cotton T-Shirt"/>
    <n v="24.99"/>
    <n v="1"/>
    <n v="20"/>
    <n v="19.989999999999998"/>
    <n v="19.989999999999998"/>
    <s v="UPI"/>
    <s v="Delivered"/>
    <n v="4"/>
    <n v="57"/>
    <s v="Phoenix"/>
    <s v="Silver"/>
    <s v="Male"/>
    <b v="1"/>
    <x v="21"/>
  </r>
  <r>
    <s v="ORD-21079"/>
    <s v="CUST-5134"/>
    <d v="2023-12-07T00:00:00"/>
    <s v="Electronics"/>
    <s v="Smart Watch"/>
    <n v="199.99"/>
    <n v="3"/>
    <n v="15"/>
    <n v="169.99"/>
    <n v="509.97"/>
    <s v="Credit Card"/>
    <s v="Delivered"/>
    <m/>
    <n v="57"/>
    <s v="Phoenix"/>
    <s v="Silver"/>
    <s v="Male"/>
    <b v="1"/>
    <x v="14"/>
  </r>
  <r>
    <s v="ORD-21080"/>
    <s v="CUST-5134"/>
    <d v="2022-10-03T00:00:00"/>
    <s v="Clothing"/>
    <s v="Denim Jacket"/>
    <n v="69.989999999999995"/>
    <n v="2"/>
    <n v="20"/>
    <n v="55.99"/>
    <n v="111.98"/>
    <s v="UPI"/>
    <s v="Delivered"/>
    <m/>
    <n v="57"/>
    <s v="Phoenix"/>
    <s v="Silver"/>
    <s v="Male"/>
    <b v="1"/>
    <x v="20"/>
  </r>
  <r>
    <s v="ORD-21081"/>
    <s v="CUST-5134"/>
    <d v="2024-08-23T00:00:00"/>
    <s v="Home &amp; Kitchen"/>
    <s v="Non-stick Pan Set"/>
    <n v="44.99"/>
    <n v="3"/>
    <n v="0"/>
    <n v="44.99"/>
    <n v="134.97"/>
    <s v="Debit Card"/>
    <s v="Delivered"/>
    <n v="3"/>
    <n v="57"/>
    <s v="Phoenix"/>
    <s v="Silver"/>
    <s v="Male"/>
    <b v="1"/>
    <x v="26"/>
  </r>
  <r>
    <s v="ORD-21082"/>
    <s v="CUST-5134"/>
    <d v="2022-05-25T00:00:00"/>
    <s v="Books"/>
    <s v="Business Analytics"/>
    <n v="39.99"/>
    <n v="2"/>
    <n v="10"/>
    <n v="35.99"/>
    <n v="71.98"/>
    <s v="Wallet"/>
    <s v="Delivered"/>
    <n v="5"/>
    <n v="57"/>
    <s v="Phoenix"/>
    <s v="Silver"/>
    <s v="Male"/>
    <b v="1"/>
    <x v="31"/>
  </r>
  <r>
    <s v="ORD-21083"/>
    <s v="CUST-5134"/>
    <d v="2024-11-20T00:00:00"/>
    <s v="Toys"/>
    <s v="Puzzle 1000pcs"/>
    <n v="24.99"/>
    <n v="1"/>
    <n v="20"/>
    <n v="19.989999999999998"/>
    <n v="19.989999999999998"/>
    <s v="Credit Card"/>
    <s v="Delivered"/>
    <n v="3"/>
    <n v="57"/>
    <s v="Phoenix"/>
    <s v="Silver"/>
    <s v="Male"/>
    <b v="1"/>
    <x v="16"/>
  </r>
  <r>
    <s v="ORD-21084"/>
    <s v="CUST-5134"/>
    <d v="2023-03-26T00:00:00"/>
    <s v="Toys"/>
    <s v="Action Figure"/>
    <n v="19.989999999999998"/>
    <n v="2"/>
    <n v="0"/>
    <n v="19.989999999999998"/>
    <n v="39.979999999999997"/>
    <s v="UPI"/>
    <s v="Delivered"/>
    <n v="5"/>
    <n v="57"/>
    <s v="Phoenix"/>
    <s v="Silver"/>
    <s v="Male"/>
    <b v="1"/>
    <x v="23"/>
  </r>
  <r>
    <s v="ORD-21085"/>
    <s v="CUST-5134"/>
    <d v="2023-01-05T00:00:00"/>
    <s v="Books"/>
    <s v="Data Science Handbook"/>
    <n v="49.99"/>
    <n v="4"/>
    <n v="5"/>
    <n v="47.49"/>
    <n v="189.96"/>
    <s v="Credit Card"/>
    <s v="Delivered"/>
    <n v="4"/>
    <n v="57"/>
    <s v="Phoenix"/>
    <s v="Silver"/>
    <s v="Male"/>
    <b v="1"/>
    <x v="10"/>
  </r>
  <r>
    <s v="ORD-21086"/>
    <s v="CUST-5134"/>
    <d v="2022-08-16T00:00:00"/>
    <s v="Books"/>
    <s v="Business Analytics"/>
    <n v="39.99"/>
    <n v="3"/>
    <n v="0"/>
    <n v="39.99"/>
    <n v="119.97"/>
    <s v="Debit Card"/>
    <s v="Delivered"/>
    <n v="5"/>
    <n v="57"/>
    <s v="Phoenix"/>
    <s v="Silver"/>
    <s v="Male"/>
    <b v="1"/>
    <x v="7"/>
  </r>
  <r>
    <s v="ORD-21087"/>
    <s v="CUST-5134"/>
    <d v="2022-11-14T00:00:00"/>
    <s v="Clothing"/>
    <s v="Running Shoes"/>
    <n v="89.99"/>
    <n v="3"/>
    <n v="20"/>
    <n v="71.989999999999995"/>
    <n v="215.97"/>
    <s v="Debit Card"/>
    <s v="Delivered"/>
    <n v="4"/>
    <n v="57"/>
    <s v="Phoenix"/>
    <s v="Silver"/>
    <s v="Male"/>
    <b v="1"/>
    <x v="3"/>
  </r>
  <r>
    <s v="ORD-21088"/>
    <s v="CUST-5134"/>
    <d v="2022-08-12T00:00:00"/>
    <s v="Electronics"/>
    <s v="USB-C Hub"/>
    <n v="34.99"/>
    <n v="4"/>
    <n v="10"/>
    <n v="31.49"/>
    <n v="125.96"/>
    <s v="PayPal"/>
    <s v="Delivered"/>
    <n v="4"/>
    <n v="57"/>
    <s v="Phoenix"/>
    <s v="Silver"/>
    <s v="Male"/>
    <b v="1"/>
    <x v="7"/>
  </r>
  <r>
    <s v="ORD-21089"/>
    <s v="CUST-5134"/>
    <d v="2023-06-24T00:00:00"/>
    <s v="Clothing"/>
    <s v="Cotton T-Shirt"/>
    <n v="24.99"/>
    <n v="1"/>
    <n v="0"/>
    <n v="24.99"/>
    <n v="24.99"/>
    <s v="PayPal"/>
    <s v="Delivered"/>
    <n v="5"/>
    <n v="57"/>
    <s v="Phoenix"/>
    <s v="Silver"/>
    <s v="Male"/>
    <b v="1"/>
    <x v="19"/>
  </r>
  <r>
    <s v="ORD-21090"/>
    <s v="CUST-5134"/>
    <d v="2023-12-03T00:00:00"/>
    <s v="Sports"/>
    <s v="Jump Rope"/>
    <n v="14.99"/>
    <n v="1"/>
    <n v="10"/>
    <n v="13.49"/>
    <n v="13.49"/>
    <s v="UPI"/>
    <s v="Delivered"/>
    <n v="5"/>
    <n v="57"/>
    <s v="Phoenix"/>
    <s v="Silver"/>
    <s v="Male"/>
    <b v="1"/>
    <x v="14"/>
  </r>
  <r>
    <s v="ORD-21091"/>
    <s v="CUST-5135"/>
    <d v="2023-04-25T00:00:00"/>
    <s v="Books"/>
    <s v="Data Science Handbook"/>
    <n v="49.99"/>
    <n v="1"/>
    <n v="0"/>
    <n v="49.99"/>
    <n v="49.99"/>
    <s v="Wallet"/>
    <s v="Processing"/>
    <n v="4"/>
    <n v="43"/>
    <s v="San Diego"/>
    <s v="Free"/>
    <s v="Female"/>
    <b v="1"/>
    <x v="18"/>
  </r>
  <r>
    <s v="ORD-21092"/>
    <s v="CUST-5135"/>
    <d v="2024-11-03T00:00:00"/>
    <s v="Home &amp; Kitchen"/>
    <s v="Air Fryer"/>
    <n v="89.99"/>
    <n v="4"/>
    <n v="20"/>
    <n v="71.989999999999995"/>
    <n v="287.95999999999998"/>
    <s v="Credit Card"/>
    <s v="Delivered"/>
    <n v="4"/>
    <n v="43"/>
    <s v="San Diego"/>
    <s v="Free"/>
    <s v="Female"/>
    <b v="1"/>
    <x v="16"/>
  </r>
  <r>
    <s v="ORD-21093"/>
    <s v="CUST-5135"/>
    <d v="2024-08-04T00:00:00"/>
    <s v="Clothing"/>
    <s v="Yoga Pants"/>
    <n v="44.99"/>
    <n v="2"/>
    <n v="20"/>
    <n v="35.99"/>
    <n v="71.98"/>
    <s v="PayPal"/>
    <s v="Delivered"/>
    <n v="4"/>
    <n v="43"/>
    <s v="San Diego"/>
    <s v="Free"/>
    <s v="Female"/>
    <b v="1"/>
    <x v="26"/>
  </r>
  <r>
    <s v="ORD-21094"/>
    <s v="CUST-5135"/>
    <d v="2024-05-02T00:00:00"/>
    <s v="Toys"/>
    <s v="Action Figure"/>
    <n v="19.989999999999998"/>
    <n v="2"/>
    <n v="5"/>
    <n v="18.989999999999998"/>
    <n v="37.979999999999997"/>
    <s v="Credit Card"/>
    <s v="Processing"/>
    <n v="4"/>
    <n v="43"/>
    <s v="San Diego"/>
    <s v="Free"/>
    <s v="Female"/>
    <b v="1"/>
    <x v="30"/>
  </r>
  <r>
    <s v="ORD-21095"/>
    <s v="CUST-5135"/>
    <d v="2023-04-09T00:00:00"/>
    <s v="Sports"/>
    <s v="Yoga Mat"/>
    <n v="29.99"/>
    <n v="1"/>
    <n v="20"/>
    <n v="23.99"/>
    <n v="23.99"/>
    <s v="UPI"/>
    <s v="Delivered"/>
    <n v="4"/>
    <n v="43"/>
    <s v="San Diego"/>
    <s v="Free"/>
    <s v="Female"/>
    <b v="1"/>
    <x v="18"/>
  </r>
  <r>
    <s v="ORD-21096"/>
    <s v="CUST-5135"/>
    <d v="2023-12-05T00:00:00"/>
    <s v="Home &amp; Kitchen"/>
    <s v="Non-stick Pan Set"/>
    <n v="44.99"/>
    <n v="3"/>
    <n v="20"/>
    <n v="35.99"/>
    <n v="107.97"/>
    <s v="UPI"/>
    <s v="Delivered"/>
    <n v="1"/>
    <n v="43"/>
    <s v="San Diego"/>
    <s v="Free"/>
    <s v="Female"/>
    <b v="1"/>
    <x v="14"/>
  </r>
  <r>
    <s v="ORD-21097"/>
    <s v="CUST-5135"/>
    <d v="2023-07-07T00:00:00"/>
    <s v="Toys"/>
    <s v="LEGO Classic Set"/>
    <n v="49.99"/>
    <n v="4"/>
    <n v="15"/>
    <n v="42.49"/>
    <n v="169.96"/>
    <s v="PayPal"/>
    <s v="Delivered"/>
    <m/>
    <n v="43"/>
    <s v="San Diego"/>
    <s v="Free"/>
    <s v="Female"/>
    <b v="1"/>
    <x v="9"/>
  </r>
  <r>
    <s v="ORD-21098"/>
    <s v="CUST-5135"/>
    <d v="2022-06-01T00:00:00"/>
    <s v="Beauty"/>
    <s v="Hair Mask"/>
    <n v="24.99"/>
    <n v="3"/>
    <n v="5"/>
    <n v="23.74"/>
    <n v="71.22"/>
    <s v="PayPal"/>
    <s v="Delivered"/>
    <n v="4"/>
    <n v="43"/>
    <s v="San Diego"/>
    <s v="Free"/>
    <s v="Female"/>
    <b v="1"/>
    <x v="8"/>
  </r>
  <r>
    <s v="ORD-21099"/>
    <s v="CUST-5135"/>
    <d v="2022-11-24T00:00:00"/>
    <s v="Sports"/>
    <s v="Resistance Bands"/>
    <n v="19.989999999999998"/>
    <n v="1"/>
    <n v="10"/>
    <n v="17.989999999999998"/>
    <n v="17.989999999999998"/>
    <s v="Credit Card"/>
    <s v="Delivered"/>
    <n v="5"/>
    <n v="43"/>
    <s v="San Diego"/>
    <s v="Free"/>
    <s v="Female"/>
    <b v="1"/>
    <x v="3"/>
  </r>
  <r>
    <s v="ORD-21100"/>
    <s v="CUST-5135"/>
    <d v="2024-06-25T00:00:00"/>
    <s v="Electronics"/>
    <s v="Wireless Earbuds"/>
    <n v="79.989999999999995"/>
    <n v="3"/>
    <n v="15"/>
    <n v="67.989999999999995"/>
    <n v="203.97"/>
    <s v="UPI"/>
    <s v="Processing"/>
    <n v="3"/>
    <n v="43"/>
    <s v="San Diego"/>
    <s v="Free"/>
    <s v="Female"/>
    <b v="1"/>
    <x v="35"/>
  </r>
  <r>
    <s v="ORD-21101"/>
    <s v="CUST-5135"/>
    <d v="2022-05-07T00:00:00"/>
    <s v="Sports"/>
    <s v="Water Bottle"/>
    <n v="24.99"/>
    <n v="3"/>
    <n v="10"/>
    <n v="22.49"/>
    <n v="67.47"/>
    <s v="UPI"/>
    <s v="Delivered"/>
    <n v="5"/>
    <n v="43"/>
    <s v="San Diego"/>
    <s v="Free"/>
    <s v="Female"/>
    <b v="1"/>
    <x v="31"/>
  </r>
  <r>
    <s v="ORD-21102"/>
    <s v="CUST-5135"/>
    <d v="2023-04-01T00:00:00"/>
    <s v="Sports"/>
    <s v="Jump Rope"/>
    <n v="14.99"/>
    <n v="2"/>
    <n v="15"/>
    <n v="12.74"/>
    <n v="25.48"/>
    <s v="UPI"/>
    <s v="Delivered"/>
    <m/>
    <n v="43"/>
    <s v="San Diego"/>
    <s v="Free"/>
    <s v="Female"/>
    <b v="1"/>
    <x v="18"/>
  </r>
  <r>
    <s v="ORD-21103"/>
    <s v="CUST-5135"/>
    <d v="2024-10-07T00:00:00"/>
    <s v="Home &amp; Kitchen"/>
    <s v="Air Fryer"/>
    <n v="89.99"/>
    <n v="2"/>
    <n v="0"/>
    <n v="89.99"/>
    <n v="179.98"/>
    <s v="PayPal"/>
    <s v="Delivered"/>
    <m/>
    <n v="43"/>
    <s v="San Diego"/>
    <s v="Free"/>
    <s v="Female"/>
    <b v="1"/>
    <x v="21"/>
  </r>
  <r>
    <s v="ORD-21104"/>
    <s v="CUST-5136"/>
    <d v="2024-08-23T00:00:00"/>
    <s v="Beauty"/>
    <s v="Face Serum"/>
    <n v="39.99"/>
    <n v="4"/>
    <n v="20"/>
    <n v="31.99"/>
    <n v="127.96"/>
    <s v="Debit Card"/>
    <s v="Delivered"/>
    <m/>
    <n v="36"/>
    <s v="Dallas"/>
    <s v="Free"/>
    <s v="Male"/>
    <b v="1"/>
    <x v="26"/>
  </r>
  <r>
    <s v="ORD-21105"/>
    <s v="CUST-5136"/>
    <d v="2023-11-12T00:00:00"/>
    <s v="Beauty"/>
    <s v="Lip Balm Set"/>
    <n v="14.99"/>
    <n v="4"/>
    <n v="10"/>
    <n v="13.49"/>
    <n v="53.96"/>
    <s v="PayPal"/>
    <s v="Processing"/>
    <n v="4"/>
    <n v="36"/>
    <s v="Dallas"/>
    <s v="Free"/>
    <s v="Male"/>
    <b v="1"/>
    <x v="29"/>
  </r>
  <r>
    <s v="ORD-21106"/>
    <s v="CUST-5136"/>
    <d v="2024-12-25T00:00:00"/>
    <s v="Home &amp; Kitchen"/>
    <s v="Air Fryer"/>
    <n v="89.99"/>
    <n v="3"/>
    <n v="15"/>
    <n v="76.489999999999995"/>
    <n v="229.47"/>
    <s v="Credit Card"/>
    <s v="Processing"/>
    <m/>
    <n v="36"/>
    <s v="Dallas"/>
    <s v="Free"/>
    <s v="Male"/>
    <b v="1"/>
    <x v="32"/>
  </r>
  <r>
    <s v="ORD-21107"/>
    <s v="CUST-5136"/>
    <d v="2022-03-26T00:00:00"/>
    <s v="Home &amp; Kitchen"/>
    <s v="Blender"/>
    <n v="64.989999999999995"/>
    <n v="2"/>
    <n v="15"/>
    <n v="55.24"/>
    <n v="110.48"/>
    <s v="Wallet"/>
    <s v="Delivered"/>
    <n v="4"/>
    <n v="36"/>
    <s v="Dallas"/>
    <s v="Free"/>
    <s v="Male"/>
    <b v="1"/>
    <x v="11"/>
  </r>
  <r>
    <s v="ORD-21108"/>
    <s v="CUST-5136"/>
    <d v="2023-03-09T00:00:00"/>
    <s v="Electronics"/>
    <s v="Wireless Earbuds"/>
    <n v="79.989999999999995"/>
    <n v="1"/>
    <n v="5"/>
    <n v="75.989999999999995"/>
    <n v="75.989999999999995"/>
    <s v="Debit Card"/>
    <s v="Delivered"/>
    <n v="1"/>
    <n v="36"/>
    <s v="Dallas"/>
    <s v="Free"/>
    <s v="Male"/>
    <b v="1"/>
    <x v="23"/>
  </r>
  <r>
    <s v="ORD-21109"/>
    <s v="CUST-5137"/>
    <d v="2024-04-18T00:00:00"/>
    <s v="Clothing"/>
    <s v="Denim Jacket"/>
    <n v="69.989999999999995"/>
    <n v="2"/>
    <n v="10"/>
    <n v="62.99"/>
    <n v="125.98"/>
    <s v="Debit Card"/>
    <s v="Delivered"/>
    <n v="4"/>
    <n v="25"/>
    <s v="Phoenix"/>
    <s v="Gold"/>
    <s v="Male"/>
    <b v="1"/>
    <x v="27"/>
  </r>
  <r>
    <s v="ORD-21110"/>
    <s v="CUST-5137"/>
    <d v="2024-07-02T00:00:00"/>
    <s v="Books"/>
    <s v="Python for Beginners"/>
    <n v="29.99"/>
    <n v="3"/>
    <n v="0"/>
    <n v="29.99"/>
    <n v="89.97"/>
    <s v="Credit Card"/>
    <s v="Delivered"/>
    <m/>
    <n v="25"/>
    <s v="Phoenix"/>
    <s v="Gold"/>
    <s v="Male"/>
    <b v="1"/>
    <x v="4"/>
  </r>
  <r>
    <s v="ORD-21111"/>
    <s v="CUST-5137"/>
    <d v="2023-08-27T00:00:00"/>
    <s v="Sports"/>
    <s v="Yoga Mat"/>
    <n v="29.99"/>
    <n v="1"/>
    <n v="0"/>
    <n v="29.99"/>
    <n v="29.99"/>
    <s v="UPI"/>
    <s v="Delivered"/>
    <n v="5"/>
    <n v="25"/>
    <s v="Phoenix"/>
    <s v="Gold"/>
    <s v="Male"/>
    <b v="1"/>
    <x v="24"/>
  </r>
  <r>
    <s v="ORD-21112"/>
    <s v="CUST-5137"/>
    <d v="2023-01-12T00:00:00"/>
    <s v="Clothing"/>
    <s v="Running Shoes"/>
    <n v="89.99"/>
    <n v="4"/>
    <n v="20"/>
    <n v="71.989999999999995"/>
    <n v="287.95999999999998"/>
    <s v="Wallet"/>
    <s v="Delivered"/>
    <n v="5"/>
    <n v="25"/>
    <s v="Phoenix"/>
    <s v="Gold"/>
    <s v="Male"/>
    <b v="1"/>
    <x v="10"/>
  </r>
  <r>
    <s v="ORD-21113"/>
    <s v="CUST-5137"/>
    <d v="2024-04-26T00:00:00"/>
    <s v="Toys"/>
    <s v="LEGO Classic Set"/>
    <n v="49.99"/>
    <n v="2"/>
    <n v="10"/>
    <n v="44.99"/>
    <n v="89.98"/>
    <s v="Wallet"/>
    <s v="Delivered"/>
    <m/>
    <n v="25"/>
    <s v="Phoenix"/>
    <s v="Gold"/>
    <s v="Male"/>
    <b v="1"/>
    <x v="27"/>
  </r>
  <r>
    <s v="ORD-21114"/>
    <s v="CUST-5137"/>
    <d v="2024-07-16T00:00:00"/>
    <s v="Books"/>
    <s v="Python for Beginners"/>
    <n v="29.99"/>
    <n v="2"/>
    <n v="15"/>
    <n v="25.49"/>
    <n v="50.98"/>
    <s v="UPI"/>
    <s v="Delivered"/>
    <m/>
    <n v="25"/>
    <s v="Phoenix"/>
    <s v="Gold"/>
    <s v="Male"/>
    <b v="1"/>
    <x v="4"/>
  </r>
  <r>
    <s v="ORD-21115"/>
    <s v="CUST-5137"/>
    <d v="2022-12-05T00:00:00"/>
    <s v="Sports"/>
    <s v="Yoga Mat"/>
    <n v="29.99"/>
    <n v="2"/>
    <n v="15"/>
    <n v="25.49"/>
    <n v="50.98"/>
    <s v="Credit Card"/>
    <s v="Delivered"/>
    <m/>
    <n v="25"/>
    <s v="Phoenix"/>
    <s v="Gold"/>
    <s v="Male"/>
    <b v="1"/>
    <x v="28"/>
  </r>
  <r>
    <s v="ORD-21116"/>
    <s v="CUST-5137"/>
    <d v="2022-05-19T00:00:00"/>
    <s v="Toys"/>
    <s v="Puzzle 1000pcs"/>
    <n v="24.99"/>
    <n v="2"/>
    <n v="20"/>
    <n v="19.989999999999998"/>
    <n v="39.979999999999997"/>
    <s v="UPI"/>
    <s v="Delivered"/>
    <n v="5"/>
    <n v="25"/>
    <s v="Phoenix"/>
    <s v="Gold"/>
    <s v="Male"/>
    <b v="1"/>
    <x v="31"/>
  </r>
  <r>
    <s v="ORD-21117"/>
    <s v="CUST-5137"/>
    <d v="2023-12-12T00:00:00"/>
    <s v="Home &amp; Kitchen"/>
    <s v="Air Fryer"/>
    <n v="89.99"/>
    <n v="1"/>
    <n v="0"/>
    <n v="89.99"/>
    <n v="89.99"/>
    <s v="Debit Card"/>
    <s v="Delivered"/>
    <n v="5"/>
    <n v="25"/>
    <s v="Phoenix"/>
    <s v="Gold"/>
    <s v="Male"/>
    <b v="1"/>
    <x v="14"/>
  </r>
  <r>
    <s v="ORD-21118"/>
    <s v="CUST-5137"/>
    <d v="2023-03-01T00:00:00"/>
    <s v="Electronics"/>
    <s v="Wireless Earbuds"/>
    <n v="79.989999999999995"/>
    <n v="3"/>
    <n v="0"/>
    <n v="79.989999999999995"/>
    <n v="239.97"/>
    <s v="UPI"/>
    <s v="Delivered"/>
    <n v="4"/>
    <n v="25"/>
    <s v="Phoenix"/>
    <s v="Gold"/>
    <s v="Male"/>
    <b v="1"/>
    <x v="23"/>
  </r>
  <r>
    <s v="ORD-21119"/>
    <s v="CUST-5138"/>
    <d v="2024-07-25T00:00:00"/>
    <s v="Beauty"/>
    <s v="Hair Mask"/>
    <n v="24.99"/>
    <n v="1"/>
    <n v="0"/>
    <n v="24.99"/>
    <n v="24.99"/>
    <s v="Credit Card"/>
    <s v="Delivered"/>
    <n v="5"/>
    <n v="34"/>
    <s v="Philadelphia"/>
    <s v="Silver"/>
    <s v="Male"/>
    <b v="1"/>
    <x v="4"/>
  </r>
  <r>
    <s v="ORD-21120"/>
    <s v="CUST-5139"/>
    <d v="2024-04-13T00:00:00"/>
    <s v="Toys"/>
    <s v="LEGO Classic Set"/>
    <n v="49.99"/>
    <n v="1"/>
    <n v="0"/>
    <n v="49.99"/>
    <n v="49.99"/>
    <s v="Debit Card"/>
    <s v="Processing"/>
    <n v="2"/>
    <n v="64"/>
    <s v="Chicago"/>
    <s v="Gold"/>
    <s v="Female"/>
    <b v="1"/>
    <x v="27"/>
  </r>
  <r>
    <s v="ORD-21121"/>
    <s v="CUST-5139"/>
    <d v="2022-11-17T00:00:00"/>
    <s v="Books"/>
    <s v="Fiction Novel"/>
    <n v="14.99"/>
    <n v="3"/>
    <n v="0"/>
    <n v="14.99"/>
    <n v="44.97"/>
    <s v="PayPal"/>
    <s v="Delivered"/>
    <m/>
    <n v="64"/>
    <s v="Chicago"/>
    <s v="Gold"/>
    <s v="Female"/>
    <b v="1"/>
    <x v="3"/>
  </r>
  <r>
    <s v="ORD-21122"/>
    <s v="CUST-5139"/>
    <d v="2024-03-28T00:00:00"/>
    <s v="Electronics"/>
    <s v="USB-C Hub"/>
    <n v="34.99"/>
    <n v="3"/>
    <n v="0"/>
    <n v="34.99"/>
    <n v="104.97"/>
    <s v="Wallet"/>
    <s v="Delivered"/>
    <m/>
    <n v="64"/>
    <s v="Chicago"/>
    <s v="Gold"/>
    <s v="Female"/>
    <b v="1"/>
    <x v="1"/>
  </r>
  <r>
    <s v="ORD-21123"/>
    <s v="CUST-5139"/>
    <d v="2022-06-27T00:00:00"/>
    <s v="Sports"/>
    <s v="Resistance Bands"/>
    <n v="19.989999999999998"/>
    <n v="3"/>
    <n v="0"/>
    <n v="19.989999999999998"/>
    <n v="59.97"/>
    <s v="Wallet"/>
    <s v="Delivered"/>
    <n v="3"/>
    <n v="64"/>
    <s v="Chicago"/>
    <s v="Gold"/>
    <s v="Female"/>
    <b v="1"/>
    <x v="8"/>
  </r>
  <r>
    <s v="ORD-21124"/>
    <s v="CUST-5139"/>
    <d v="2022-10-27T00:00:00"/>
    <s v="Electronics"/>
    <s v="Wireless Earbuds"/>
    <n v="79.989999999999995"/>
    <n v="3"/>
    <n v="5"/>
    <n v="75.989999999999995"/>
    <n v="227.97"/>
    <s v="UPI"/>
    <s v="Delivered"/>
    <n v="5"/>
    <n v="64"/>
    <s v="Chicago"/>
    <s v="Gold"/>
    <s v="Female"/>
    <b v="1"/>
    <x v="20"/>
  </r>
  <r>
    <s v="ORD-21125"/>
    <s v="CUST-5139"/>
    <d v="2023-07-15T00:00:00"/>
    <s v="Toys"/>
    <s v="LEGO Classic Set"/>
    <n v="49.99"/>
    <n v="4"/>
    <n v="0"/>
    <n v="49.99"/>
    <n v="199.96"/>
    <s v="Wallet"/>
    <s v="Delivered"/>
    <n v="4"/>
    <n v="64"/>
    <s v="Chicago"/>
    <s v="Gold"/>
    <s v="Female"/>
    <b v="1"/>
    <x v="9"/>
  </r>
  <r>
    <s v="ORD-21126"/>
    <s v="CUST-5140"/>
    <d v="2024-12-19T00:00:00"/>
    <s v="Sports"/>
    <s v="Jump Rope"/>
    <n v="14.99"/>
    <n v="1"/>
    <n v="10"/>
    <n v="13.49"/>
    <n v="13.49"/>
    <s v="UPI"/>
    <s v="Delivered"/>
    <n v="5"/>
    <n v="35"/>
    <s v="Chicago"/>
    <s v="Free"/>
    <s v="Female"/>
    <b v="1"/>
    <x v="32"/>
  </r>
  <r>
    <s v="ORD-21127"/>
    <s v="CUST-5140"/>
    <d v="2023-02-28T00:00:00"/>
    <s v="Toys"/>
    <s v="Action Figure"/>
    <n v="19.989999999999998"/>
    <n v="3"/>
    <n v="0"/>
    <n v="19.989999999999998"/>
    <n v="59.97"/>
    <s v="PayPal"/>
    <s v="Delivered"/>
    <n v="5"/>
    <n v="35"/>
    <s v="Chicago"/>
    <s v="Free"/>
    <s v="Female"/>
    <b v="1"/>
    <x v="34"/>
  </r>
  <r>
    <s v="ORD-21128"/>
    <s v="CUST-5140"/>
    <d v="2023-04-27T00:00:00"/>
    <s v="Toys"/>
    <s v="LEGO Classic Set"/>
    <n v="49.99"/>
    <n v="2"/>
    <n v="15"/>
    <n v="42.49"/>
    <n v="84.98"/>
    <s v="Debit Card"/>
    <s v="Delivered"/>
    <n v="5"/>
    <n v="35"/>
    <s v="Chicago"/>
    <s v="Free"/>
    <s v="Female"/>
    <b v="1"/>
    <x v="18"/>
  </r>
  <r>
    <s v="ORD-21129"/>
    <s v="CUST-5140"/>
    <d v="2023-06-28T00:00:00"/>
    <s v="Sports"/>
    <s v="Jump Rope"/>
    <n v="14.99"/>
    <n v="4"/>
    <n v="0"/>
    <n v="14.99"/>
    <n v="59.96"/>
    <s v="PayPal"/>
    <s v="Shipped"/>
    <m/>
    <n v="35"/>
    <s v="Chicago"/>
    <s v="Free"/>
    <s v="Female"/>
    <b v="1"/>
    <x v="19"/>
  </r>
  <r>
    <s v="ORD-21130"/>
    <s v="CUST-5140"/>
    <d v="2024-05-23T00:00:00"/>
    <s v="Beauty"/>
    <s v="Face Serum"/>
    <n v="39.99"/>
    <n v="1"/>
    <n v="10"/>
    <n v="35.99"/>
    <n v="35.99"/>
    <s v="UPI"/>
    <s v="Delivered"/>
    <n v="5"/>
    <n v="35"/>
    <s v="Chicago"/>
    <s v="Free"/>
    <s v="Female"/>
    <b v="1"/>
    <x v="30"/>
  </r>
  <r>
    <s v="ORD-21131"/>
    <s v="CUST-5141"/>
    <d v="2022-05-07T00:00:00"/>
    <s v="Electronics"/>
    <s v="Wireless Earbuds"/>
    <n v="79.989999999999995"/>
    <n v="3"/>
    <n v="0"/>
    <n v="79.989999999999995"/>
    <n v="239.97"/>
    <s v="Wallet"/>
    <s v="Delivered"/>
    <n v="4"/>
    <n v="62"/>
    <s v="Austin"/>
    <s v="Free"/>
    <s v="Male"/>
    <b v="1"/>
    <x v="31"/>
  </r>
  <r>
    <s v="ORD-21132"/>
    <s v="CUST-5141"/>
    <d v="2022-11-23T00:00:00"/>
    <s v="Toys"/>
    <s v="Puzzle 1000pcs"/>
    <n v="24.99"/>
    <n v="1"/>
    <n v="10"/>
    <n v="22.49"/>
    <n v="22.49"/>
    <s v="Debit Card"/>
    <s v="Delivered"/>
    <n v="5"/>
    <n v="62"/>
    <s v="Austin"/>
    <s v="Free"/>
    <s v="Male"/>
    <b v="1"/>
    <x v="3"/>
  </r>
  <r>
    <s v="ORD-21133"/>
    <s v="CUST-5141"/>
    <d v="2022-07-26T00:00:00"/>
    <s v="Sports"/>
    <s v="Resistance Bands"/>
    <n v="19.989999999999998"/>
    <n v="3"/>
    <n v="0"/>
    <n v="19.989999999999998"/>
    <n v="59.97"/>
    <s v="PayPal"/>
    <s v="Cancelled"/>
    <n v="3"/>
    <n v="62"/>
    <s v="Austin"/>
    <s v="Free"/>
    <s v="Male"/>
    <b v="1"/>
    <x v="33"/>
  </r>
  <r>
    <s v="ORD-21134"/>
    <s v="CUST-5141"/>
    <d v="2024-04-18T00:00:00"/>
    <s v="Clothing"/>
    <s v="Running Shoes"/>
    <n v="89.99"/>
    <n v="4"/>
    <n v="0"/>
    <n v="89.99"/>
    <n v="359.96"/>
    <s v="Debit Card"/>
    <s v="Delivered"/>
    <n v="3"/>
    <n v="62"/>
    <s v="Austin"/>
    <s v="Free"/>
    <s v="Male"/>
    <b v="1"/>
    <x v="27"/>
  </r>
  <r>
    <s v="ORD-21135"/>
    <s v="CUST-5141"/>
    <d v="2022-04-24T00:00:00"/>
    <s v="Books"/>
    <s v="Python for Beginners"/>
    <n v="29.99"/>
    <n v="2"/>
    <n v="15"/>
    <n v="25.49"/>
    <n v="50.98"/>
    <s v="PayPal"/>
    <s v="Delivered"/>
    <n v="4"/>
    <n v="62"/>
    <s v="Austin"/>
    <s v="Free"/>
    <s v="Male"/>
    <b v="1"/>
    <x v="12"/>
  </r>
  <r>
    <s v="ORD-21136"/>
    <s v="CUST-5141"/>
    <d v="2022-02-15T00:00:00"/>
    <s v="Home &amp; Kitchen"/>
    <s v="Coffee Maker"/>
    <n v="59.99"/>
    <n v="4"/>
    <n v="0"/>
    <n v="59.99"/>
    <n v="239.96"/>
    <s v="Credit Card"/>
    <s v="Delivered"/>
    <m/>
    <n v="62"/>
    <s v="Austin"/>
    <s v="Free"/>
    <s v="Male"/>
    <b v="1"/>
    <x v="17"/>
  </r>
  <r>
    <s v="ORD-21137"/>
    <s v="CUST-5141"/>
    <d v="2024-07-11T00:00:00"/>
    <s v="Toys"/>
    <s v="LEGO Classic Set"/>
    <n v="49.99"/>
    <n v="2"/>
    <n v="20"/>
    <n v="39.99"/>
    <n v="79.98"/>
    <s v="Wallet"/>
    <s v="Shipped"/>
    <m/>
    <n v="62"/>
    <s v="Austin"/>
    <s v="Free"/>
    <s v="Male"/>
    <b v="1"/>
    <x v="4"/>
  </r>
  <r>
    <s v="ORD-21138"/>
    <s v="CUST-5141"/>
    <d v="2024-05-20T00:00:00"/>
    <s v="Home &amp; Kitchen"/>
    <s v="Coffee Maker"/>
    <n v="59.99"/>
    <n v="4"/>
    <n v="5"/>
    <n v="56.99"/>
    <n v="227.96"/>
    <s v="UPI"/>
    <s v="Delivered"/>
    <n v="4"/>
    <n v="62"/>
    <s v="Austin"/>
    <s v="Free"/>
    <s v="Male"/>
    <b v="1"/>
    <x v="30"/>
  </r>
  <r>
    <s v="ORD-21139"/>
    <s v="CUST-5141"/>
    <d v="2023-10-20T00:00:00"/>
    <s v="Books"/>
    <s v="Business Analytics"/>
    <n v="39.99"/>
    <n v="2"/>
    <n v="5"/>
    <n v="37.99"/>
    <n v="75.98"/>
    <s v="Credit Card"/>
    <s v="Delivered"/>
    <m/>
    <n v="62"/>
    <s v="Austin"/>
    <s v="Free"/>
    <s v="Male"/>
    <b v="1"/>
    <x v="13"/>
  </r>
  <r>
    <s v="ORD-21140"/>
    <s v="CUST-5141"/>
    <d v="2024-04-19T00:00:00"/>
    <s v="Beauty"/>
    <s v="Hair Mask"/>
    <n v="24.99"/>
    <n v="1"/>
    <n v="5"/>
    <n v="23.74"/>
    <n v="23.74"/>
    <s v="UPI"/>
    <s v="Delivered"/>
    <n v="4"/>
    <n v="62"/>
    <s v="Austin"/>
    <s v="Free"/>
    <s v="Male"/>
    <b v="1"/>
    <x v="27"/>
  </r>
  <r>
    <s v="ORD-21141"/>
    <s v="CUST-5141"/>
    <d v="2022-07-03T00:00:00"/>
    <s v="Home &amp; Kitchen"/>
    <s v="Blender"/>
    <n v="64.989999999999995"/>
    <n v="3"/>
    <n v="5"/>
    <n v="61.74"/>
    <n v="185.22"/>
    <s v="UPI"/>
    <s v="Shipped"/>
    <n v="4"/>
    <n v="62"/>
    <s v="Austin"/>
    <s v="Free"/>
    <s v="Male"/>
    <b v="1"/>
    <x v="33"/>
  </r>
  <r>
    <s v="ORD-21142"/>
    <s v="CUST-5141"/>
    <d v="2022-05-12T00:00:00"/>
    <s v="Beauty"/>
    <s v="Moisturizer SPF 50"/>
    <n v="29.99"/>
    <n v="2"/>
    <n v="5"/>
    <n v="28.49"/>
    <n v="56.98"/>
    <s v="PayPal"/>
    <s v="Delivered"/>
    <n v="5"/>
    <n v="62"/>
    <s v="Austin"/>
    <s v="Free"/>
    <s v="Male"/>
    <b v="1"/>
    <x v="31"/>
  </r>
  <r>
    <s v="ORD-21143"/>
    <s v="CUST-5141"/>
    <d v="2022-08-02T00:00:00"/>
    <s v="Clothing"/>
    <s v="Denim Jacket"/>
    <n v="69.989999999999995"/>
    <n v="4"/>
    <n v="0"/>
    <n v="69.989999999999995"/>
    <n v="279.95999999999998"/>
    <s v="Credit Card"/>
    <s v="Shipped"/>
    <n v="4"/>
    <n v="62"/>
    <s v="Austin"/>
    <s v="Free"/>
    <s v="Male"/>
    <b v="1"/>
    <x v="7"/>
  </r>
  <r>
    <s v="ORD-21144"/>
    <s v="CUST-5141"/>
    <d v="2023-06-15T00:00:00"/>
    <s v="Toys"/>
    <s v="LEGO Classic Set"/>
    <n v="49.99"/>
    <n v="4"/>
    <n v="10"/>
    <n v="44.99"/>
    <n v="179.96"/>
    <s v="Credit Card"/>
    <s v="Delivered"/>
    <n v="4"/>
    <n v="62"/>
    <s v="Austin"/>
    <s v="Free"/>
    <s v="Male"/>
    <b v="1"/>
    <x v="19"/>
  </r>
  <r>
    <s v="ORD-21145"/>
    <s v="CUST-5142"/>
    <d v="2024-05-23T00:00:00"/>
    <s v="Home &amp; Kitchen"/>
    <s v="Non-stick Pan Set"/>
    <n v="44.99"/>
    <n v="2"/>
    <n v="15"/>
    <n v="38.24"/>
    <n v="76.48"/>
    <s v="Debit Card"/>
    <s v="Delivered"/>
    <n v="4"/>
    <n v="24"/>
    <s v="San Diego"/>
    <s v="Silver"/>
    <s v="Female"/>
    <b v="1"/>
    <x v="30"/>
  </r>
  <r>
    <s v="ORD-21146"/>
    <s v="CUST-5143"/>
    <d v="2024-09-17T00:00:00"/>
    <s v="Sports"/>
    <s v="Water Bottle"/>
    <n v="24.99"/>
    <n v="4"/>
    <n v="20"/>
    <n v="19.989999999999998"/>
    <n v="79.959999999999994"/>
    <s v="PayPal"/>
    <s v="Delivered"/>
    <m/>
    <n v="56"/>
    <s v="San Jose"/>
    <s v="Silver"/>
    <s v="Female"/>
    <b v="1"/>
    <x v="15"/>
  </r>
  <r>
    <s v="ORD-21147"/>
    <s v="CUST-5143"/>
    <d v="2023-01-06T00:00:00"/>
    <s v="Clothing"/>
    <s v="Yoga Pants"/>
    <n v="44.99"/>
    <n v="2"/>
    <n v="0"/>
    <n v="44.99"/>
    <n v="89.98"/>
    <s v="Debit Card"/>
    <s v="Delivered"/>
    <m/>
    <n v="56"/>
    <s v="San Jose"/>
    <s v="Silver"/>
    <s v="Female"/>
    <b v="1"/>
    <x v="10"/>
  </r>
  <r>
    <s v="ORD-21148"/>
    <s v="CUST-5143"/>
    <d v="2022-12-11T00:00:00"/>
    <s v="Toys"/>
    <s v="Puzzle 1000pcs"/>
    <n v="24.99"/>
    <n v="3"/>
    <n v="0"/>
    <n v="24.99"/>
    <n v="74.97"/>
    <s v="Debit Card"/>
    <s v="Delivered"/>
    <n v="4"/>
    <n v="56"/>
    <s v="San Jose"/>
    <s v="Silver"/>
    <s v="Female"/>
    <b v="1"/>
    <x v="28"/>
  </r>
  <r>
    <s v="ORD-21149"/>
    <s v="CUST-5143"/>
    <d v="2023-08-27T00:00:00"/>
    <s v="Books"/>
    <s v="Business Analytics"/>
    <n v="39.99"/>
    <n v="1"/>
    <n v="20"/>
    <n v="31.99"/>
    <n v="31.99"/>
    <s v="Wallet"/>
    <s v="Delivered"/>
    <n v="4"/>
    <n v="56"/>
    <s v="San Jose"/>
    <s v="Silver"/>
    <s v="Female"/>
    <b v="1"/>
    <x v="24"/>
  </r>
  <r>
    <s v="ORD-21150"/>
    <s v="CUST-5143"/>
    <d v="2023-11-26T00:00:00"/>
    <s v="Toys"/>
    <s v="Action Figure"/>
    <n v="19.989999999999998"/>
    <n v="1"/>
    <n v="5"/>
    <n v="18.989999999999998"/>
    <n v="18.989999999999998"/>
    <s v="Credit Card"/>
    <s v="Returned"/>
    <n v="5"/>
    <n v="56"/>
    <s v="San Jose"/>
    <s v="Silver"/>
    <s v="Female"/>
    <b v="1"/>
    <x v="29"/>
  </r>
  <r>
    <s v="ORD-21151"/>
    <s v="CUST-5143"/>
    <d v="2022-10-23T00:00:00"/>
    <s v="Home &amp; Kitchen"/>
    <s v="Blender"/>
    <n v="64.989999999999995"/>
    <n v="3"/>
    <n v="20"/>
    <n v="51.99"/>
    <n v="155.97"/>
    <s v="UPI"/>
    <s v="Delivered"/>
    <n v="5"/>
    <n v="56"/>
    <s v="San Jose"/>
    <s v="Silver"/>
    <s v="Female"/>
    <b v="1"/>
    <x v="20"/>
  </r>
  <r>
    <s v="ORD-21152"/>
    <s v="CUST-5143"/>
    <d v="2024-11-05T00:00:00"/>
    <s v="Beauty"/>
    <s v="Lip Balm Set"/>
    <n v="14.99"/>
    <n v="4"/>
    <n v="0"/>
    <n v="14.99"/>
    <n v="59.96"/>
    <s v="PayPal"/>
    <s v="Delivered"/>
    <n v="5"/>
    <n v="56"/>
    <s v="San Jose"/>
    <s v="Silver"/>
    <s v="Female"/>
    <b v="1"/>
    <x v="16"/>
  </r>
  <r>
    <s v="ORD-21153"/>
    <s v="CUST-5143"/>
    <d v="2024-01-15T00:00:00"/>
    <s v="Toys"/>
    <s v="Puzzle 1000pcs"/>
    <n v="24.99"/>
    <n v="3"/>
    <n v="0"/>
    <n v="24.99"/>
    <n v="74.97"/>
    <s v="PayPal"/>
    <s v="Delivered"/>
    <n v="3"/>
    <n v="56"/>
    <s v="San Jose"/>
    <s v="Silver"/>
    <s v="Female"/>
    <b v="1"/>
    <x v="25"/>
  </r>
  <r>
    <s v="ORD-21154"/>
    <s v="CUST-5144"/>
    <d v="2022-01-03T00:00:00"/>
    <s v="Sports"/>
    <s v="Yoga Mat"/>
    <n v="29.99"/>
    <n v="4"/>
    <n v="10"/>
    <n v="26.99"/>
    <n v="107.96"/>
    <s v="Wallet"/>
    <s v="Delivered"/>
    <n v="5"/>
    <n v="62"/>
    <s v="Phoenix"/>
    <s v="Free"/>
    <s v="Female"/>
    <b v="1"/>
    <x v="2"/>
  </r>
  <r>
    <s v="ORD-21155"/>
    <s v="CUST-5144"/>
    <d v="2022-08-24T00:00:00"/>
    <s v="Toys"/>
    <s v="Puzzle 1000pcs"/>
    <n v="24.99"/>
    <n v="3"/>
    <n v="5"/>
    <n v="23.74"/>
    <n v="71.22"/>
    <s v="Credit Card"/>
    <s v="Delivered"/>
    <m/>
    <n v="62"/>
    <s v="Phoenix"/>
    <s v="Free"/>
    <s v="Female"/>
    <b v="1"/>
    <x v="7"/>
  </r>
  <r>
    <s v="ORD-21156"/>
    <s v="CUST-5144"/>
    <d v="2024-10-21T00:00:00"/>
    <s v="Books"/>
    <s v="Data Science Handbook"/>
    <n v="49.99"/>
    <n v="2"/>
    <n v="10"/>
    <n v="44.99"/>
    <n v="89.98"/>
    <s v="Debit Card"/>
    <s v="Delivered"/>
    <n v="5"/>
    <n v="62"/>
    <s v="Phoenix"/>
    <s v="Free"/>
    <s v="Female"/>
    <b v="1"/>
    <x v="21"/>
  </r>
  <r>
    <s v="ORD-21157"/>
    <s v="CUST-5144"/>
    <d v="2023-09-22T00:00:00"/>
    <s v="Sports"/>
    <s v="Yoga Mat"/>
    <n v="29.99"/>
    <n v="4"/>
    <n v="20"/>
    <n v="23.99"/>
    <n v="95.96"/>
    <s v="Debit Card"/>
    <s v="Delivered"/>
    <n v="5"/>
    <n v="62"/>
    <s v="Phoenix"/>
    <s v="Free"/>
    <s v="Female"/>
    <b v="1"/>
    <x v="6"/>
  </r>
  <r>
    <s v="ORD-21158"/>
    <s v="CUST-5144"/>
    <d v="2023-05-17T00:00:00"/>
    <s v="Beauty"/>
    <s v="Face Serum"/>
    <n v="39.99"/>
    <n v="1"/>
    <n v="20"/>
    <n v="31.99"/>
    <n v="31.99"/>
    <s v="PayPal"/>
    <s v="Delivered"/>
    <n v="5"/>
    <n v="62"/>
    <s v="Phoenix"/>
    <s v="Free"/>
    <s v="Female"/>
    <b v="1"/>
    <x v="5"/>
  </r>
  <r>
    <s v="ORD-21159"/>
    <s v="CUST-5144"/>
    <d v="2024-05-08T00:00:00"/>
    <s v="Clothing"/>
    <s v="Denim Jacket"/>
    <n v="69.989999999999995"/>
    <n v="1"/>
    <n v="20"/>
    <n v="55.99"/>
    <n v="55.99"/>
    <s v="UPI"/>
    <s v="Shipped"/>
    <n v="4"/>
    <n v="62"/>
    <s v="Phoenix"/>
    <s v="Free"/>
    <s v="Female"/>
    <b v="1"/>
    <x v="30"/>
  </r>
  <r>
    <s v="ORD-21160"/>
    <s v="CUST-5144"/>
    <d v="2022-04-20T00:00:00"/>
    <s v="Electronics"/>
    <s v="Bluetooth Speaker"/>
    <n v="49.99"/>
    <n v="4"/>
    <n v="0"/>
    <n v="49.99"/>
    <n v="199.96"/>
    <s v="Debit Card"/>
    <s v="Delivered"/>
    <m/>
    <n v="62"/>
    <s v="Phoenix"/>
    <s v="Free"/>
    <s v="Female"/>
    <b v="1"/>
    <x v="12"/>
  </r>
  <r>
    <s v="ORD-21161"/>
    <s v="CUST-5144"/>
    <d v="2023-06-28T00:00:00"/>
    <s v="Books"/>
    <s v="Data Science Handbook"/>
    <n v="49.99"/>
    <n v="4"/>
    <n v="10"/>
    <n v="44.99"/>
    <n v="179.96"/>
    <s v="Credit Card"/>
    <s v="Delivered"/>
    <m/>
    <n v="62"/>
    <s v="Phoenix"/>
    <s v="Free"/>
    <s v="Female"/>
    <b v="1"/>
    <x v="19"/>
  </r>
  <r>
    <s v="ORD-21162"/>
    <s v="CUST-5144"/>
    <d v="2022-10-11T00:00:00"/>
    <s v="Toys"/>
    <s v="Puzzle 1000pcs"/>
    <n v="24.99"/>
    <n v="1"/>
    <n v="15"/>
    <n v="21.24"/>
    <n v="21.24"/>
    <s v="PayPal"/>
    <s v="Delivered"/>
    <n v="3"/>
    <n v="62"/>
    <s v="Phoenix"/>
    <s v="Free"/>
    <s v="Female"/>
    <b v="1"/>
    <x v="20"/>
  </r>
  <r>
    <s v="ORD-21163"/>
    <s v="CUST-5144"/>
    <d v="2022-04-13T00:00:00"/>
    <s v="Home &amp; Kitchen"/>
    <s v="Blender"/>
    <n v="64.989999999999995"/>
    <n v="4"/>
    <n v="15"/>
    <n v="55.24"/>
    <n v="220.96"/>
    <s v="Wallet"/>
    <s v="Delivered"/>
    <n v="5"/>
    <n v="62"/>
    <s v="Phoenix"/>
    <s v="Free"/>
    <s v="Female"/>
    <b v="1"/>
    <x v="12"/>
  </r>
  <r>
    <s v="ORD-21164"/>
    <s v="CUST-5145"/>
    <d v="2024-01-17T00:00:00"/>
    <s v="Beauty"/>
    <s v="Face Serum"/>
    <n v="39.99"/>
    <n v="2"/>
    <n v="20"/>
    <n v="31.99"/>
    <n v="63.98"/>
    <s v="UPI"/>
    <s v="Delivered"/>
    <n v="4"/>
    <n v="32"/>
    <s v="Houston"/>
    <s v="Free"/>
    <s v="Female"/>
    <b v="1"/>
    <x v="25"/>
  </r>
  <r>
    <s v="ORD-21165"/>
    <s v="CUST-5145"/>
    <d v="2022-02-16T00:00:00"/>
    <s v="Books"/>
    <s v="Python for Beginners"/>
    <n v="29.99"/>
    <n v="3"/>
    <n v="0"/>
    <n v="29.99"/>
    <n v="89.97"/>
    <s v="PayPal"/>
    <s v="Delivered"/>
    <n v="3"/>
    <n v="32"/>
    <s v="Houston"/>
    <s v="Free"/>
    <s v="Female"/>
    <b v="1"/>
    <x v="17"/>
  </r>
  <r>
    <s v="ORD-21166"/>
    <s v="CUST-5145"/>
    <d v="2022-04-19T00:00:00"/>
    <s v="Beauty"/>
    <s v="Hair Mask"/>
    <n v="24.99"/>
    <n v="1"/>
    <n v="0"/>
    <n v="24.99"/>
    <n v="24.99"/>
    <s v="Debit Card"/>
    <s v="Shipped"/>
    <n v="4"/>
    <n v="32"/>
    <s v="Houston"/>
    <s v="Free"/>
    <s v="Female"/>
    <b v="1"/>
    <x v="12"/>
  </r>
  <r>
    <s v="ORD-21167"/>
    <s v="CUST-5145"/>
    <d v="2024-04-04T00:00:00"/>
    <s v="Clothing"/>
    <s v="Cotton T-Shirt"/>
    <n v="24.99"/>
    <n v="1"/>
    <n v="5"/>
    <n v="23.74"/>
    <n v="23.74"/>
    <s v="Debit Card"/>
    <s v="Delivered"/>
    <n v="5"/>
    <n v="32"/>
    <s v="Houston"/>
    <s v="Free"/>
    <s v="Female"/>
    <b v="1"/>
    <x v="27"/>
  </r>
  <r>
    <s v="ORD-21168"/>
    <s v="CUST-5145"/>
    <d v="2022-10-20T00:00:00"/>
    <s v="Electronics"/>
    <s v="USB-C Hub"/>
    <n v="34.99"/>
    <n v="4"/>
    <n v="10"/>
    <n v="31.49"/>
    <n v="125.96"/>
    <s v="UPI"/>
    <s v="Shipped"/>
    <n v="5"/>
    <n v="32"/>
    <s v="Houston"/>
    <s v="Free"/>
    <s v="Female"/>
    <b v="1"/>
    <x v="20"/>
  </r>
  <r>
    <s v="ORD-21169"/>
    <s v="CUST-5145"/>
    <d v="2023-06-01T00:00:00"/>
    <s v="Electronics"/>
    <s v="Bluetooth Speaker"/>
    <n v="49.99"/>
    <n v="1"/>
    <n v="0"/>
    <n v="49.99"/>
    <n v="49.99"/>
    <s v="Credit Card"/>
    <s v="Delivered"/>
    <n v="5"/>
    <n v="32"/>
    <s v="Houston"/>
    <s v="Free"/>
    <s v="Female"/>
    <b v="1"/>
    <x v="19"/>
  </r>
  <r>
    <s v="ORD-21170"/>
    <s v="CUST-5145"/>
    <d v="2024-08-26T00:00:00"/>
    <s v="Toys"/>
    <s v="Puzzle 1000pcs"/>
    <n v="24.99"/>
    <n v="2"/>
    <n v="0"/>
    <n v="24.99"/>
    <n v="49.98"/>
    <s v="Wallet"/>
    <s v="Delivered"/>
    <n v="1"/>
    <n v="32"/>
    <s v="Houston"/>
    <s v="Free"/>
    <s v="Female"/>
    <b v="1"/>
    <x v="26"/>
  </r>
  <r>
    <s v="ORD-21171"/>
    <s v="CUST-5145"/>
    <d v="2024-07-19T00:00:00"/>
    <s v="Clothing"/>
    <s v="Cotton T-Shirt"/>
    <n v="24.99"/>
    <n v="4"/>
    <n v="0"/>
    <n v="24.99"/>
    <n v="99.96"/>
    <s v="Credit Card"/>
    <s v="Returned"/>
    <m/>
    <n v="32"/>
    <s v="Houston"/>
    <s v="Free"/>
    <s v="Female"/>
    <b v="1"/>
    <x v="4"/>
  </r>
  <r>
    <s v="ORD-21172"/>
    <s v="CUST-5145"/>
    <d v="2024-04-04T00:00:00"/>
    <s v="Sports"/>
    <s v="Water Bottle"/>
    <n v="24.99"/>
    <n v="2"/>
    <n v="10"/>
    <n v="22.49"/>
    <n v="44.98"/>
    <s v="UPI"/>
    <s v="Delivered"/>
    <n v="5"/>
    <n v="32"/>
    <s v="Houston"/>
    <s v="Free"/>
    <s v="Female"/>
    <b v="1"/>
    <x v="27"/>
  </r>
  <r>
    <s v="ORD-21173"/>
    <s v="CUST-5145"/>
    <d v="2024-11-24T00:00:00"/>
    <s v="Sports"/>
    <s v="Resistance Bands"/>
    <n v="19.989999999999998"/>
    <n v="2"/>
    <n v="0"/>
    <n v="19.989999999999998"/>
    <n v="39.979999999999997"/>
    <s v="Wallet"/>
    <s v="Delivered"/>
    <n v="5"/>
    <n v="32"/>
    <s v="Houston"/>
    <s v="Free"/>
    <s v="Female"/>
    <b v="1"/>
    <x v="16"/>
  </r>
  <r>
    <s v="ORD-21174"/>
    <s v="CUST-5145"/>
    <d v="2022-03-25T00:00:00"/>
    <s v="Books"/>
    <s v="Python for Beginners"/>
    <n v="29.99"/>
    <n v="1"/>
    <n v="0"/>
    <n v="29.99"/>
    <n v="29.99"/>
    <s v="PayPal"/>
    <s v="Delivered"/>
    <n v="4"/>
    <n v="32"/>
    <s v="Houston"/>
    <s v="Free"/>
    <s v="Female"/>
    <b v="1"/>
    <x v="11"/>
  </r>
  <r>
    <s v="ORD-21175"/>
    <s v="CUST-5145"/>
    <d v="2024-08-22T00:00:00"/>
    <s v="Beauty"/>
    <s v="Lip Balm Set"/>
    <n v="14.99"/>
    <n v="2"/>
    <n v="0"/>
    <n v="14.99"/>
    <n v="29.98"/>
    <s v="Debit Card"/>
    <s v="Delivered"/>
    <n v="5"/>
    <n v="32"/>
    <s v="Houston"/>
    <s v="Free"/>
    <s v="Female"/>
    <b v="1"/>
    <x v="26"/>
  </r>
  <r>
    <s v="ORD-21176"/>
    <s v="CUST-5145"/>
    <d v="2023-09-05T00:00:00"/>
    <s v="Toys"/>
    <s v="LEGO Classic Set"/>
    <n v="49.99"/>
    <n v="1"/>
    <n v="10"/>
    <n v="44.99"/>
    <n v="44.99"/>
    <s v="Wallet"/>
    <s v="Delivered"/>
    <n v="4"/>
    <n v="32"/>
    <s v="Houston"/>
    <s v="Free"/>
    <s v="Female"/>
    <b v="1"/>
    <x v="6"/>
  </r>
  <r>
    <s v="ORD-21177"/>
    <s v="CUST-5145"/>
    <d v="2022-06-27T00:00:00"/>
    <s v="Beauty"/>
    <s v="Hair Mask"/>
    <n v="24.99"/>
    <n v="3"/>
    <n v="5"/>
    <n v="23.74"/>
    <n v="71.22"/>
    <s v="Debit Card"/>
    <s v="Delivered"/>
    <m/>
    <n v="32"/>
    <s v="Houston"/>
    <s v="Free"/>
    <s v="Female"/>
    <b v="1"/>
    <x v="8"/>
  </r>
  <r>
    <s v="ORD-21178"/>
    <s v="CUST-5146"/>
    <d v="2023-10-16T00:00:00"/>
    <s v="Electronics"/>
    <s v="Smart Watch"/>
    <n v="199.99"/>
    <n v="2"/>
    <n v="10"/>
    <n v="179.99"/>
    <n v="359.98"/>
    <s v="Credit Card"/>
    <s v="Delivered"/>
    <m/>
    <n v="63"/>
    <s v="Chicago"/>
    <s v="Silver"/>
    <s v="Female"/>
    <b v="1"/>
    <x v="13"/>
  </r>
  <r>
    <s v="ORD-21179"/>
    <s v="CUST-5146"/>
    <d v="2022-09-14T00:00:00"/>
    <s v="Clothing"/>
    <s v="Cotton T-Shirt"/>
    <n v="24.99"/>
    <n v="2"/>
    <n v="0"/>
    <n v="24.99"/>
    <n v="49.98"/>
    <s v="Wallet"/>
    <s v="Delivered"/>
    <n v="3"/>
    <n v="63"/>
    <s v="Chicago"/>
    <s v="Silver"/>
    <s v="Female"/>
    <b v="1"/>
    <x v="22"/>
  </r>
  <r>
    <s v="ORD-21180"/>
    <s v="CUST-5146"/>
    <d v="2024-01-09T00:00:00"/>
    <s v="Beauty"/>
    <s v="Moisturizer SPF 50"/>
    <n v="29.99"/>
    <n v="3"/>
    <n v="0"/>
    <n v="29.99"/>
    <n v="89.97"/>
    <s v="Credit Card"/>
    <s v="Delivered"/>
    <n v="4"/>
    <n v="63"/>
    <s v="Chicago"/>
    <s v="Silver"/>
    <s v="Female"/>
    <b v="1"/>
    <x v="25"/>
  </r>
  <r>
    <s v="ORD-21181"/>
    <s v="CUST-5146"/>
    <d v="2023-04-20T00:00:00"/>
    <s v="Sports"/>
    <s v="Resistance Bands"/>
    <n v="19.989999999999998"/>
    <n v="4"/>
    <n v="20"/>
    <n v="15.99"/>
    <n v="63.96"/>
    <s v="Credit Card"/>
    <s v="Delivered"/>
    <n v="5"/>
    <n v="63"/>
    <s v="Chicago"/>
    <s v="Silver"/>
    <s v="Female"/>
    <b v="1"/>
    <x v="18"/>
  </r>
  <r>
    <s v="ORD-21182"/>
    <s v="CUST-5146"/>
    <d v="2022-02-20T00:00:00"/>
    <s v="Books"/>
    <s v="Fiction Novel"/>
    <n v="14.99"/>
    <n v="3"/>
    <n v="0"/>
    <n v="14.99"/>
    <n v="44.97"/>
    <s v="PayPal"/>
    <s v="Shipped"/>
    <n v="5"/>
    <n v="63"/>
    <s v="Chicago"/>
    <s v="Silver"/>
    <s v="Female"/>
    <b v="1"/>
    <x v="17"/>
  </r>
  <r>
    <s v="ORD-21183"/>
    <s v="CUST-5146"/>
    <d v="2023-07-27T00:00:00"/>
    <s v="Home &amp; Kitchen"/>
    <s v="Air Fryer"/>
    <n v="89.99"/>
    <n v="2"/>
    <n v="5"/>
    <n v="85.49"/>
    <n v="170.98"/>
    <s v="Credit Card"/>
    <s v="Delivered"/>
    <n v="5"/>
    <n v="63"/>
    <s v="Chicago"/>
    <s v="Silver"/>
    <s v="Female"/>
    <b v="1"/>
    <x v="9"/>
  </r>
  <r>
    <s v="ORD-21184"/>
    <s v="CUST-5146"/>
    <d v="2023-09-06T00:00:00"/>
    <s v="Clothing"/>
    <s v="Denim Jacket"/>
    <n v="69.989999999999995"/>
    <n v="3"/>
    <n v="0"/>
    <n v="69.989999999999995"/>
    <n v="209.97"/>
    <s v="Credit Card"/>
    <s v="Delivered"/>
    <n v="1"/>
    <n v="63"/>
    <s v="Chicago"/>
    <s v="Silver"/>
    <s v="Female"/>
    <b v="1"/>
    <x v="6"/>
  </r>
  <r>
    <s v="ORD-21185"/>
    <s v="CUST-5147"/>
    <d v="2024-04-04T00:00:00"/>
    <s v="Electronics"/>
    <s v="USB-C Hub"/>
    <n v="34.99"/>
    <n v="3"/>
    <n v="0"/>
    <n v="34.99"/>
    <n v="104.97"/>
    <s v="Debit Card"/>
    <s v="Delivered"/>
    <n v="5"/>
    <n v="35"/>
    <s v="Philadelphia"/>
    <s v="Free"/>
    <s v="Female"/>
    <b v="1"/>
    <x v="27"/>
  </r>
  <r>
    <s v="ORD-21186"/>
    <s v="CUST-5147"/>
    <d v="2023-02-25T00:00:00"/>
    <s v="Books"/>
    <s v="Business Analytics"/>
    <n v="39.99"/>
    <n v="4"/>
    <n v="0"/>
    <n v="39.99"/>
    <n v="159.96"/>
    <s v="UPI"/>
    <s v="Delivered"/>
    <n v="5"/>
    <n v="35"/>
    <s v="Philadelphia"/>
    <s v="Free"/>
    <s v="Female"/>
    <b v="1"/>
    <x v="34"/>
  </r>
  <r>
    <s v="ORD-21187"/>
    <s v="CUST-5147"/>
    <d v="2024-10-23T00:00:00"/>
    <s v="Clothing"/>
    <s v="Yoga Pants"/>
    <n v="44.99"/>
    <n v="2"/>
    <n v="0"/>
    <n v="44.99"/>
    <n v="89.98"/>
    <s v="Credit Card"/>
    <s v="Shipped"/>
    <n v="5"/>
    <n v="35"/>
    <s v="Philadelphia"/>
    <s v="Free"/>
    <s v="Female"/>
    <b v="1"/>
    <x v="21"/>
  </r>
  <r>
    <s v="ORD-21188"/>
    <s v="CUST-5147"/>
    <d v="2023-10-03T00:00:00"/>
    <s v="Beauty"/>
    <s v="Moisturizer SPF 50"/>
    <n v="29.99"/>
    <n v="2"/>
    <n v="0"/>
    <n v="29.99"/>
    <n v="59.98"/>
    <s v="Debit Card"/>
    <s v="Delivered"/>
    <n v="5"/>
    <n v="35"/>
    <s v="Philadelphia"/>
    <s v="Free"/>
    <s v="Female"/>
    <b v="1"/>
    <x v="13"/>
  </r>
  <r>
    <s v="ORD-21189"/>
    <s v="CUST-5147"/>
    <d v="2023-09-04T00:00:00"/>
    <s v="Sports"/>
    <s v="Jump Rope"/>
    <n v="14.99"/>
    <n v="2"/>
    <n v="0"/>
    <n v="14.99"/>
    <n v="29.98"/>
    <s v="UPI"/>
    <s v="Delivered"/>
    <m/>
    <n v="35"/>
    <s v="Philadelphia"/>
    <s v="Free"/>
    <s v="Female"/>
    <b v="1"/>
    <x v="6"/>
  </r>
  <r>
    <s v="ORD-21190"/>
    <s v="CUST-5147"/>
    <d v="2022-11-08T00:00:00"/>
    <s v="Electronics"/>
    <s v="Bluetooth Speaker"/>
    <n v="49.99"/>
    <n v="1"/>
    <n v="20"/>
    <n v="39.99"/>
    <n v="39.99"/>
    <s v="PayPal"/>
    <s v="Delivered"/>
    <n v="5"/>
    <n v="35"/>
    <s v="Philadelphia"/>
    <s v="Free"/>
    <s v="Female"/>
    <b v="1"/>
    <x v="3"/>
  </r>
  <r>
    <s v="ORD-21191"/>
    <s v="CUST-5147"/>
    <d v="2023-05-27T00:00:00"/>
    <s v="Clothing"/>
    <s v="Denim Jacket"/>
    <n v="69.989999999999995"/>
    <n v="4"/>
    <n v="5"/>
    <n v="66.489999999999995"/>
    <n v="265.95999999999998"/>
    <s v="Debit Card"/>
    <s v="Delivered"/>
    <n v="5"/>
    <n v="35"/>
    <s v="Philadelphia"/>
    <s v="Free"/>
    <s v="Female"/>
    <b v="1"/>
    <x v="5"/>
  </r>
  <r>
    <s v="ORD-21192"/>
    <s v="CUST-5147"/>
    <d v="2022-03-10T00:00:00"/>
    <s v="Clothing"/>
    <s v="Cotton T-Shirt"/>
    <n v="24.99"/>
    <n v="2"/>
    <n v="20"/>
    <n v="19.989999999999998"/>
    <n v="39.979999999999997"/>
    <s v="Debit Card"/>
    <s v="Delivered"/>
    <m/>
    <n v="35"/>
    <s v="Philadelphia"/>
    <s v="Free"/>
    <s v="Female"/>
    <b v="1"/>
    <x v="11"/>
  </r>
  <r>
    <s v="ORD-21193"/>
    <s v="CUST-5148"/>
    <d v="2022-03-01T00:00:00"/>
    <s v="Home &amp; Kitchen"/>
    <s v="Non-stick Pan Set"/>
    <n v="44.99"/>
    <n v="2"/>
    <n v="15"/>
    <n v="38.24"/>
    <n v="76.48"/>
    <s v="PayPal"/>
    <s v="Shipped"/>
    <n v="3"/>
    <n v="40"/>
    <s v="Houston"/>
    <s v="Platinum"/>
    <s v="Female"/>
    <b v="1"/>
    <x v="11"/>
  </r>
  <r>
    <s v="ORD-21194"/>
    <s v="CUST-5148"/>
    <d v="2023-06-22T00:00:00"/>
    <s v="Clothing"/>
    <s v="Cotton T-Shirt"/>
    <n v="24.99"/>
    <n v="2"/>
    <n v="20"/>
    <n v="19.989999999999998"/>
    <n v="39.979999999999997"/>
    <s v="PayPal"/>
    <s v="Delivered"/>
    <m/>
    <n v="40"/>
    <s v="Houston"/>
    <s v="Platinum"/>
    <s v="Female"/>
    <b v="1"/>
    <x v="19"/>
  </r>
  <r>
    <s v="ORD-21195"/>
    <s v="CUST-5148"/>
    <d v="2024-12-26T00:00:00"/>
    <s v="Books"/>
    <s v="Data Science Handbook"/>
    <n v="49.99"/>
    <n v="4"/>
    <n v="5"/>
    <n v="47.49"/>
    <n v="189.96"/>
    <s v="PayPal"/>
    <s v="Delivered"/>
    <m/>
    <n v="40"/>
    <s v="Houston"/>
    <s v="Platinum"/>
    <s v="Female"/>
    <b v="1"/>
    <x v="32"/>
  </r>
  <r>
    <s v="ORD-21196"/>
    <s v="CUST-5148"/>
    <d v="2023-03-07T00:00:00"/>
    <s v="Toys"/>
    <s v="Remote Control Car"/>
    <n v="39.99"/>
    <n v="3"/>
    <n v="0"/>
    <n v="39.99"/>
    <n v="119.97"/>
    <s v="UPI"/>
    <s v="Delivered"/>
    <n v="4"/>
    <n v="40"/>
    <s v="Houston"/>
    <s v="Platinum"/>
    <s v="Female"/>
    <b v="1"/>
    <x v="23"/>
  </r>
  <r>
    <s v="ORD-21197"/>
    <s v="CUST-5148"/>
    <d v="2023-05-20T00:00:00"/>
    <s v="Beauty"/>
    <s v="Hair Mask"/>
    <n v="24.99"/>
    <n v="1"/>
    <n v="0"/>
    <n v="24.99"/>
    <n v="24.99"/>
    <s v="Credit Card"/>
    <s v="Delivered"/>
    <n v="3"/>
    <n v="40"/>
    <s v="Houston"/>
    <s v="Platinum"/>
    <s v="Female"/>
    <b v="1"/>
    <x v="5"/>
  </r>
  <r>
    <s v="ORD-21198"/>
    <s v="CUST-5148"/>
    <d v="2023-05-26T00:00:00"/>
    <s v="Sports"/>
    <s v="Jump Rope"/>
    <n v="14.99"/>
    <n v="4"/>
    <n v="0"/>
    <n v="14.99"/>
    <n v="59.96"/>
    <s v="UPI"/>
    <s v="Delivered"/>
    <n v="5"/>
    <n v="40"/>
    <s v="Houston"/>
    <s v="Platinum"/>
    <s v="Female"/>
    <b v="1"/>
    <x v="5"/>
  </r>
  <r>
    <s v="ORD-21199"/>
    <s v="CUST-5148"/>
    <d v="2024-04-28T00:00:00"/>
    <s v="Books"/>
    <s v="Python for Beginners"/>
    <n v="29.99"/>
    <n v="1"/>
    <n v="0"/>
    <n v="29.99"/>
    <n v="29.99"/>
    <s v="Credit Card"/>
    <s v="Delivered"/>
    <m/>
    <n v="40"/>
    <s v="Houston"/>
    <s v="Platinum"/>
    <s v="Female"/>
    <b v="1"/>
    <x v="27"/>
  </r>
  <r>
    <s v="ORD-21200"/>
    <s v="CUST-5148"/>
    <d v="2024-09-05T00:00:00"/>
    <s v="Beauty"/>
    <s v="Lip Balm Set"/>
    <n v="14.99"/>
    <n v="1"/>
    <n v="20"/>
    <n v="11.99"/>
    <n v="11.99"/>
    <s v="PayPal"/>
    <s v="Delivered"/>
    <n v="5"/>
    <n v="40"/>
    <s v="Houston"/>
    <s v="Platinum"/>
    <s v="Female"/>
    <b v="1"/>
    <x v="15"/>
  </r>
  <r>
    <s v="ORD-21201"/>
    <s v="CUST-5148"/>
    <d v="2024-12-27T00:00:00"/>
    <s v="Sports"/>
    <s v="Yoga Mat"/>
    <n v="29.99"/>
    <n v="2"/>
    <n v="0"/>
    <n v="29.99"/>
    <n v="59.98"/>
    <s v="Debit Card"/>
    <s v="Delivered"/>
    <n v="4"/>
    <n v="40"/>
    <s v="Houston"/>
    <s v="Platinum"/>
    <s v="Female"/>
    <b v="1"/>
    <x v="32"/>
  </r>
  <r>
    <s v="ORD-21202"/>
    <s v="CUST-5148"/>
    <d v="2023-12-08T00:00:00"/>
    <s v="Beauty"/>
    <s v="Lip Balm Set"/>
    <n v="14.99"/>
    <n v="1"/>
    <n v="0"/>
    <n v="14.99"/>
    <n v="14.99"/>
    <s v="Credit Card"/>
    <s v="Delivered"/>
    <m/>
    <n v="40"/>
    <s v="Houston"/>
    <s v="Platinum"/>
    <s v="Female"/>
    <b v="1"/>
    <x v="14"/>
  </r>
  <r>
    <s v="ORD-21203"/>
    <s v="CUST-5148"/>
    <d v="2022-03-18T00:00:00"/>
    <s v="Sports"/>
    <s v="Water Bottle"/>
    <n v="24.99"/>
    <n v="3"/>
    <n v="20"/>
    <n v="19.989999999999998"/>
    <n v="59.97"/>
    <s v="PayPal"/>
    <s v="Delivered"/>
    <n v="3"/>
    <n v="40"/>
    <s v="Houston"/>
    <s v="Platinum"/>
    <s v="Female"/>
    <b v="1"/>
    <x v="11"/>
  </r>
  <r>
    <s v="ORD-21204"/>
    <s v="CUST-5148"/>
    <d v="2023-04-13T00:00:00"/>
    <s v="Clothing"/>
    <s v="Yoga Pants"/>
    <n v="44.99"/>
    <n v="2"/>
    <n v="0"/>
    <n v="44.99"/>
    <n v="89.98"/>
    <s v="Debit Card"/>
    <s v="Delivered"/>
    <n v="5"/>
    <n v="40"/>
    <s v="Houston"/>
    <s v="Platinum"/>
    <s v="Female"/>
    <b v="1"/>
    <x v="18"/>
  </r>
  <r>
    <s v="ORD-21205"/>
    <s v="CUST-5148"/>
    <d v="2022-05-26T00:00:00"/>
    <s v="Toys"/>
    <s v="LEGO Classic Set"/>
    <n v="49.99"/>
    <n v="4"/>
    <n v="5"/>
    <n v="47.49"/>
    <n v="189.96"/>
    <s v="Wallet"/>
    <s v="Delivered"/>
    <m/>
    <n v="40"/>
    <s v="Houston"/>
    <s v="Platinum"/>
    <s v="Female"/>
    <b v="1"/>
    <x v="31"/>
  </r>
  <r>
    <s v="ORD-21206"/>
    <s v="CUST-5149"/>
    <d v="2022-01-08T00:00:00"/>
    <s v="Clothing"/>
    <s v="Yoga Pants"/>
    <n v="44.99"/>
    <n v="1"/>
    <n v="15"/>
    <n v="38.24"/>
    <n v="38.24"/>
    <s v="Credit Card"/>
    <s v="Shipped"/>
    <m/>
    <n v="27"/>
    <s v="San Diego"/>
    <s v="Free"/>
    <s v="Female"/>
    <b v="1"/>
    <x v="2"/>
  </r>
  <r>
    <s v="ORD-21207"/>
    <s v="CUST-5149"/>
    <d v="2023-03-19T00:00:00"/>
    <s v="Beauty"/>
    <s v="Hair Mask"/>
    <n v="24.99"/>
    <n v="1"/>
    <n v="20"/>
    <n v="19.989999999999998"/>
    <n v="19.989999999999998"/>
    <s v="Wallet"/>
    <s v="Delivered"/>
    <n v="4"/>
    <n v="27"/>
    <s v="San Diego"/>
    <s v="Free"/>
    <s v="Female"/>
    <b v="1"/>
    <x v="23"/>
  </r>
  <r>
    <s v="ORD-21208"/>
    <s v="CUST-5149"/>
    <d v="2024-12-22T00:00:00"/>
    <s v="Beauty"/>
    <s v="Hair Mask"/>
    <n v="24.99"/>
    <n v="2"/>
    <n v="0"/>
    <n v="24.99"/>
    <n v="49.98"/>
    <s v="Wallet"/>
    <s v="Delivered"/>
    <n v="5"/>
    <n v="27"/>
    <s v="San Diego"/>
    <s v="Free"/>
    <s v="Female"/>
    <b v="1"/>
    <x v="32"/>
  </r>
  <r>
    <s v="ORD-21209"/>
    <s v="CUST-5150"/>
    <d v="2024-05-06T00:00:00"/>
    <s v="Beauty"/>
    <s v="Hair Mask"/>
    <n v="24.99"/>
    <n v="2"/>
    <n v="0"/>
    <n v="24.99"/>
    <n v="49.98"/>
    <s v="PayPal"/>
    <s v="Processing"/>
    <n v="5"/>
    <n v="21"/>
    <s v="New York"/>
    <s v="Free"/>
    <s v="Female"/>
    <b v="1"/>
    <x v="30"/>
  </r>
  <r>
    <s v="ORD-21210"/>
    <s v="CUST-5150"/>
    <d v="2024-02-06T00:00:00"/>
    <s v="Home &amp; Kitchen"/>
    <s v="Blender"/>
    <n v="64.989999999999995"/>
    <n v="3"/>
    <n v="0"/>
    <n v="64.989999999999995"/>
    <n v="194.97"/>
    <s v="Credit Card"/>
    <s v="Delivered"/>
    <n v="4"/>
    <n v="21"/>
    <s v="New York"/>
    <s v="Free"/>
    <s v="Female"/>
    <b v="1"/>
    <x v="0"/>
  </r>
  <r>
    <s v="ORD-21211"/>
    <s v="CUST-5150"/>
    <d v="2024-06-08T00:00:00"/>
    <s v="Clothing"/>
    <s v="Denim Jacket"/>
    <n v="69.989999999999995"/>
    <n v="3"/>
    <n v="10"/>
    <n v="62.99"/>
    <n v="188.97"/>
    <s v="UPI"/>
    <s v="Delivered"/>
    <n v="4"/>
    <n v="21"/>
    <s v="New York"/>
    <s v="Free"/>
    <s v="Female"/>
    <b v="1"/>
    <x v="35"/>
  </r>
  <r>
    <s v="ORD-21212"/>
    <s v="CUST-5150"/>
    <d v="2024-04-23T00:00:00"/>
    <s v="Clothing"/>
    <s v="Yoga Pants"/>
    <n v="44.99"/>
    <n v="3"/>
    <n v="15"/>
    <n v="38.24"/>
    <n v="114.72"/>
    <s v="Debit Card"/>
    <s v="Processing"/>
    <n v="2"/>
    <n v="21"/>
    <s v="New York"/>
    <s v="Free"/>
    <s v="Female"/>
    <b v="1"/>
    <x v="27"/>
  </r>
  <r>
    <s v="ORD-21213"/>
    <s v="CUST-5150"/>
    <d v="2024-06-06T00:00:00"/>
    <s v="Clothing"/>
    <s v="Cotton T-Shirt"/>
    <n v="24.99"/>
    <n v="1"/>
    <n v="0"/>
    <n v="24.99"/>
    <n v="24.99"/>
    <s v="PayPal"/>
    <s v="Delivered"/>
    <n v="4"/>
    <n v="21"/>
    <s v="New York"/>
    <s v="Free"/>
    <s v="Female"/>
    <b v="1"/>
    <x v="35"/>
  </r>
  <r>
    <s v="ORD-21214"/>
    <s v="CUST-5150"/>
    <d v="2023-11-19T00:00:00"/>
    <s v="Books"/>
    <s v="Fiction Novel"/>
    <n v="14.99"/>
    <n v="1"/>
    <n v="15"/>
    <n v="12.74"/>
    <n v="12.74"/>
    <s v="Debit Card"/>
    <s v="Delivered"/>
    <n v="5"/>
    <n v="21"/>
    <s v="New York"/>
    <s v="Free"/>
    <s v="Female"/>
    <b v="1"/>
    <x v="29"/>
  </r>
  <r>
    <s v="ORD-21215"/>
    <s v="CUST-5150"/>
    <d v="2024-04-12T00:00:00"/>
    <s v="Electronics"/>
    <s v="Wireless Earbuds"/>
    <n v="79.989999999999995"/>
    <n v="3"/>
    <n v="0"/>
    <n v="79.989999999999995"/>
    <n v="239.97"/>
    <s v="PayPal"/>
    <s v="Delivered"/>
    <n v="3"/>
    <n v="21"/>
    <s v="New York"/>
    <s v="Free"/>
    <s v="Female"/>
    <b v="1"/>
    <x v="27"/>
  </r>
  <r>
    <s v="ORD-21216"/>
    <s v="CUST-5150"/>
    <d v="2022-01-09T00:00:00"/>
    <s v="Sports"/>
    <s v="Resistance Bands"/>
    <n v="19.989999999999998"/>
    <n v="1"/>
    <n v="5"/>
    <n v="18.989999999999998"/>
    <n v="18.989999999999998"/>
    <s v="Wallet"/>
    <s v="Delivered"/>
    <n v="5"/>
    <n v="21"/>
    <s v="New York"/>
    <s v="Free"/>
    <s v="Female"/>
    <b v="1"/>
    <x v="2"/>
  </r>
  <r>
    <s v="ORD-21217"/>
    <s v="CUST-5150"/>
    <d v="2024-07-20T00:00:00"/>
    <s v="Clothing"/>
    <s v="Running Shoes"/>
    <n v="89.99"/>
    <n v="2"/>
    <n v="0"/>
    <n v="89.99"/>
    <n v="179.98"/>
    <s v="PayPal"/>
    <s v="Shipped"/>
    <n v="3"/>
    <n v="21"/>
    <s v="New York"/>
    <s v="Free"/>
    <s v="Female"/>
    <b v="1"/>
    <x v="4"/>
  </r>
  <r>
    <s v="ORD-21218"/>
    <s v="CUST-5150"/>
    <d v="2023-05-15T00:00:00"/>
    <s v="Home &amp; Kitchen"/>
    <s v="Non-stick Pan Set"/>
    <n v="44.99"/>
    <n v="4"/>
    <n v="10"/>
    <n v="40.49"/>
    <n v="161.96"/>
    <s v="Wallet"/>
    <s v="Shipped"/>
    <m/>
    <n v="21"/>
    <s v="New York"/>
    <s v="Free"/>
    <s v="Female"/>
    <b v="1"/>
    <x v="5"/>
  </r>
  <r>
    <s v="ORD-21219"/>
    <s v="CUST-5151"/>
    <d v="2022-08-03T00:00:00"/>
    <s v="Toys"/>
    <s v="LEGO Classic Set"/>
    <n v="49.99"/>
    <n v="3"/>
    <n v="20"/>
    <n v="39.99"/>
    <n v="119.97"/>
    <s v="UPI"/>
    <s v="Delivered"/>
    <n v="3"/>
    <n v="59"/>
    <s v="Dallas"/>
    <s v="Silver"/>
    <s v="Male"/>
    <b v="1"/>
    <x v="7"/>
  </r>
  <r>
    <s v="ORD-21220"/>
    <s v="CUST-5151"/>
    <d v="2022-05-05T00:00:00"/>
    <s v="Beauty"/>
    <s v="Lip Balm Set"/>
    <n v="14.99"/>
    <n v="2"/>
    <n v="5"/>
    <n v="14.24"/>
    <n v="28.48"/>
    <s v="PayPal"/>
    <s v="Delivered"/>
    <m/>
    <n v="59"/>
    <s v="Dallas"/>
    <s v="Silver"/>
    <s v="Male"/>
    <b v="1"/>
    <x v="31"/>
  </r>
  <r>
    <s v="ORD-21221"/>
    <s v="CUST-5151"/>
    <d v="2023-05-05T00:00:00"/>
    <s v="Clothing"/>
    <s v="Cotton T-Shirt"/>
    <n v="24.99"/>
    <n v="2"/>
    <n v="20"/>
    <n v="19.989999999999998"/>
    <n v="39.979999999999997"/>
    <s v="Debit Card"/>
    <s v="Delivered"/>
    <m/>
    <n v="59"/>
    <s v="Dallas"/>
    <s v="Silver"/>
    <s v="Male"/>
    <b v="1"/>
    <x v="5"/>
  </r>
  <r>
    <s v="ORD-21222"/>
    <s v="CUST-5151"/>
    <d v="2023-04-18T00:00:00"/>
    <s v="Home &amp; Kitchen"/>
    <s v="Coffee Maker"/>
    <n v="59.99"/>
    <n v="4"/>
    <n v="15"/>
    <n v="50.99"/>
    <n v="203.96"/>
    <s v="Wallet"/>
    <s v="Delivered"/>
    <m/>
    <n v="59"/>
    <s v="Dallas"/>
    <s v="Silver"/>
    <s v="Male"/>
    <b v="1"/>
    <x v="18"/>
  </r>
  <r>
    <s v="ORD-21223"/>
    <s v="CUST-5151"/>
    <d v="2024-02-10T00:00:00"/>
    <s v="Books"/>
    <s v="Python for Beginners"/>
    <n v="29.99"/>
    <n v="4"/>
    <n v="5"/>
    <n v="28.49"/>
    <n v="113.96"/>
    <s v="UPI"/>
    <s v="Delivered"/>
    <m/>
    <n v="59"/>
    <s v="Dallas"/>
    <s v="Silver"/>
    <s v="Male"/>
    <b v="1"/>
    <x v="0"/>
  </r>
  <r>
    <s v="ORD-21224"/>
    <s v="CUST-5151"/>
    <d v="2023-06-20T00:00:00"/>
    <s v="Home &amp; Kitchen"/>
    <s v="Blender"/>
    <n v="64.989999999999995"/>
    <n v="2"/>
    <n v="5"/>
    <n v="61.74"/>
    <n v="123.48"/>
    <s v="Wallet"/>
    <s v="Delivered"/>
    <n v="4"/>
    <n v="59"/>
    <s v="Dallas"/>
    <s v="Silver"/>
    <s v="Male"/>
    <b v="1"/>
    <x v="19"/>
  </r>
  <r>
    <s v="ORD-21225"/>
    <s v="CUST-5151"/>
    <d v="2023-04-21T00:00:00"/>
    <s v="Home &amp; Kitchen"/>
    <s v="Non-stick Pan Set"/>
    <n v="44.99"/>
    <n v="4"/>
    <n v="0"/>
    <n v="44.99"/>
    <n v="179.96"/>
    <s v="UPI"/>
    <s v="Delivered"/>
    <m/>
    <n v="59"/>
    <s v="Dallas"/>
    <s v="Silver"/>
    <s v="Male"/>
    <b v="1"/>
    <x v="18"/>
  </r>
  <r>
    <s v="ORD-21226"/>
    <s v="CUST-5151"/>
    <d v="2022-09-05T00:00:00"/>
    <s v="Electronics"/>
    <s v="USB-C Hub"/>
    <n v="34.99"/>
    <n v="3"/>
    <n v="5"/>
    <n v="33.24"/>
    <n v="99.72"/>
    <s v="PayPal"/>
    <s v="Delivered"/>
    <n v="5"/>
    <n v="59"/>
    <s v="Dallas"/>
    <s v="Silver"/>
    <s v="Male"/>
    <b v="1"/>
    <x v="22"/>
  </r>
  <r>
    <s v="ORD-21227"/>
    <s v="CUST-5151"/>
    <d v="2022-06-13T00:00:00"/>
    <s v="Sports"/>
    <s v="Water Bottle"/>
    <n v="24.99"/>
    <n v="1"/>
    <n v="10"/>
    <n v="22.49"/>
    <n v="22.49"/>
    <s v="Debit Card"/>
    <s v="Delivered"/>
    <n v="5"/>
    <n v="59"/>
    <s v="Dallas"/>
    <s v="Silver"/>
    <s v="Male"/>
    <b v="1"/>
    <x v="8"/>
  </r>
  <r>
    <s v="ORD-21228"/>
    <s v="CUST-5152"/>
    <d v="2024-09-08T00:00:00"/>
    <s v="Toys"/>
    <s v="Action Figure"/>
    <n v="19.989999999999998"/>
    <n v="2"/>
    <n v="15"/>
    <n v="16.989999999999998"/>
    <n v="33.979999999999997"/>
    <s v="Wallet"/>
    <s v="Delivered"/>
    <n v="3"/>
    <n v="55"/>
    <s v="San Antonio"/>
    <s v="Silver"/>
    <s v="Male"/>
    <b v="1"/>
    <x v="15"/>
  </r>
  <r>
    <s v="ORD-21229"/>
    <s v="CUST-5152"/>
    <d v="2024-12-17T00:00:00"/>
    <s v="Beauty"/>
    <s v="Hair Mask"/>
    <n v="24.99"/>
    <n v="1"/>
    <n v="0"/>
    <n v="24.99"/>
    <n v="24.99"/>
    <s v="PayPal"/>
    <s v="Delivered"/>
    <m/>
    <n v="55"/>
    <s v="San Antonio"/>
    <s v="Silver"/>
    <s v="Male"/>
    <b v="1"/>
    <x v="32"/>
  </r>
  <r>
    <s v="ORD-21230"/>
    <s v="CUST-5152"/>
    <d v="2023-04-19T00:00:00"/>
    <s v="Clothing"/>
    <s v="Yoga Pants"/>
    <n v="44.99"/>
    <n v="1"/>
    <n v="10"/>
    <n v="40.49"/>
    <n v="40.49"/>
    <s v="UPI"/>
    <s v="Delivered"/>
    <m/>
    <n v="55"/>
    <s v="San Antonio"/>
    <s v="Silver"/>
    <s v="Male"/>
    <b v="1"/>
    <x v="18"/>
  </r>
  <r>
    <s v="ORD-21231"/>
    <s v="CUST-5152"/>
    <d v="2024-07-15T00:00:00"/>
    <s v="Electronics"/>
    <s v="Wireless Earbuds"/>
    <n v="79.989999999999995"/>
    <n v="1"/>
    <n v="0"/>
    <n v="79.989999999999995"/>
    <n v="79.989999999999995"/>
    <s v="Wallet"/>
    <s v="Delivered"/>
    <n v="5"/>
    <n v="55"/>
    <s v="San Antonio"/>
    <s v="Silver"/>
    <s v="Male"/>
    <b v="1"/>
    <x v="4"/>
  </r>
  <r>
    <s v="ORD-21232"/>
    <s v="CUST-5153"/>
    <d v="2022-02-13T00:00:00"/>
    <s v="Sports"/>
    <s v="Water Bottle"/>
    <n v="24.99"/>
    <n v="4"/>
    <n v="20"/>
    <n v="19.989999999999998"/>
    <n v="79.959999999999994"/>
    <s v="Debit Card"/>
    <s v="Delivered"/>
    <n v="4"/>
    <n v="55"/>
    <s v="Philadelphia"/>
    <s v="Silver"/>
    <s v="Male"/>
    <b v="1"/>
    <x v="17"/>
  </r>
  <r>
    <s v="ORD-21233"/>
    <s v="CUST-5154"/>
    <d v="2023-07-12T00:00:00"/>
    <s v="Clothing"/>
    <s v="Yoga Pants"/>
    <n v="44.99"/>
    <n v="2"/>
    <n v="0"/>
    <n v="44.99"/>
    <n v="89.98"/>
    <s v="Debit Card"/>
    <s v="Delivered"/>
    <m/>
    <n v="35"/>
    <s v="San Antonio"/>
    <s v="Silver"/>
    <s v="Female"/>
    <b v="1"/>
    <x v="9"/>
  </r>
  <r>
    <s v="ORD-21234"/>
    <s v="CUST-5154"/>
    <d v="2023-01-09T00:00:00"/>
    <s v="Clothing"/>
    <s v="Running Shoes"/>
    <n v="89.99"/>
    <n v="1"/>
    <n v="0"/>
    <n v="89.99"/>
    <n v="89.99"/>
    <s v="PayPal"/>
    <s v="Cancelled"/>
    <n v="4"/>
    <n v="35"/>
    <s v="San Antonio"/>
    <s v="Silver"/>
    <s v="Female"/>
    <b v="1"/>
    <x v="10"/>
  </r>
  <r>
    <s v="ORD-21235"/>
    <s v="CUST-5154"/>
    <d v="2022-02-06T00:00:00"/>
    <s v="Toys"/>
    <s v="Action Figure"/>
    <n v="19.989999999999998"/>
    <n v="2"/>
    <n v="5"/>
    <n v="18.989999999999998"/>
    <n v="37.979999999999997"/>
    <s v="PayPal"/>
    <s v="Delivered"/>
    <n v="3"/>
    <n v="35"/>
    <s v="San Antonio"/>
    <s v="Silver"/>
    <s v="Female"/>
    <b v="1"/>
    <x v="17"/>
  </r>
  <r>
    <s v="ORD-21236"/>
    <s v="CUST-5154"/>
    <d v="2022-06-26T00:00:00"/>
    <s v="Books"/>
    <s v="Python for Beginners"/>
    <n v="29.99"/>
    <n v="1"/>
    <n v="0"/>
    <n v="29.99"/>
    <n v="29.99"/>
    <s v="Wallet"/>
    <s v="Delivered"/>
    <n v="5"/>
    <n v="35"/>
    <s v="San Antonio"/>
    <s v="Silver"/>
    <s v="Female"/>
    <b v="1"/>
    <x v="8"/>
  </r>
  <r>
    <s v="ORD-21237"/>
    <s v="CUST-5154"/>
    <d v="2023-05-15T00:00:00"/>
    <s v="Books"/>
    <s v="Data Science Handbook"/>
    <n v="49.99"/>
    <n v="4"/>
    <n v="0"/>
    <n v="49.99"/>
    <n v="199.96"/>
    <s v="PayPal"/>
    <s v="Delivered"/>
    <m/>
    <n v="35"/>
    <s v="San Antonio"/>
    <s v="Silver"/>
    <s v="Female"/>
    <b v="1"/>
    <x v="5"/>
  </r>
  <r>
    <s v="ORD-21238"/>
    <s v="CUST-5154"/>
    <d v="2023-04-25T00:00:00"/>
    <s v="Clothing"/>
    <s v="Denim Jacket"/>
    <n v="69.989999999999995"/>
    <n v="4"/>
    <n v="0"/>
    <n v="69.989999999999995"/>
    <n v="279.95999999999998"/>
    <s v="PayPal"/>
    <s v="Delivered"/>
    <m/>
    <n v="35"/>
    <s v="San Antonio"/>
    <s v="Silver"/>
    <s v="Female"/>
    <b v="1"/>
    <x v="18"/>
  </r>
  <r>
    <s v="ORD-21239"/>
    <s v="CUST-5154"/>
    <d v="2023-05-24T00:00:00"/>
    <s v="Sports"/>
    <s v="Jump Rope"/>
    <n v="14.99"/>
    <n v="3"/>
    <n v="0"/>
    <n v="14.99"/>
    <n v="44.97"/>
    <s v="Wallet"/>
    <s v="Delivered"/>
    <n v="4"/>
    <n v="35"/>
    <s v="San Antonio"/>
    <s v="Silver"/>
    <s v="Female"/>
    <b v="1"/>
    <x v="5"/>
  </r>
  <r>
    <s v="ORD-21240"/>
    <s v="CUST-5154"/>
    <d v="2024-11-28T00:00:00"/>
    <s v="Home &amp; Kitchen"/>
    <s v="Non-stick Pan Set"/>
    <n v="44.99"/>
    <n v="4"/>
    <n v="5"/>
    <n v="42.74"/>
    <n v="170.96"/>
    <s v="PayPal"/>
    <s v="Delivered"/>
    <n v="5"/>
    <n v="35"/>
    <s v="San Antonio"/>
    <s v="Silver"/>
    <s v="Female"/>
    <b v="1"/>
    <x v="16"/>
  </r>
  <r>
    <s v="ORD-21241"/>
    <s v="CUST-5154"/>
    <d v="2022-02-09T00:00:00"/>
    <s v="Sports"/>
    <s v="Yoga Mat"/>
    <n v="29.99"/>
    <n v="1"/>
    <n v="15"/>
    <n v="25.49"/>
    <n v="25.49"/>
    <s v="Debit Card"/>
    <s v="Delivered"/>
    <n v="5"/>
    <n v="35"/>
    <s v="San Antonio"/>
    <s v="Silver"/>
    <s v="Female"/>
    <b v="1"/>
    <x v="17"/>
  </r>
  <r>
    <s v="ORD-21242"/>
    <s v="CUST-5154"/>
    <d v="2023-09-01T00:00:00"/>
    <s v="Sports"/>
    <s v="Yoga Mat"/>
    <n v="29.99"/>
    <n v="1"/>
    <n v="10"/>
    <n v="26.99"/>
    <n v="26.99"/>
    <s v="PayPal"/>
    <s v="Delivered"/>
    <m/>
    <n v="35"/>
    <s v="San Antonio"/>
    <s v="Silver"/>
    <s v="Female"/>
    <b v="1"/>
    <x v="6"/>
  </r>
  <r>
    <s v="ORD-21243"/>
    <s v="CUST-5154"/>
    <d v="2023-02-06T00:00:00"/>
    <s v="Toys"/>
    <s v="Remote Control Car"/>
    <n v="39.99"/>
    <n v="4"/>
    <n v="10"/>
    <n v="35.99"/>
    <n v="143.96"/>
    <s v="UPI"/>
    <s v="Delivered"/>
    <n v="3"/>
    <n v="35"/>
    <s v="San Antonio"/>
    <s v="Silver"/>
    <s v="Female"/>
    <b v="1"/>
    <x v="34"/>
  </r>
  <r>
    <s v="ORD-21244"/>
    <s v="CUST-5154"/>
    <d v="2023-08-07T00:00:00"/>
    <s v="Books"/>
    <s v="Fiction Novel"/>
    <n v="14.99"/>
    <n v="4"/>
    <n v="0"/>
    <n v="14.99"/>
    <n v="59.96"/>
    <s v="Credit Card"/>
    <s v="Cancelled"/>
    <n v="5"/>
    <n v="35"/>
    <s v="San Antonio"/>
    <s v="Silver"/>
    <s v="Female"/>
    <b v="1"/>
    <x v="24"/>
  </r>
  <r>
    <s v="ORD-21245"/>
    <s v="CUST-5154"/>
    <d v="2022-11-21T00:00:00"/>
    <s v="Clothing"/>
    <s v="Yoga Pants"/>
    <n v="44.99"/>
    <n v="3"/>
    <n v="20"/>
    <n v="35.99"/>
    <n v="107.97"/>
    <s v="PayPal"/>
    <s v="Delivered"/>
    <m/>
    <n v="35"/>
    <s v="San Antonio"/>
    <s v="Silver"/>
    <s v="Female"/>
    <b v="1"/>
    <x v="3"/>
  </r>
  <r>
    <s v="ORD-21246"/>
    <s v="CUST-5155"/>
    <d v="2022-07-20T00:00:00"/>
    <s v="Beauty"/>
    <s v="Moisturizer SPF 50"/>
    <n v="29.99"/>
    <n v="3"/>
    <n v="10"/>
    <n v="26.99"/>
    <n v="80.97"/>
    <s v="Debit Card"/>
    <s v="Delivered"/>
    <m/>
    <n v="25"/>
    <s v="Los Angeles"/>
    <s v="Free"/>
    <s v="Male"/>
    <b v="1"/>
    <x v="33"/>
  </r>
  <r>
    <s v="ORD-21247"/>
    <s v="CUST-5155"/>
    <d v="2023-12-11T00:00:00"/>
    <s v="Beauty"/>
    <s v="Face Serum"/>
    <n v="39.99"/>
    <n v="1"/>
    <n v="0"/>
    <n v="39.99"/>
    <n v="39.99"/>
    <s v="Debit Card"/>
    <s v="Delivered"/>
    <n v="5"/>
    <n v="25"/>
    <s v="Los Angeles"/>
    <s v="Free"/>
    <s v="Male"/>
    <b v="1"/>
    <x v="14"/>
  </r>
  <r>
    <s v="ORD-21248"/>
    <s v="CUST-5155"/>
    <d v="2024-09-27T00:00:00"/>
    <s v="Home &amp; Kitchen"/>
    <s v="Blender"/>
    <n v="64.989999999999995"/>
    <n v="4"/>
    <n v="0"/>
    <n v="64.989999999999995"/>
    <n v="259.95999999999998"/>
    <s v="Debit Card"/>
    <s v="Delivered"/>
    <n v="2"/>
    <n v="25"/>
    <s v="Los Angeles"/>
    <s v="Free"/>
    <s v="Male"/>
    <b v="1"/>
    <x v="15"/>
  </r>
  <r>
    <s v="ORD-21249"/>
    <s v="CUST-5155"/>
    <d v="2024-07-24T00:00:00"/>
    <s v="Toys"/>
    <s v="Action Figure"/>
    <n v="19.989999999999998"/>
    <n v="2"/>
    <n v="15"/>
    <n v="16.989999999999998"/>
    <n v="33.979999999999997"/>
    <s v="PayPal"/>
    <s v="Delivered"/>
    <n v="4"/>
    <n v="25"/>
    <s v="Los Angeles"/>
    <s v="Free"/>
    <s v="Male"/>
    <b v="1"/>
    <x v="4"/>
  </r>
  <r>
    <s v="ORD-21250"/>
    <s v="CUST-5155"/>
    <d v="2022-07-06T00:00:00"/>
    <s v="Electronics"/>
    <s v="Smart Watch"/>
    <n v="199.99"/>
    <n v="1"/>
    <n v="10"/>
    <n v="179.99"/>
    <n v="179.99"/>
    <s v="UPI"/>
    <s v="Delivered"/>
    <n v="5"/>
    <n v="25"/>
    <s v="Los Angeles"/>
    <s v="Free"/>
    <s v="Male"/>
    <b v="1"/>
    <x v="33"/>
  </r>
  <r>
    <s v="ORD-21251"/>
    <s v="CUST-5155"/>
    <d v="2024-03-26T00:00:00"/>
    <s v="Toys"/>
    <s v="Remote Control Car"/>
    <n v="39.99"/>
    <n v="4"/>
    <n v="20"/>
    <n v="31.99"/>
    <n v="127.96"/>
    <s v="Wallet"/>
    <s v="Shipped"/>
    <n v="4"/>
    <n v="25"/>
    <s v="Los Angeles"/>
    <s v="Free"/>
    <s v="Male"/>
    <b v="1"/>
    <x v="1"/>
  </r>
  <r>
    <s v="ORD-21252"/>
    <s v="CUST-5155"/>
    <d v="2023-09-06T00:00:00"/>
    <s v="Clothing"/>
    <s v="Cotton T-Shirt"/>
    <n v="24.99"/>
    <n v="3"/>
    <n v="0"/>
    <n v="24.99"/>
    <n v="74.97"/>
    <s v="Debit Card"/>
    <s v="Delivered"/>
    <m/>
    <n v="25"/>
    <s v="Los Angeles"/>
    <s v="Free"/>
    <s v="Male"/>
    <b v="1"/>
    <x v="6"/>
  </r>
  <r>
    <s v="ORD-21253"/>
    <s v="CUST-5155"/>
    <d v="2022-09-11T00:00:00"/>
    <s v="Toys"/>
    <s v="LEGO Classic Set"/>
    <n v="49.99"/>
    <n v="3"/>
    <n v="5"/>
    <n v="47.49"/>
    <n v="142.47"/>
    <s v="Wallet"/>
    <s v="Delivered"/>
    <m/>
    <n v="25"/>
    <s v="Los Angeles"/>
    <s v="Free"/>
    <s v="Male"/>
    <b v="1"/>
    <x v="22"/>
  </r>
  <r>
    <s v="ORD-21254"/>
    <s v="CUST-5155"/>
    <d v="2023-07-17T00:00:00"/>
    <s v="Beauty"/>
    <s v="Moisturizer SPF 50"/>
    <n v="29.99"/>
    <n v="1"/>
    <n v="0"/>
    <n v="29.99"/>
    <n v="29.99"/>
    <s v="Wallet"/>
    <s v="Delivered"/>
    <n v="3"/>
    <n v="25"/>
    <s v="Los Angeles"/>
    <s v="Free"/>
    <s v="Male"/>
    <b v="1"/>
    <x v="9"/>
  </r>
  <r>
    <s v="ORD-21255"/>
    <s v="CUST-5155"/>
    <d v="2024-09-08T00:00:00"/>
    <s v="Books"/>
    <s v="Data Science Handbook"/>
    <n v="49.99"/>
    <n v="1"/>
    <n v="10"/>
    <n v="44.99"/>
    <n v="44.99"/>
    <s v="Credit Card"/>
    <s v="Shipped"/>
    <n v="5"/>
    <n v="25"/>
    <s v="Los Angeles"/>
    <s v="Free"/>
    <s v="Male"/>
    <b v="1"/>
    <x v="15"/>
  </r>
  <r>
    <s v="ORD-21256"/>
    <s v="CUST-5155"/>
    <d v="2024-08-15T00:00:00"/>
    <s v="Electronics"/>
    <s v="USB-C Hub"/>
    <n v="34.99"/>
    <n v="1"/>
    <n v="0"/>
    <n v="34.99"/>
    <n v="34.99"/>
    <s v="PayPal"/>
    <s v="Delivered"/>
    <m/>
    <n v="25"/>
    <s v="Los Angeles"/>
    <s v="Free"/>
    <s v="Male"/>
    <b v="1"/>
    <x v="26"/>
  </r>
  <r>
    <s v="ORD-21257"/>
    <s v="CUST-5155"/>
    <d v="2023-05-26T00:00:00"/>
    <s v="Books"/>
    <s v="Python for Beginners"/>
    <n v="29.99"/>
    <n v="1"/>
    <n v="15"/>
    <n v="25.49"/>
    <n v="25.49"/>
    <s v="UPI"/>
    <s v="Delivered"/>
    <m/>
    <n v="25"/>
    <s v="Los Angeles"/>
    <s v="Free"/>
    <s v="Male"/>
    <b v="1"/>
    <x v="5"/>
  </r>
  <r>
    <s v="ORD-21258"/>
    <s v="CUST-5155"/>
    <d v="2022-06-21T00:00:00"/>
    <s v="Sports"/>
    <s v="Jump Rope"/>
    <n v="14.99"/>
    <n v="1"/>
    <n v="5"/>
    <n v="14.24"/>
    <n v="14.24"/>
    <s v="Debit Card"/>
    <s v="Delivered"/>
    <m/>
    <n v="25"/>
    <s v="Los Angeles"/>
    <s v="Free"/>
    <s v="Male"/>
    <b v="1"/>
    <x v="8"/>
  </r>
  <r>
    <s v="ORD-21259"/>
    <s v="CUST-5155"/>
    <d v="2024-10-23T00:00:00"/>
    <s v="Books"/>
    <s v="Business Analytics"/>
    <n v="39.99"/>
    <n v="4"/>
    <n v="0"/>
    <n v="39.99"/>
    <n v="159.96"/>
    <s v="Credit Card"/>
    <s v="Delivered"/>
    <m/>
    <n v="25"/>
    <s v="Los Angeles"/>
    <s v="Free"/>
    <s v="Male"/>
    <b v="1"/>
    <x v="21"/>
  </r>
  <r>
    <s v="ORD-21260"/>
    <s v="CUST-5155"/>
    <d v="2024-07-18T00:00:00"/>
    <s v="Books"/>
    <s v="Python for Beginners"/>
    <n v="29.99"/>
    <n v="3"/>
    <n v="5"/>
    <n v="28.49"/>
    <n v="85.47"/>
    <s v="PayPal"/>
    <s v="Delivered"/>
    <m/>
    <n v="25"/>
    <s v="Los Angeles"/>
    <s v="Free"/>
    <s v="Male"/>
    <b v="1"/>
    <x v="4"/>
  </r>
  <r>
    <s v="ORD-21261"/>
    <s v="CUST-5156"/>
    <d v="2022-02-26T00:00:00"/>
    <s v="Beauty"/>
    <s v="Lip Balm Set"/>
    <n v="14.99"/>
    <n v="1"/>
    <n v="0"/>
    <n v="14.99"/>
    <n v="14.99"/>
    <s v="Wallet"/>
    <s v="Processing"/>
    <n v="4"/>
    <n v="20"/>
    <s v="San Antonio"/>
    <s v="Free"/>
    <s v="Male"/>
    <b v="1"/>
    <x v="17"/>
  </r>
  <r>
    <s v="ORD-21262"/>
    <s v="CUST-5156"/>
    <d v="2023-08-19T00:00:00"/>
    <s v="Electronics"/>
    <s v="Smart Watch"/>
    <n v="199.99"/>
    <n v="2"/>
    <n v="10"/>
    <n v="179.99"/>
    <n v="359.98"/>
    <s v="Wallet"/>
    <s v="Delivered"/>
    <n v="3"/>
    <n v="20"/>
    <s v="San Antonio"/>
    <s v="Free"/>
    <s v="Male"/>
    <b v="1"/>
    <x v="24"/>
  </r>
  <r>
    <s v="ORD-21263"/>
    <s v="CUST-5156"/>
    <d v="2023-06-09T00:00:00"/>
    <s v="Beauty"/>
    <s v="Face Serum"/>
    <n v="39.99"/>
    <n v="3"/>
    <n v="0"/>
    <n v="39.99"/>
    <n v="119.97"/>
    <s v="Wallet"/>
    <s v="Returned"/>
    <m/>
    <n v="20"/>
    <s v="San Antonio"/>
    <s v="Free"/>
    <s v="Male"/>
    <b v="1"/>
    <x v="19"/>
  </r>
  <r>
    <s v="ORD-21264"/>
    <s v="CUST-5156"/>
    <d v="2024-06-10T00:00:00"/>
    <s v="Clothing"/>
    <s v="Denim Jacket"/>
    <n v="69.989999999999995"/>
    <n v="1"/>
    <n v="0"/>
    <n v="69.989999999999995"/>
    <n v="69.989999999999995"/>
    <s v="PayPal"/>
    <s v="Delivered"/>
    <m/>
    <n v="20"/>
    <s v="San Antonio"/>
    <s v="Free"/>
    <s v="Male"/>
    <b v="1"/>
    <x v="35"/>
  </r>
  <r>
    <s v="ORD-21265"/>
    <s v="CUST-5156"/>
    <d v="2024-02-12T00:00:00"/>
    <s v="Toys"/>
    <s v="Puzzle 1000pcs"/>
    <n v="24.99"/>
    <n v="2"/>
    <n v="0"/>
    <n v="24.99"/>
    <n v="49.98"/>
    <s v="Wallet"/>
    <s v="Delivered"/>
    <m/>
    <n v="20"/>
    <s v="San Antonio"/>
    <s v="Free"/>
    <s v="Male"/>
    <b v="1"/>
    <x v="0"/>
  </r>
  <r>
    <s v="ORD-21266"/>
    <s v="CUST-5156"/>
    <d v="2022-05-18T00:00:00"/>
    <s v="Clothing"/>
    <s v="Yoga Pants"/>
    <n v="44.99"/>
    <n v="1"/>
    <n v="10"/>
    <n v="40.49"/>
    <n v="40.49"/>
    <s v="PayPal"/>
    <s v="Delivered"/>
    <n v="4"/>
    <n v="20"/>
    <s v="San Antonio"/>
    <s v="Free"/>
    <s v="Male"/>
    <b v="1"/>
    <x v="31"/>
  </r>
  <r>
    <s v="ORD-21267"/>
    <s v="CUST-5156"/>
    <d v="2022-04-07T00:00:00"/>
    <s v="Beauty"/>
    <s v="Hair Mask"/>
    <n v="24.99"/>
    <n v="3"/>
    <n v="10"/>
    <n v="22.49"/>
    <n v="67.47"/>
    <s v="UPI"/>
    <s v="Delivered"/>
    <m/>
    <n v="20"/>
    <s v="San Antonio"/>
    <s v="Free"/>
    <s v="Male"/>
    <b v="1"/>
    <x v="12"/>
  </r>
  <r>
    <s v="ORD-21268"/>
    <s v="CUST-5156"/>
    <d v="2024-01-22T00:00:00"/>
    <s v="Clothing"/>
    <s v="Denim Jacket"/>
    <n v="69.989999999999995"/>
    <n v="2"/>
    <n v="0"/>
    <n v="69.989999999999995"/>
    <n v="139.97999999999999"/>
    <s v="Credit Card"/>
    <s v="Delivered"/>
    <m/>
    <n v="20"/>
    <s v="San Antonio"/>
    <s v="Free"/>
    <s v="Male"/>
    <b v="1"/>
    <x v="25"/>
  </r>
  <r>
    <s v="ORD-21269"/>
    <s v="CUST-5156"/>
    <d v="2024-05-10T00:00:00"/>
    <s v="Electronics"/>
    <s v="Bluetooth Speaker"/>
    <n v="49.99"/>
    <n v="1"/>
    <n v="0"/>
    <n v="49.99"/>
    <n v="49.99"/>
    <s v="Credit Card"/>
    <s v="Delivered"/>
    <n v="5"/>
    <n v="20"/>
    <s v="San Antonio"/>
    <s v="Free"/>
    <s v="Male"/>
    <b v="1"/>
    <x v="30"/>
  </r>
  <r>
    <s v="ORD-21270"/>
    <s v="CUST-5156"/>
    <d v="2022-01-05T00:00:00"/>
    <s v="Beauty"/>
    <s v="Moisturizer SPF 50"/>
    <n v="29.99"/>
    <n v="4"/>
    <n v="5"/>
    <n v="28.49"/>
    <n v="113.96"/>
    <s v="UPI"/>
    <s v="Delivered"/>
    <n v="4"/>
    <n v="20"/>
    <s v="San Antonio"/>
    <s v="Free"/>
    <s v="Male"/>
    <b v="1"/>
    <x v="2"/>
  </r>
  <r>
    <s v="ORD-21271"/>
    <s v="CUST-5156"/>
    <d v="2023-11-06T00:00:00"/>
    <s v="Clothing"/>
    <s v="Yoga Pants"/>
    <n v="44.99"/>
    <n v="3"/>
    <n v="0"/>
    <n v="44.99"/>
    <n v="134.97"/>
    <s v="PayPal"/>
    <s v="Delivered"/>
    <n v="5"/>
    <n v="20"/>
    <s v="San Antonio"/>
    <s v="Free"/>
    <s v="Male"/>
    <b v="1"/>
    <x v="29"/>
  </r>
  <r>
    <s v="ORD-21272"/>
    <s v="CUST-5156"/>
    <d v="2023-08-16T00:00:00"/>
    <s v="Toys"/>
    <s v="Remote Control Car"/>
    <n v="39.99"/>
    <n v="2"/>
    <n v="5"/>
    <n v="37.99"/>
    <n v="75.98"/>
    <s v="Credit Card"/>
    <s v="Delivered"/>
    <m/>
    <n v="20"/>
    <s v="San Antonio"/>
    <s v="Free"/>
    <s v="Male"/>
    <b v="1"/>
    <x v="24"/>
  </r>
  <r>
    <s v="ORD-21273"/>
    <s v="CUST-5156"/>
    <d v="2022-06-01T00:00:00"/>
    <s v="Home &amp; Kitchen"/>
    <s v="Non-stick Pan Set"/>
    <n v="44.99"/>
    <n v="1"/>
    <n v="5"/>
    <n v="42.74"/>
    <n v="42.74"/>
    <s v="Wallet"/>
    <s v="Delivered"/>
    <n v="5"/>
    <n v="20"/>
    <s v="San Antonio"/>
    <s v="Free"/>
    <s v="Male"/>
    <b v="1"/>
    <x v="8"/>
  </r>
  <r>
    <s v="ORD-21274"/>
    <s v="CUST-5157"/>
    <d v="2024-12-25T00:00:00"/>
    <s v="Toys"/>
    <s v="Remote Control Car"/>
    <n v="39.99"/>
    <n v="1"/>
    <n v="20"/>
    <n v="31.99"/>
    <n v="31.99"/>
    <s v="PayPal"/>
    <s v="Delivered"/>
    <m/>
    <n v="61"/>
    <s v="Philadelphia"/>
    <s v="Silver"/>
    <s v="Male"/>
    <b v="1"/>
    <x v="32"/>
  </r>
  <r>
    <s v="ORD-21275"/>
    <s v="CUST-5157"/>
    <d v="2024-12-16T00:00:00"/>
    <s v="Beauty"/>
    <s v="Lip Balm Set"/>
    <n v="14.99"/>
    <n v="2"/>
    <n v="5"/>
    <n v="14.24"/>
    <n v="28.48"/>
    <s v="UPI"/>
    <s v="Delivered"/>
    <n v="5"/>
    <n v="61"/>
    <s v="Philadelphia"/>
    <s v="Silver"/>
    <s v="Male"/>
    <b v="1"/>
    <x v="32"/>
  </r>
  <r>
    <s v="ORD-21276"/>
    <s v="CUST-5157"/>
    <d v="2023-07-01T00:00:00"/>
    <s v="Clothing"/>
    <s v="Cotton T-Shirt"/>
    <n v="24.99"/>
    <n v="4"/>
    <n v="20"/>
    <n v="19.989999999999998"/>
    <n v="79.959999999999994"/>
    <s v="UPI"/>
    <s v="Delivered"/>
    <n v="5"/>
    <n v="61"/>
    <s v="Philadelphia"/>
    <s v="Silver"/>
    <s v="Male"/>
    <b v="1"/>
    <x v="9"/>
  </r>
  <r>
    <s v="ORD-21277"/>
    <s v="CUST-5157"/>
    <d v="2024-10-24T00:00:00"/>
    <s v="Clothing"/>
    <s v="Yoga Pants"/>
    <n v="44.99"/>
    <n v="2"/>
    <n v="0"/>
    <n v="44.99"/>
    <n v="89.98"/>
    <s v="UPI"/>
    <s v="Delivered"/>
    <n v="4"/>
    <n v="61"/>
    <s v="Philadelphia"/>
    <s v="Silver"/>
    <s v="Male"/>
    <b v="1"/>
    <x v="21"/>
  </r>
  <r>
    <s v="ORD-21278"/>
    <s v="CUST-5157"/>
    <d v="2023-02-02T00:00:00"/>
    <s v="Home &amp; Kitchen"/>
    <s v="Coffee Maker"/>
    <n v="59.99"/>
    <n v="4"/>
    <n v="0"/>
    <n v="59.99"/>
    <n v="239.96"/>
    <s v="PayPal"/>
    <s v="Delivered"/>
    <m/>
    <n v="61"/>
    <s v="Philadelphia"/>
    <s v="Silver"/>
    <s v="Male"/>
    <b v="1"/>
    <x v="34"/>
  </r>
  <r>
    <s v="ORD-21279"/>
    <s v="CUST-5157"/>
    <d v="2023-03-16T00:00:00"/>
    <s v="Sports"/>
    <s v="Jump Rope"/>
    <n v="14.99"/>
    <n v="3"/>
    <n v="20"/>
    <n v="11.99"/>
    <n v="35.97"/>
    <s v="UPI"/>
    <s v="Delivered"/>
    <n v="5"/>
    <n v="61"/>
    <s v="Philadelphia"/>
    <s v="Silver"/>
    <s v="Male"/>
    <b v="1"/>
    <x v="23"/>
  </r>
  <r>
    <s v="ORD-21280"/>
    <s v="CUST-5157"/>
    <d v="2022-09-07T00:00:00"/>
    <s v="Sports"/>
    <s v="Water Bottle"/>
    <n v="24.99"/>
    <n v="3"/>
    <n v="0"/>
    <n v="24.99"/>
    <n v="74.97"/>
    <s v="Credit Card"/>
    <s v="Delivered"/>
    <n v="3"/>
    <n v="61"/>
    <s v="Philadelphia"/>
    <s v="Silver"/>
    <s v="Male"/>
    <b v="1"/>
    <x v="22"/>
  </r>
  <r>
    <s v="ORD-21281"/>
    <s v="CUST-5157"/>
    <d v="2024-10-20T00:00:00"/>
    <s v="Beauty"/>
    <s v="Face Serum"/>
    <n v="39.99"/>
    <n v="1"/>
    <n v="0"/>
    <n v="39.99"/>
    <n v="39.99"/>
    <s v="UPI"/>
    <s v="Processing"/>
    <n v="5"/>
    <n v="61"/>
    <s v="Philadelphia"/>
    <s v="Silver"/>
    <s v="Male"/>
    <b v="1"/>
    <x v="21"/>
  </r>
  <r>
    <s v="ORD-21282"/>
    <s v="CUST-5157"/>
    <d v="2023-10-26T00:00:00"/>
    <s v="Electronics"/>
    <s v="Smart Watch"/>
    <n v="199.99"/>
    <n v="1"/>
    <n v="15"/>
    <n v="169.99"/>
    <n v="169.99"/>
    <s v="Wallet"/>
    <s v="Delivered"/>
    <n v="5"/>
    <n v="61"/>
    <s v="Philadelphia"/>
    <s v="Silver"/>
    <s v="Male"/>
    <b v="1"/>
    <x v="13"/>
  </r>
  <r>
    <s v="ORD-21283"/>
    <s v="CUST-5157"/>
    <d v="2022-08-25T00:00:00"/>
    <s v="Books"/>
    <s v="Business Analytics"/>
    <n v="39.99"/>
    <n v="4"/>
    <n v="0"/>
    <n v="39.99"/>
    <n v="159.96"/>
    <s v="Credit Card"/>
    <s v="Cancelled"/>
    <n v="5"/>
    <n v="61"/>
    <s v="Philadelphia"/>
    <s v="Silver"/>
    <s v="Male"/>
    <b v="1"/>
    <x v="7"/>
  </r>
  <r>
    <s v="ORD-21284"/>
    <s v="CUST-5157"/>
    <d v="2024-07-08T00:00:00"/>
    <s v="Sports"/>
    <s v="Resistance Bands"/>
    <n v="19.989999999999998"/>
    <n v="3"/>
    <n v="0"/>
    <n v="19.989999999999998"/>
    <n v="59.97"/>
    <s v="Credit Card"/>
    <s v="Delivered"/>
    <n v="3"/>
    <n v="61"/>
    <s v="Philadelphia"/>
    <s v="Silver"/>
    <s v="Male"/>
    <b v="1"/>
    <x v="4"/>
  </r>
  <r>
    <s v="ORD-21285"/>
    <s v="CUST-5157"/>
    <d v="2024-01-03T00:00:00"/>
    <s v="Beauty"/>
    <s v="Face Serum"/>
    <n v="39.99"/>
    <n v="1"/>
    <n v="15"/>
    <n v="33.99"/>
    <n v="33.99"/>
    <s v="Debit Card"/>
    <s v="Delivered"/>
    <n v="4"/>
    <n v="61"/>
    <s v="Philadelphia"/>
    <s v="Silver"/>
    <s v="Male"/>
    <b v="1"/>
    <x v="25"/>
  </r>
  <r>
    <s v="ORD-21286"/>
    <s v="CUST-5157"/>
    <d v="2022-04-09T00:00:00"/>
    <s v="Toys"/>
    <s v="LEGO Classic Set"/>
    <n v="49.99"/>
    <n v="3"/>
    <n v="0"/>
    <n v="49.99"/>
    <n v="149.97"/>
    <s v="Wallet"/>
    <s v="Delivered"/>
    <n v="3"/>
    <n v="61"/>
    <s v="Philadelphia"/>
    <s v="Silver"/>
    <s v="Male"/>
    <b v="1"/>
    <x v="12"/>
  </r>
  <r>
    <s v="ORD-21287"/>
    <s v="CUST-5157"/>
    <d v="2023-04-25T00:00:00"/>
    <s v="Sports"/>
    <s v="Yoga Mat"/>
    <n v="29.99"/>
    <n v="4"/>
    <n v="5"/>
    <n v="28.49"/>
    <n v="113.96"/>
    <s v="Wallet"/>
    <s v="Delivered"/>
    <m/>
    <n v="61"/>
    <s v="Philadelphia"/>
    <s v="Silver"/>
    <s v="Male"/>
    <b v="1"/>
    <x v="18"/>
  </r>
  <r>
    <s v="ORD-21288"/>
    <s v="CUST-5157"/>
    <d v="2023-11-10T00:00:00"/>
    <s v="Home &amp; Kitchen"/>
    <s v="Non-stick Pan Set"/>
    <n v="44.99"/>
    <n v="2"/>
    <n v="10"/>
    <n v="40.49"/>
    <n v="80.98"/>
    <s v="Wallet"/>
    <s v="Delivered"/>
    <n v="4"/>
    <n v="61"/>
    <s v="Philadelphia"/>
    <s v="Silver"/>
    <s v="Male"/>
    <b v="1"/>
    <x v="29"/>
  </r>
  <r>
    <s v="ORD-21289"/>
    <s v="CUST-5158"/>
    <d v="2024-05-28T00:00:00"/>
    <s v="Clothing"/>
    <s v="Running Shoes"/>
    <n v="89.99"/>
    <n v="4"/>
    <n v="0"/>
    <n v="89.99"/>
    <n v="359.96"/>
    <s v="PayPal"/>
    <s v="Shipped"/>
    <n v="4"/>
    <n v="34"/>
    <s v="Chicago"/>
    <s v="Platinum"/>
    <s v="Male"/>
    <b v="1"/>
    <x v="30"/>
  </r>
  <r>
    <s v="ORD-21290"/>
    <s v="CUST-5158"/>
    <d v="2022-10-10T00:00:00"/>
    <s v="Clothing"/>
    <s v="Yoga Pants"/>
    <n v="44.99"/>
    <n v="3"/>
    <n v="0"/>
    <n v="44.99"/>
    <n v="134.97"/>
    <s v="Wallet"/>
    <s v="Shipped"/>
    <m/>
    <n v="34"/>
    <s v="Chicago"/>
    <s v="Platinum"/>
    <s v="Male"/>
    <b v="1"/>
    <x v="20"/>
  </r>
  <r>
    <s v="ORD-21291"/>
    <s v="CUST-5158"/>
    <d v="2023-06-01T00:00:00"/>
    <s v="Toys"/>
    <s v="Remote Control Car"/>
    <n v="39.99"/>
    <n v="4"/>
    <n v="20"/>
    <n v="31.99"/>
    <n v="127.96"/>
    <s v="Debit Card"/>
    <s v="Delivered"/>
    <m/>
    <n v="34"/>
    <s v="Chicago"/>
    <s v="Platinum"/>
    <s v="Male"/>
    <b v="1"/>
    <x v="19"/>
  </r>
  <r>
    <s v="ORD-21292"/>
    <s v="CUST-5158"/>
    <d v="2023-03-17T00:00:00"/>
    <s v="Clothing"/>
    <s v="Yoga Pants"/>
    <n v="44.99"/>
    <n v="1"/>
    <n v="5"/>
    <n v="42.74"/>
    <n v="42.74"/>
    <s v="Debit Card"/>
    <s v="Delivered"/>
    <n v="4"/>
    <n v="34"/>
    <s v="Chicago"/>
    <s v="Platinum"/>
    <s v="Male"/>
    <b v="1"/>
    <x v="23"/>
  </r>
  <r>
    <s v="ORD-21293"/>
    <s v="CUST-5158"/>
    <d v="2022-05-12T00:00:00"/>
    <s v="Sports"/>
    <s v="Jump Rope"/>
    <n v="14.99"/>
    <n v="4"/>
    <n v="5"/>
    <n v="14.24"/>
    <n v="56.96"/>
    <s v="PayPal"/>
    <s v="Delivered"/>
    <n v="4"/>
    <n v="34"/>
    <s v="Chicago"/>
    <s v="Platinum"/>
    <s v="Male"/>
    <b v="1"/>
    <x v="31"/>
  </r>
  <r>
    <s v="ORD-21294"/>
    <s v="CUST-5158"/>
    <d v="2023-12-03T00:00:00"/>
    <s v="Beauty"/>
    <s v="Moisturizer SPF 50"/>
    <n v="29.99"/>
    <n v="4"/>
    <n v="15"/>
    <n v="25.49"/>
    <n v="101.96"/>
    <s v="Credit Card"/>
    <s v="Returned"/>
    <m/>
    <n v="34"/>
    <s v="Chicago"/>
    <s v="Platinum"/>
    <s v="Male"/>
    <b v="1"/>
    <x v="14"/>
  </r>
  <r>
    <s v="ORD-21295"/>
    <s v="CUST-5158"/>
    <d v="2024-09-01T00:00:00"/>
    <s v="Books"/>
    <s v="Business Analytics"/>
    <n v="39.99"/>
    <n v="4"/>
    <n v="10"/>
    <n v="35.99"/>
    <n v="143.96"/>
    <s v="UPI"/>
    <s v="Delivered"/>
    <n v="5"/>
    <n v="34"/>
    <s v="Chicago"/>
    <s v="Platinum"/>
    <s v="Male"/>
    <b v="1"/>
    <x v="15"/>
  </r>
  <r>
    <s v="ORD-21296"/>
    <s v="CUST-5158"/>
    <d v="2023-02-13T00:00:00"/>
    <s v="Books"/>
    <s v="Data Science Handbook"/>
    <n v="49.99"/>
    <n v="3"/>
    <n v="0"/>
    <n v="49.99"/>
    <n v="149.97"/>
    <s v="PayPal"/>
    <s v="Delivered"/>
    <n v="5"/>
    <n v="34"/>
    <s v="Chicago"/>
    <s v="Platinum"/>
    <s v="Male"/>
    <b v="1"/>
    <x v="34"/>
  </r>
  <r>
    <s v="ORD-21297"/>
    <s v="CUST-5158"/>
    <d v="2022-01-27T00:00:00"/>
    <s v="Toys"/>
    <s v="Puzzle 1000pcs"/>
    <n v="24.99"/>
    <n v="2"/>
    <n v="0"/>
    <n v="24.99"/>
    <n v="49.98"/>
    <s v="Wallet"/>
    <s v="Processing"/>
    <n v="3"/>
    <n v="34"/>
    <s v="Chicago"/>
    <s v="Platinum"/>
    <s v="Male"/>
    <b v="1"/>
    <x v="2"/>
  </r>
  <r>
    <s v="ORD-21298"/>
    <s v="CUST-5158"/>
    <d v="2023-08-11T00:00:00"/>
    <s v="Toys"/>
    <s v="Action Figure"/>
    <n v="19.989999999999998"/>
    <n v="3"/>
    <n v="0"/>
    <n v="19.989999999999998"/>
    <n v="59.97"/>
    <s v="UPI"/>
    <s v="Delivered"/>
    <n v="4"/>
    <n v="34"/>
    <s v="Chicago"/>
    <s v="Platinum"/>
    <s v="Male"/>
    <b v="1"/>
    <x v="24"/>
  </r>
  <r>
    <s v="ORD-21299"/>
    <s v="CUST-5158"/>
    <d v="2024-06-12T00:00:00"/>
    <s v="Clothing"/>
    <s v="Yoga Pants"/>
    <n v="44.99"/>
    <n v="4"/>
    <n v="0"/>
    <n v="44.99"/>
    <n v="179.96"/>
    <s v="Debit Card"/>
    <s v="Delivered"/>
    <n v="5"/>
    <n v="34"/>
    <s v="Chicago"/>
    <s v="Platinum"/>
    <s v="Male"/>
    <b v="1"/>
    <x v="35"/>
  </r>
  <r>
    <s v="ORD-21300"/>
    <s v="CUST-5158"/>
    <d v="2023-04-13T00:00:00"/>
    <s v="Sports"/>
    <s v="Jump Rope"/>
    <n v="14.99"/>
    <n v="4"/>
    <n v="5"/>
    <n v="14.24"/>
    <n v="56.96"/>
    <s v="Wallet"/>
    <s v="Delivered"/>
    <n v="5"/>
    <n v="34"/>
    <s v="Chicago"/>
    <s v="Platinum"/>
    <s v="Male"/>
    <b v="1"/>
    <x v="18"/>
  </r>
  <r>
    <s v="ORD-21301"/>
    <s v="CUST-5159"/>
    <d v="2024-01-24T00:00:00"/>
    <s v="Electronics"/>
    <s v="Wireless Earbuds"/>
    <n v="79.989999999999995"/>
    <n v="2"/>
    <n v="0"/>
    <n v="79.989999999999995"/>
    <n v="159.97999999999999"/>
    <s v="Credit Card"/>
    <s v="Delivered"/>
    <n v="2"/>
    <n v="59"/>
    <s v="Austin"/>
    <s v="Silver"/>
    <s v="Female"/>
    <b v="1"/>
    <x v="25"/>
  </r>
  <r>
    <s v="ORD-21302"/>
    <s v="CUST-5159"/>
    <d v="2023-04-20T00:00:00"/>
    <s v="Electronics"/>
    <s v="USB-C Hub"/>
    <n v="34.99"/>
    <n v="4"/>
    <n v="15"/>
    <n v="29.74"/>
    <n v="118.96"/>
    <s v="Credit Card"/>
    <s v="Delivered"/>
    <m/>
    <n v="59"/>
    <s v="Austin"/>
    <s v="Silver"/>
    <s v="Female"/>
    <b v="1"/>
    <x v="18"/>
  </r>
  <r>
    <s v="ORD-21303"/>
    <s v="CUST-5159"/>
    <d v="2023-12-25T00:00:00"/>
    <s v="Books"/>
    <s v="Fiction Novel"/>
    <n v="14.99"/>
    <n v="2"/>
    <n v="0"/>
    <n v="14.99"/>
    <n v="29.98"/>
    <s v="Credit Card"/>
    <s v="Delivered"/>
    <m/>
    <n v="59"/>
    <s v="Austin"/>
    <s v="Silver"/>
    <s v="Female"/>
    <b v="1"/>
    <x v="14"/>
  </r>
  <r>
    <s v="ORD-21304"/>
    <s v="CUST-5159"/>
    <d v="2023-07-06T00:00:00"/>
    <s v="Clothing"/>
    <s v="Denim Jacket"/>
    <n v="69.989999999999995"/>
    <n v="1"/>
    <n v="0"/>
    <n v="69.989999999999995"/>
    <n v="69.989999999999995"/>
    <s v="PayPal"/>
    <s v="Returned"/>
    <m/>
    <n v="59"/>
    <s v="Austin"/>
    <s v="Silver"/>
    <s v="Female"/>
    <b v="1"/>
    <x v="9"/>
  </r>
  <r>
    <s v="ORD-21305"/>
    <s v="CUST-5159"/>
    <d v="2022-10-26T00:00:00"/>
    <s v="Electronics"/>
    <s v="USB-C Hub"/>
    <n v="34.99"/>
    <n v="3"/>
    <n v="20"/>
    <n v="27.99"/>
    <n v="83.97"/>
    <s v="UPI"/>
    <s v="Delivered"/>
    <n v="2"/>
    <n v="59"/>
    <s v="Austin"/>
    <s v="Silver"/>
    <s v="Female"/>
    <b v="1"/>
    <x v="20"/>
  </r>
  <r>
    <s v="ORD-21306"/>
    <s v="CUST-5159"/>
    <d v="2024-02-12T00:00:00"/>
    <s v="Sports"/>
    <s v="Water Bottle"/>
    <n v="24.99"/>
    <n v="2"/>
    <n v="15"/>
    <n v="21.24"/>
    <n v="42.48"/>
    <s v="Debit Card"/>
    <s v="Processing"/>
    <n v="4"/>
    <n v="59"/>
    <s v="Austin"/>
    <s v="Silver"/>
    <s v="Female"/>
    <b v="1"/>
    <x v="0"/>
  </r>
  <r>
    <s v="ORD-21307"/>
    <s v="CUST-5159"/>
    <d v="2024-03-17T00:00:00"/>
    <s v="Books"/>
    <s v="Data Science Handbook"/>
    <n v="49.99"/>
    <n v="3"/>
    <n v="15"/>
    <n v="42.49"/>
    <n v="127.47"/>
    <s v="UPI"/>
    <s v="Delivered"/>
    <n v="5"/>
    <n v="59"/>
    <s v="Austin"/>
    <s v="Silver"/>
    <s v="Female"/>
    <b v="1"/>
    <x v="1"/>
  </r>
  <r>
    <s v="ORD-21308"/>
    <s v="CUST-5159"/>
    <d v="2024-06-23T00:00:00"/>
    <s v="Beauty"/>
    <s v="Lip Balm Set"/>
    <n v="14.99"/>
    <n v="2"/>
    <n v="0"/>
    <n v="14.99"/>
    <n v="29.98"/>
    <s v="Debit Card"/>
    <s v="Delivered"/>
    <m/>
    <n v="59"/>
    <s v="Austin"/>
    <s v="Silver"/>
    <s v="Female"/>
    <b v="1"/>
    <x v="35"/>
  </r>
  <r>
    <s v="ORD-21309"/>
    <s v="CUST-5159"/>
    <d v="2024-03-28T00:00:00"/>
    <s v="Home &amp; Kitchen"/>
    <s v="Blender"/>
    <n v="64.989999999999995"/>
    <n v="3"/>
    <n v="5"/>
    <n v="61.74"/>
    <n v="185.22"/>
    <s v="UPI"/>
    <s v="Delivered"/>
    <n v="4"/>
    <n v="59"/>
    <s v="Austin"/>
    <s v="Silver"/>
    <s v="Female"/>
    <b v="1"/>
    <x v="1"/>
  </r>
  <r>
    <s v="ORD-21310"/>
    <s v="CUST-5160"/>
    <d v="2024-09-25T00:00:00"/>
    <s v="Electronics"/>
    <s v="USB-C Hub"/>
    <n v="34.99"/>
    <n v="1"/>
    <n v="5"/>
    <n v="33.24"/>
    <n v="33.24"/>
    <s v="Wallet"/>
    <s v="Delivered"/>
    <n v="4"/>
    <n v="47"/>
    <s v="Los Angeles"/>
    <s v="Silver"/>
    <s v="Female"/>
    <b v="1"/>
    <x v="15"/>
  </r>
  <r>
    <s v="ORD-21311"/>
    <s v="CUST-5160"/>
    <d v="2024-12-05T00:00:00"/>
    <s v="Toys"/>
    <s v="Puzzle 1000pcs"/>
    <n v="24.99"/>
    <n v="2"/>
    <n v="0"/>
    <n v="24.99"/>
    <n v="49.98"/>
    <s v="Credit Card"/>
    <s v="Processing"/>
    <n v="3"/>
    <n v="47"/>
    <s v="Los Angeles"/>
    <s v="Silver"/>
    <s v="Female"/>
    <b v="1"/>
    <x v="32"/>
  </r>
  <r>
    <s v="ORD-21312"/>
    <s v="CUST-5160"/>
    <d v="2023-12-07T00:00:00"/>
    <s v="Books"/>
    <s v="Fiction Novel"/>
    <n v="14.99"/>
    <n v="2"/>
    <n v="15"/>
    <n v="12.74"/>
    <n v="25.48"/>
    <s v="UPI"/>
    <s v="Delivered"/>
    <n v="4"/>
    <n v="47"/>
    <s v="Los Angeles"/>
    <s v="Silver"/>
    <s v="Female"/>
    <b v="1"/>
    <x v="14"/>
  </r>
  <r>
    <s v="ORD-21313"/>
    <s v="CUST-5160"/>
    <d v="2023-12-24T00:00:00"/>
    <s v="Sports"/>
    <s v="Resistance Bands"/>
    <n v="19.989999999999998"/>
    <n v="4"/>
    <n v="20"/>
    <n v="15.99"/>
    <n v="63.96"/>
    <s v="UPI"/>
    <s v="Delivered"/>
    <n v="3"/>
    <n v="47"/>
    <s v="Los Angeles"/>
    <s v="Silver"/>
    <s v="Female"/>
    <b v="1"/>
    <x v="14"/>
  </r>
  <r>
    <s v="ORD-21314"/>
    <s v="CUST-5160"/>
    <d v="2024-11-17T00:00:00"/>
    <s v="Electronics"/>
    <s v="Wireless Earbuds"/>
    <n v="79.989999999999995"/>
    <n v="3"/>
    <n v="10"/>
    <n v="71.989999999999995"/>
    <n v="215.97"/>
    <s v="Wallet"/>
    <s v="Delivered"/>
    <n v="4"/>
    <n v="47"/>
    <s v="Los Angeles"/>
    <s v="Silver"/>
    <s v="Female"/>
    <b v="1"/>
    <x v="16"/>
  </r>
  <r>
    <s v="ORD-21315"/>
    <s v="CUST-5160"/>
    <d v="2022-06-12T00:00:00"/>
    <s v="Toys"/>
    <s v="LEGO Classic Set"/>
    <n v="49.99"/>
    <n v="3"/>
    <n v="5"/>
    <n v="47.49"/>
    <n v="142.47"/>
    <s v="Debit Card"/>
    <s v="Returned"/>
    <n v="5"/>
    <n v="47"/>
    <s v="Los Angeles"/>
    <s v="Silver"/>
    <s v="Female"/>
    <b v="1"/>
    <x v="8"/>
  </r>
  <r>
    <s v="ORD-21316"/>
    <s v="CUST-5160"/>
    <d v="2022-04-23T00:00:00"/>
    <s v="Clothing"/>
    <s v="Denim Jacket"/>
    <n v="69.989999999999995"/>
    <n v="2"/>
    <n v="0"/>
    <n v="69.989999999999995"/>
    <n v="139.97999999999999"/>
    <s v="Debit Card"/>
    <s v="Delivered"/>
    <m/>
    <n v="47"/>
    <s v="Los Angeles"/>
    <s v="Silver"/>
    <s v="Female"/>
    <b v="1"/>
    <x v="12"/>
  </r>
  <r>
    <s v="ORD-21317"/>
    <s v="CUST-5160"/>
    <d v="2024-11-28T00:00:00"/>
    <s v="Home &amp; Kitchen"/>
    <s v="Non-stick Pan Set"/>
    <n v="44.99"/>
    <n v="2"/>
    <n v="0"/>
    <n v="44.99"/>
    <n v="89.98"/>
    <s v="UPI"/>
    <s v="Delivered"/>
    <n v="5"/>
    <n v="47"/>
    <s v="Los Angeles"/>
    <s v="Silver"/>
    <s v="Female"/>
    <b v="1"/>
    <x v="16"/>
  </r>
  <r>
    <s v="ORD-21318"/>
    <s v="CUST-5161"/>
    <d v="2022-11-08T00:00:00"/>
    <s v="Home &amp; Kitchen"/>
    <s v="Blender"/>
    <n v="64.989999999999995"/>
    <n v="4"/>
    <n v="0"/>
    <n v="64.989999999999995"/>
    <n v="259.95999999999998"/>
    <s v="UPI"/>
    <s v="Delivered"/>
    <n v="4"/>
    <n v="36"/>
    <s v="Los Angeles"/>
    <s v="Free"/>
    <s v="Male"/>
    <b v="1"/>
    <x v="3"/>
  </r>
  <r>
    <s v="ORD-21319"/>
    <s v="CUST-5161"/>
    <d v="2022-12-07T00:00:00"/>
    <s v="Toys"/>
    <s v="LEGO Classic Set"/>
    <n v="49.99"/>
    <n v="1"/>
    <n v="0"/>
    <n v="49.99"/>
    <n v="49.99"/>
    <s v="PayPal"/>
    <s v="Delivered"/>
    <n v="3"/>
    <n v="36"/>
    <s v="Los Angeles"/>
    <s v="Free"/>
    <s v="Male"/>
    <b v="1"/>
    <x v="28"/>
  </r>
  <r>
    <s v="ORD-21320"/>
    <s v="CUST-5161"/>
    <d v="2023-09-24T00:00:00"/>
    <s v="Books"/>
    <s v="Data Science Handbook"/>
    <n v="49.99"/>
    <n v="2"/>
    <n v="0"/>
    <n v="49.99"/>
    <n v="99.98"/>
    <s v="Debit Card"/>
    <s v="Delivered"/>
    <n v="5"/>
    <n v="36"/>
    <s v="Los Angeles"/>
    <s v="Free"/>
    <s v="Male"/>
    <b v="1"/>
    <x v="6"/>
  </r>
  <r>
    <s v="ORD-21321"/>
    <s v="CUST-5161"/>
    <d v="2023-10-28T00:00:00"/>
    <s v="Books"/>
    <s v="Data Science Handbook"/>
    <n v="49.99"/>
    <n v="2"/>
    <n v="15"/>
    <n v="42.49"/>
    <n v="84.98"/>
    <s v="PayPal"/>
    <s v="Delivered"/>
    <n v="2"/>
    <n v="36"/>
    <s v="Los Angeles"/>
    <s v="Free"/>
    <s v="Male"/>
    <b v="1"/>
    <x v="13"/>
  </r>
  <r>
    <s v="ORD-21322"/>
    <s v="CUST-5161"/>
    <d v="2022-02-10T00:00:00"/>
    <s v="Beauty"/>
    <s v="Hair Mask"/>
    <n v="24.99"/>
    <n v="1"/>
    <n v="0"/>
    <n v="24.99"/>
    <n v="24.99"/>
    <s v="Wallet"/>
    <s v="Delivered"/>
    <n v="4"/>
    <n v="36"/>
    <s v="Los Angeles"/>
    <s v="Free"/>
    <s v="Male"/>
    <b v="1"/>
    <x v="17"/>
  </r>
  <r>
    <s v="ORD-21323"/>
    <s v="CUST-5161"/>
    <d v="2022-11-21T00:00:00"/>
    <s v="Electronics"/>
    <s v="Bluetooth Speaker"/>
    <n v="49.99"/>
    <n v="1"/>
    <n v="0"/>
    <n v="49.99"/>
    <n v="49.99"/>
    <s v="Credit Card"/>
    <s v="Delivered"/>
    <n v="5"/>
    <n v="36"/>
    <s v="Los Angeles"/>
    <s v="Free"/>
    <s v="Male"/>
    <b v="1"/>
    <x v="3"/>
  </r>
  <r>
    <s v="ORD-21324"/>
    <s v="CUST-5161"/>
    <d v="2024-01-09T00:00:00"/>
    <s v="Clothing"/>
    <s v="Denim Jacket"/>
    <n v="69.989999999999995"/>
    <n v="2"/>
    <n v="10"/>
    <n v="62.99"/>
    <n v="125.98"/>
    <s v="UPI"/>
    <s v="Delivered"/>
    <n v="4"/>
    <n v="36"/>
    <s v="Los Angeles"/>
    <s v="Free"/>
    <s v="Male"/>
    <b v="1"/>
    <x v="25"/>
  </r>
  <r>
    <s v="ORD-21325"/>
    <s v="CUST-5161"/>
    <d v="2023-05-06T00:00:00"/>
    <s v="Beauty"/>
    <s v="Face Serum"/>
    <n v="39.99"/>
    <n v="3"/>
    <n v="5"/>
    <n v="37.99"/>
    <n v="113.97"/>
    <s v="UPI"/>
    <s v="Delivered"/>
    <n v="5"/>
    <n v="36"/>
    <s v="Los Angeles"/>
    <s v="Free"/>
    <s v="Male"/>
    <b v="1"/>
    <x v="5"/>
  </r>
  <r>
    <s v="ORD-21326"/>
    <s v="CUST-5161"/>
    <d v="2022-06-15T00:00:00"/>
    <s v="Sports"/>
    <s v="Jump Rope"/>
    <n v="14.99"/>
    <n v="1"/>
    <n v="0"/>
    <n v="14.99"/>
    <n v="14.99"/>
    <s v="Credit Card"/>
    <s v="Delivered"/>
    <m/>
    <n v="36"/>
    <s v="Los Angeles"/>
    <s v="Free"/>
    <s v="Male"/>
    <b v="1"/>
    <x v="8"/>
  </r>
  <r>
    <s v="ORD-21327"/>
    <s v="CUST-5161"/>
    <d v="2022-04-20T00:00:00"/>
    <s v="Home &amp; Kitchen"/>
    <s v="Coffee Maker"/>
    <n v="59.99"/>
    <n v="3"/>
    <n v="5"/>
    <n v="56.99"/>
    <n v="170.97"/>
    <s v="Credit Card"/>
    <s v="Delivered"/>
    <m/>
    <n v="36"/>
    <s v="Los Angeles"/>
    <s v="Free"/>
    <s v="Male"/>
    <b v="1"/>
    <x v="12"/>
  </r>
  <r>
    <s v="ORD-21328"/>
    <s v="CUST-5161"/>
    <d v="2022-12-13T00:00:00"/>
    <s v="Home &amp; Kitchen"/>
    <s v="Blender"/>
    <n v="64.989999999999995"/>
    <n v="1"/>
    <n v="20"/>
    <n v="51.99"/>
    <n v="51.99"/>
    <s v="Credit Card"/>
    <s v="Delivered"/>
    <n v="4"/>
    <n v="36"/>
    <s v="Los Angeles"/>
    <s v="Free"/>
    <s v="Male"/>
    <b v="1"/>
    <x v="28"/>
  </r>
  <r>
    <s v="ORD-21329"/>
    <s v="CUST-5161"/>
    <d v="2022-03-12T00:00:00"/>
    <s v="Toys"/>
    <s v="Action Figure"/>
    <n v="19.989999999999998"/>
    <n v="1"/>
    <n v="20"/>
    <n v="15.99"/>
    <n v="15.99"/>
    <s v="Debit Card"/>
    <s v="Delivered"/>
    <n v="4"/>
    <n v="36"/>
    <s v="Los Angeles"/>
    <s v="Free"/>
    <s v="Male"/>
    <b v="1"/>
    <x v="11"/>
  </r>
  <r>
    <s v="ORD-21330"/>
    <s v="CUST-5161"/>
    <d v="2023-09-12T00:00:00"/>
    <s v="Beauty"/>
    <s v="Hair Mask"/>
    <n v="24.99"/>
    <n v="1"/>
    <n v="5"/>
    <n v="23.74"/>
    <n v="23.74"/>
    <s v="Wallet"/>
    <s v="Returned"/>
    <n v="5"/>
    <n v="36"/>
    <s v="Los Angeles"/>
    <s v="Free"/>
    <s v="Male"/>
    <b v="1"/>
    <x v="6"/>
  </r>
  <r>
    <s v="ORD-21331"/>
    <s v="CUST-5162"/>
    <d v="2023-08-10T00:00:00"/>
    <s v="Beauty"/>
    <s v="Face Serum"/>
    <n v="39.99"/>
    <n v="3"/>
    <n v="0"/>
    <n v="39.99"/>
    <n v="119.97"/>
    <s v="Wallet"/>
    <s v="Delivered"/>
    <m/>
    <n v="51"/>
    <s v="San Antonio"/>
    <s v="Platinum"/>
    <s v="Male"/>
    <b v="1"/>
    <x v="24"/>
  </r>
  <r>
    <s v="ORD-21332"/>
    <s v="CUST-5162"/>
    <d v="2024-03-05T00:00:00"/>
    <s v="Books"/>
    <s v="Fiction Novel"/>
    <n v="14.99"/>
    <n v="4"/>
    <n v="0"/>
    <n v="14.99"/>
    <n v="59.96"/>
    <s v="Debit Card"/>
    <s v="Delivered"/>
    <n v="4"/>
    <n v="51"/>
    <s v="San Antonio"/>
    <s v="Platinum"/>
    <s v="Male"/>
    <b v="1"/>
    <x v="1"/>
  </r>
  <r>
    <s v="ORD-21333"/>
    <s v="CUST-5162"/>
    <d v="2024-02-27T00:00:00"/>
    <s v="Beauty"/>
    <s v="Lip Balm Set"/>
    <n v="14.99"/>
    <n v="4"/>
    <n v="0"/>
    <n v="14.99"/>
    <n v="59.96"/>
    <s v="Wallet"/>
    <s v="Delivered"/>
    <n v="4"/>
    <n v="51"/>
    <s v="San Antonio"/>
    <s v="Platinum"/>
    <s v="Male"/>
    <b v="1"/>
    <x v="0"/>
  </r>
  <r>
    <s v="ORD-21334"/>
    <s v="CUST-5162"/>
    <d v="2022-08-05T00:00:00"/>
    <s v="Electronics"/>
    <s v="Wireless Earbuds"/>
    <n v="79.989999999999995"/>
    <n v="4"/>
    <n v="0"/>
    <n v="79.989999999999995"/>
    <n v="319.95999999999998"/>
    <s v="Debit Card"/>
    <s v="Processing"/>
    <m/>
    <n v="51"/>
    <s v="San Antonio"/>
    <s v="Platinum"/>
    <s v="Male"/>
    <b v="1"/>
    <x v="7"/>
  </r>
  <r>
    <s v="ORD-21335"/>
    <s v="CUST-5162"/>
    <d v="2023-03-20T00:00:00"/>
    <s v="Clothing"/>
    <s v="Yoga Pants"/>
    <n v="44.99"/>
    <n v="4"/>
    <n v="15"/>
    <n v="38.24"/>
    <n v="152.96"/>
    <s v="Debit Card"/>
    <s v="Delivered"/>
    <m/>
    <n v="51"/>
    <s v="San Antonio"/>
    <s v="Platinum"/>
    <s v="Male"/>
    <b v="1"/>
    <x v="23"/>
  </r>
  <r>
    <s v="ORD-21336"/>
    <s v="CUST-5162"/>
    <d v="2023-02-11T00:00:00"/>
    <s v="Books"/>
    <s v="Business Analytics"/>
    <n v="39.99"/>
    <n v="4"/>
    <n v="15"/>
    <n v="33.99"/>
    <n v="135.96"/>
    <s v="PayPal"/>
    <s v="Delivered"/>
    <m/>
    <n v="51"/>
    <s v="San Antonio"/>
    <s v="Platinum"/>
    <s v="Male"/>
    <b v="1"/>
    <x v="34"/>
  </r>
  <r>
    <s v="ORD-21337"/>
    <s v="CUST-5162"/>
    <d v="2023-03-15T00:00:00"/>
    <s v="Toys"/>
    <s v="Action Figure"/>
    <n v="19.989999999999998"/>
    <n v="1"/>
    <n v="5"/>
    <n v="18.989999999999998"/>
    <n v="18.989999999999998"/>
    <s v="Wallet"/>
    <s v="Delivered"/>
    <n v="4"/>
    <n v="51"/>
    <s v="San Antonio"/>
    <s v="Platinum"/>
    <s v="Male"/>
    <b v="1"/>
    <x v="23"/>
  </r>
  <r>
    <s v="ORD-21338"/>
    <s v="CUST-5162"/>
    <d v="2023-09-02T00:00:00"/>
    <s v="Books"/>
    <s v="Data Science Handbook"/>
    <n v="49.99"/>
    <n v="4"/>
    <n v="10"/>
    <n v="44.99"/>
    <n v="179.96"/>
    <s v="PayPal"/>
    <s v="Delivered"/>
    <n v="4"/>
    <n v="51"/>
    <s v="San Antonio"/>
    <s v="Platinum"/>
    <s v="Male"/>
    <b v="1"/>
    <x v="6"/>
  </r>
  <r>
    <s v="ORD-21339"/>
    <s v="CUST-5162"/>
    <d v="2023-01-07T00:00:00"/>
    <s v="Books"/>
    <s v="Python for Beginners"/>
    <n v="29.99"/>
    <n v="4"/>
    <n v="0"/>
    <n v="29.99"/>
    <n v="119.96"/>
    <s v="PayPal"/>
    <s v="Delivered"/>
    <m/>
    <n v="51"/>
    <s v="San Antonio"/>
    <s v="Platinum"/>
    <s v="Male"/>
    <b v="1"/>
    <x v="10"/>
  </r>
  <r>
    <s v="ORD-21340"/>
    <s v="CUST-5162"/>
    <d v="2023-11-12T00:00:00"/>
    <s v="Toys"/>
    <s v="Remote Control Car"/>
    <n v="39.99"/>
    <n v="1"/>
    <n v="5"/>
    <n v="37.99"/>
    <n v="37.99"/>
    <s v="Debit Card"/>
    <s v="Delivered"/>
    <n v="4"/>
    <n v="51"/>
    <s v="San Antonio"/>
    <s v="Platinum"/>
    <s v="Male"/>
    <b v="1"/>
    <x v="29"/>
  </r>
  <r>
    <s v="ORD-21341"/>
    <s v="CUST-5162"/>
    <d v="2022-10-09T00:00:00"/>
    <s v="Clothing"/>
    <s v="Yoga Pants"/>
    <n v="44.99"/>
    <n v="1"/>
    <n v="0"/>
    <n v="44.99"/>
    <n v="44.99"/>
    <s v="Debit Card"/>
    <s v="Delivered"/>
    <n v="4"/>
    <n v="51"/>
    <s v="San Antonio"/>
    <s v="Platinum"/>
    <s v="Male"/>
    <b v="1"/>
    <x v="20"/>
  </r>
  <r>
    <s v="ORD-21342"/>
    <s v="CUST-5163"/>
    <d v="2024-02-25T00:00:00"/>
    <s v="Electronics"/>
    <s v="Wireless Earbuds"/>
    <n v="79.989999999999995"/>
    <n v="1"/>
    <n v="10"/>
    <n v="71.989999999999995"/>
    <n v="71.989999999999995"/>
    <s v="Debit Card"/>
    <s v="Delivered"/>
    <m/>
    <n v="50"/>
    <s v="San Diego"/>
    <s v="Silver"/>
    <s v="Female"/>
    <b v="1"/>
    <x v="0"/>
  </r>
  <r>
    <s v="ORD-21343"/>
    <s v="CUST-5163"/>
    <d v="2024-10-14T00:00:00"/>
    <s v="Clothing"/>
    <s v="Yoga Pants"/>
    <n v="44.99"/>
    <n v="3"/>
    <n v="15"/>
    <n v="38.24"/>
    <n v="114.72"/>
    <s v="UPI"/>
    <s v="Shipped"/>
    <n v="4"/>
    <n v="50"/>
    <s v="San Diego"/>
    <s v="Silver"/>
    <s v="Female"/>
    <b v="1"/>
    <x v="21"/>
  </r>
  <r>
    <s v="ORD-21344"/>
    <s v="CUST-5163"/>
    <d v="2022-05-07T00:00:00"/>
    <s v="Sports"/>
    <s v="Yoga Mat"/>
    <n v="29.99"/>
    <n v="2"/>
    <n v="0"/>
    <n v="29.99"/>
    <n v="59.98"/>
    <s v="Wallet"/>
    <s v="Delivered"/>
    <m/>
    <n v="50"/>
    <s v="San Diego"/>
    <s v="Silver"/>
    <s v="Female"/>
    <b v="1"/>
    <x v="31"/>
  </r>
  <r>
    <s v="ORD-21345"/>
    <s v="CUST-5163"/>
    <d v="2023-05-12T00:00:00"/>
    <s v="Beauty"/>
    <s v="Hair Mask"/>
    <n v="24.99"/>
    <n v="3"/>
    <n v="0"/>
    <n v="24.99"/>
    <n v="74.97"/>
    <s v="UPI"/>
    <s v="Delivered"/>
    <n v="5"/>
    <n v="50"/>
    <s v="San Diego"/>
    <s v="Silver"/>
    <s v="Female"/>
    <b v="1"/>
    <x v="5"/>
  </r>
  <r>
    <s v="ORD-21346"/>
    <s v="CUST-5163"/>
    <d v="2022-04-20T00:00:00"/>
    <s v="Electronics"/>
    <s v="Wireless Earbuds"/>
    <n v="79.989999999999995"/>
    <n v="1"/>
    <n v="10"/>
    <n v="71.989999999999995"/>
    <n v="71.989999999999995"/>
    <s v="Wallet"/>
    <s v="Delivered"/>
    <n v="5"/>
    <n v="50"/>
    <s v="San Diego"/>
    <s v="Silver"/>
    <s v="Female"/>
    <b v="1"/>
    <x v="12"/>
  </r>
  <r>
    <s v="ORD-21347"/>
    <s v="CUST-5163"/>
    <d v="2023-09-15T00:00:00"/>
    <s v="Toys"/>
    <s v="Puzzle 1000pcs"/>
    <n v="24.99"/>
    <n v="4"/>
    <n v="0"/>
    <n v="24.99"/>
    <n v="99.96"/>
    <s v="Wallet"/>
    <s v="Delivered"/>
    <n v="2"/>
    <n v="50"/>
    <s v="San Diego"/>
    <s v="Silver"/>
    <s v="Female"/>
    <b v="1"/>
    <x v="6"/>
  </r>
  <r>
    <s v="ORD-21348"/>
    <s v="CUST-5163"/>
    <d v="2023-02-07T00:00:00"/>
    <s v="Sports"/>
    <s v="Water Bottle"/>
    <n v="24.99"/>
    <n v="4"/>
    <n v="0"/>
    <n v="24.99"/>
    <n v="99.96"/>
    <s v="Debit Card"/>
    <s v="Delivered"/>
    <n v="5"/>
    <n v="50"/>
    <s v="San Diego"/>
    <s v="Silver"/>
    <s v="Female"/>
    <b v="1"/>
    <x v="34"/>
  </r>
  <r>
    <s v="ORD-21349"/>
    <s v="CUST-5163"/>
    <d v="2023-07-11T00:00:00"/>
    <s v="Clothing"/>
    <s v="Running Shoes"/>
    <n v="89.99"/>
    <n v="4"/>
    <n v="0"/>
    <n v="89.99"/>
    <n v="359.96"/>
    <s v="UPI"/>
    <s v="Delivered"/>
    <n v="4"/>
    <n v="50"/>
    <s v="San Diego"/>
    <s v="Silver"/>
    <s v="Female"/>
    <b v="1"/>
    <x v="9"/>
  </r>
  <r>
    <s v="ORD-21350"/>
    <s v="CUST-5163"/>
    <d v="2022-11-27T00:00:00"/>
    <s v="Beauty"/>
    <s v="Hair Mask"/>
    <n v="24.99"/>
    <n v="4"/>
    <n v="5"/>
    <n v="23.74"/>
    <n v="94.96"/>
    <s v="Credit Card"/>
    <s v="Delivered"/>
    <n v="3"/>
    <n v="50"/>
    <s v="San Diego"/>
    <s v="Silver"/>
    <s v="Female"/>
    <b v="1"/>
    <x v="3"/>
  </r>
  <r>
    <s v="ORD-21351"/>
    <s v="CUST-5163"/>
    <d v="2022-01-11T00:00:00"/>
    <s v="Toys"/>
    <s v="Action Figure"/>
    <n v="19.989999999999998"/>
    <n v="4"/>
    <n v="20"/>
    <n v="15.99"/>
    <n v="63.96"/>
    <s v="Credit Card"/>
    <s v="Delivered"/>
    <n v="4"/>
    <n v="50"/>
    <s v="San Diego"/>
    <s v="Silver"/>
    <s v="Female"/>
    <b v="1"/>
    <x v="2"/>
  </r>
  <r>
    <s v="ORD-21352"/>
    <s v="CUST-5164"/>
    <d v="2023-03-09T00:00:00"/>
    <s v="Beauty"/>
    <s v="Lip Balm Set"/>
    <n v="14.99"/>
    <n v="2"/>
    <n v="15"/>
    <n v="12.74"/>
    <n v="25.48"/>
    <s v="UPI"/>
    <s v="Delivered"/>
    <n v="3"/>
    <n v="41"/>
    <s v="Dallas"/>
    <s v="Gold"/>
    <s v="Male"/>
    <b v="1"/>
    <x v="23"/>
  </r>
  <r>
    <s v="ORD-21353"/>
    <s v="CUST-5164"/>
    <d v="2023-05-05T00:00:00"/>
    <s v="Books"/>
    <s v="Data Science Handbook"/>
    <n v="49.99"/>
    <n v="1"/>
    <n v="0"/>
    <n v="49.99"/>
    <n v="49.99"/>
    <s v="PayPal"/>
    <s v="Delivered"/>
    <m/>
    <n v="41"/>
    <s v="Dallas"/>
    <s v="Gold"/>
    <s v="Male"/>
    <b v="1"/>
    <x v="5"/>
  </r>
  <r>
    <s v="ORD-21354"/>
    <s v="CUST-5164"/>
    <d v="2024-11-24T00:00:00"/>
    <s v="Books"/>
    <s v="Business Analytics"/>
    <n v="39.99"/>
    <n v="4"/>
    <n v="0"/>
    <n v="39.99"/>
    <n v="159.96"/>
    <s v="Debit Card"/>
    <s v="Shipped"/>
    <n v="5"/>
    <n v="41"/>
    <s v="Dallas"/>
    <s v="Gold"/>
    <s v="Male"/>
    <b v="1"/>
    <x v="16"/>
  </r>
  <r>
    <s v="ORD-21355"/>
    <s v="CUST-5164"/>
    <d v="2024-04-22T00:00:00"/>
    <s v="Toys"/>
    <s v="LEGO Classic Set"/>
    <n v="49.99"/>
    <n v="3"/>
    <n v="15"/>
    <n v="42.49"/>
    <n v="127.47"/>
    <s v="PayPal"/>
    <s v="Processing"/>
    <m/>
    <n v="41"/>
    <s v="Dallas"/>
    <s v="Gold"/>
    <s v="Male"/>
    <b v="1"/>
    <x v="27"/>
  </r>
  <r>
    <s v="ORD-21356"/>
    <s v="CUST-5165"/>
    <d v="2024-01-03T00:00:00"/>
    <s v="Electronics"/>
    <s v="Bluetooth Speaker"/>
    <n v="49.99"/>
    <n v="4"/>
    <n v="5"/>
    <n v="47.49"/>
    <n v="189.96"/>
    <s v="Debit Card"/>
    <s v="Delivered"/>
    <n v="5"/>
    <n v="54"/>
    <s v="Jacksonville"/>
    <s v="Free"/>
    <s v="Female"/>
    <b v="1"/>
    <x v="25"/>
  </r>
  <r>
    <s v="ORD-21357"/>
    <s v="CUST-5165"/>
    <d v="2024-10-07T00:00:00"/>
    <s v="Electronics"/>
    <s v="USB-C Hub"/>
    <n v="34.99"/>
    <n v="1"/>
    <n v="10"/>
    <n v="31.49"/>
    <n v="31.49"/>
    <s v="Credit Card"/>
    <s v="Delivered"/>
    <n v="5"/>
    <n v="54"/>
    <s v="Jacksonville"/>
    <s v="Free"/>
    <s v="Female"/>
    <b v="1"/>
    <x v="21"/>
  </r>
  <r>
    <s v="ORD-21358"/>
    <s v="CUST-5165"/>
    <d v="2022-07-05T00:00:00"/>
    <s v="Clothing"/>
    <s v="Cotton T-Shirt"/>
    <n v="24.99"/>
    <n v="1"/>
    <n v="0"/>
    <n v="24.99"/>
    <n v="24.99"/>
    <s v="Wallet"/>
    <s v="Delivered"/>
    <n v="5"/>
    <n v="54"/>
    <s v="Jacksonville"/>
    <s v="Free"/>
    <s v="Female"/>
    <b v="1"/>
    <x v="33"/>
  </r>
  <r>
    <s v="ORD-21359"/>
    <s v="CUST-5165"/>
    <d v="2024-10-12T00:00:00"/>
    <s v="Beauty"/>
    <s v="Face Serum"/>
    <n v="39.99"/>
    <n v="1"/>
    <n v="15"/>
    <n v="33.99"/>
    <n v="33.99"/>
    <s v="Wallet"/>
    <s v="Delivered"/>
    <n v="2"/>
    <n v="54"/>
    <s v="Jacksonville"/>
    <s v="Free"/>
    <s v="Female"/>
    <b v="1"/>
    <x v="21"/>
  </r>
  <r>
    <s v="ORD-21360"/>
    <s v="CUST-5166"/>
    <d v="2023-07-05T00:00:00"/>
    <s v="Sports"/>
    <s v="Water Bottle"/>
    <n v="24.99"/>
    <n v="1"/>
    <n v="0"/>
    <n v="24.99"/>
    <n v="24.99"/>
    <s v="Debit Card"/>
    <s v="Delivered"/>
    <n v="5"/>
    <n v="20"/>
    <s v="Chicago"/>
    <s v="Silver"/>
    <s v="Female"/>
    <b v="1"/>
    <x v="9"/>
  </r>
  <r>
    <s v="ORD-21361"/>
    <s v="CUST-5166"/>
    <d v="2024-01-05T00:00:00"/>
    <s v="Sports"/>
    <s v="Jump Rope"/>
    <n v="14.99"/>
    <n v="2"/>
    <n v="5"/>
    <n v="14.24"/>
    <n v="28.48"/>
    <s v="Wallet"/>
    <s v="Processing"/>
    <n v="1"/>
    <n v="20"/>
    <s v="Chicago"/>
    <s v="Silver"/>
    <s v="Female"/>
    <b v="1"/>
    <x v="25"/>
  </r>
  <r>
    <s v="ORD-21362"/>
    <s v="CUST-5166"/>
    <d v="2022-08-02T00:00:00"/>
    <s v="Beauty"/>
    <s v="Hair Mask"/>
    <n v="24.99"/>
    <n v="3"/>
    <n v="10"/>
    <n v="22.49"/>
    <n v="67.47"/>
    <s v="Debit Card"/>
    <s v="Delivered"/>
    <n v="5"/>
    <n v="20"/>
    <s v="Chicago"/>
    <s v="Silver"/>
    <s v="Female"/>
    <b v="1"/>
    <x v="7"/>
  </r>
  <r>
    <s v="ORD-21363"/>
    <s v="CUST-5166"/>
    <d v="2023-02-18T00:00:00"/>
    <s v="Sports"/>
    <s v="Resistance Bands"/>
    <n v="19.989999999999998"/>
    <n v="1"/>
    <n v="0"/>
    <n v="19.989999999999998"/>
    <n v="19.989999999999998"/>
    <s v="PayPal"/>
    <s v="Delivered"/>
    <m/>
    <n v="20"/>
    <s v="Chicago"/>
    <s v="Silver"/>
    <s v="Female"/>
    <b v="1"/>
    <x v="34"/>
  </r>
  <r>
    <s v="ORD-21364"/>
    <s v="CUST-5166"/>
    <d v="2023-06-03T00:00:00"/>
    <s v="Electronics"/>
    <s v="Smart Watch"/>
    <n v="199.99"/>
    <n v="1"/>
    <n v="0"/>
    <n v="199.99"/>
    <n v="199.99"/>
    <s v="Credit Card"/>
    <s v="Delivered"/>
    <n v="4"/>
    <n v="20"/>
    <s v="Chicago"/>
    <s v="Silver"/>
    <s v="Female"/>
    <b v="1"/>
    <x v="19"/>
  </r>
  <r>
    <s v="ORD-21365"/>
    <s v="CUST-5166"/>
    <d v="2023-10-13T00:00:00"/>
    <s v="Books"/>
    <s v="Business Analytics"/>
    <n v="39.99"/>
    <n v="1"/>
    <n v="10"/>
    <n v="35.99"/>
    <n v="35.99"/>
    <s v="UPI"/>
    <s v="Delivered"/>
    <n v="5"/>
    <n v="20"/>
    <s v="Chicago"/>
    <s v="Silver"/>
    <s v="Female"/>
    <b v="1"/>
    <x v="13"/>
  </r>
  <r>
    <s v="ORD-21366"/>
    <s v="CUST-5166"/>
    <d v="2022-03-12T00:00:00"/>
    <s v="Toys"/>
    <s v="Action Figure"/>
    <n v="19.989999999999998"/>
    <n v="3"/>
    <n v="5"/>
    <n v="18.989999999999998"/>
    <n v="56.97"/>
    <s v="UPI"/>
    <s v="Delivered"/>
    <m/>
    <n v="20"/>
    <s v="Chicago"/>
    <s v="Silver"/>
    <s v="Female"/>
    <b v="1"/>
    <x v="11"/>
  </r>
  <r>
    <s v="ORD-21367"/>
    <s v="CUST-5166"/>
    <d v="2023-11-23T00:00:00"/>
    <s v="Sports"/>
    <s v="Jump Rope"/>
    <n v="14.99"/>
    <n v="1"/>
    <n v="5"/>
    <n v="14.24"/>
    <n v="14.24"/>
    <s v="UPI"/>
    <s v="Delivered"/>
    <n v="4"/>
    <n v="20"/>
    <s v="Chicago"/>
    <s v="Silver"/>
    <s v="Female"/>
    <b v="1"/>
    <x v="29"/>
  </r>
  <r>
    <s v="ORD-21368"/>
    <s v="CUST-5167"/>
    <d v="2022-12-01T00:00:00"/>
    <s v="Electronics"/>
    <s v="Wireless Earbuds"/>
    <n v="79.989999999999995"/>
    <n v="2"/>
    <n v="10"/>
    <n v="71.989999999999995"/>
    <n v="143.97999999999999"/>
    <s v="UPI"/>
    <s v="Delivered"/>
    <n v="4"/>
    <n v="25"/>
    <s v="Phoenix"/>
    <s v="Silver"/>
    <s v="Female"/>
    <b v="1"/>
    <x v="28"/>
  </r>
  <r>
    <s v="ORD-21369"/>
    <s v="CUST-5167"/>
    <d v="2023-08-06T00:00:00"/>
    <s v="Toys"/>
    <s v="Action Figure"/>
    <n v="19.989999999999998"/>
    <n v="1"/>
    <n v="15"/>
    <n v="16.989999999999998"/>
    <n v="16.989999999999998"/>
    <s v="UPI"/>
    <s v="Delivered"/>
    <m/>
    <n v="25"/>
    <s v="Phoenix"/>
    <s v="Silver"/>
    <s v="Female"/>
    <b v="1"/>
    <x v="24"/>
  </r>
  <r>
    <s v="ORD-21370"/>
    <s v="CUST-5167"/>
    <d v="2024-09-03T00:00:00"/>
    <s v="Books"/>
    <s v="Business Analytics"/>
    <n v="39.99"/>
    <n v="4"/>
    <n v="0"/>
    <n v="39.99"/>
    <n v="159.96"/>
    <s v="Debit Card"/>
    <s v="Delivered"/>
    <n v="5"/>
    <n v="25"/>
    <s v="Phoenix"/>
    <s v="Silver"/>
    <s v="Female"/>
    <b v="1"/>
    <x v="15"/>
  </r>
  <r>
    <s v="ORD-21371"/>
    <s v="CUST-5167"/>
    <d v="2023-09-09T00:00:00"/>
    <s v="Clothing"/>
    <s v="Yoga Pants"/>
    <n v="44.99"/>
    <n v="1"/>
    <n v="20"/>
    <n v="35.99"/>
    <n v="35.99"/>
    <s v="Debit Card"/>
    <s v="Delivered"/>
    <n v="5"/>
    <n v="25"/>
    <s v="Phoenix"/>
    <s v="Silver"/>
    <s v="Female"/>
    <b v="1"/>
    <x v="6"/>
  </r>
  <r>
    <s v="ORD-21372"/>
    <s v="CUST-5167"/>
    <d v="2022-02-17T00:00:00"/>
    <s v="Toys"/>
    <s v="Puzzle 1000pcs"/>
    <n v="24.99"/>
    <n v="3"/>
    <n v="5"/>
    <n v="23.74"/>
    <n v="71.22"/>
    <s v="Debit Card"/>
    <s v="Delivered"/>
    <n v="5"/>
    <n v="25"/>
    <s v="Phoenix"/>
    <s v="Silver"/>
    <s v="Female"/>
    <b v="1"/>
    <x v="17"/>
  </r>
  <r>
    <s v="ORD-21373"/>
    <s v="CUST-5167"/>
    <d v="2023-11-22T00:00:00"/>
    <s v="Home &amp; Kitchen"/>
    <s v="Non-stick Pan Set"/>
    <n v="44.99"/>
    <n v="4"/>
    <n v="20"/>
    <n v="35.99"/>
    <n v="143.96"/>
    <s v="Wallet"/>
    <s v="Delivered"/>
    <n v="5"/>
    <n v="25"/>
    <s v="Phoenix"/>
    <s v="Silver"/>
    <s v="Female"/>
    <b v="1"/>
    <x v="29"/>
  </r>
  <r>
    <s v="ORD-21374"/>
    <s v="CUST-5167"/>
    <d v="2022-03-11T00:00:00"/>
    <s v="Books"/>
    <s v="Business Analytics"/>
    <n v="39.99"/>
    <n v="3"/>
    <n v="15"/>
    <n v="33.99"/>
    <n v="101.97"/>
    <s v="Wallet"/>
    <s v="Delivered"/>
    <n v="3"/>
    <n v="25"/>
    <s v="Phoenix"/>
    <s v="Silver"/>
    <s v="Female"/>
    <b v="1"/>
    <x v="11"/>
  </r>
  <r>
    <s v="ORD-21375"/>
    <s v="CUST-5168"/>
    <d v="2024-06-26T00:00:00"/>
    <s v="Beauty"/>
    <s v="Moisturizer SPF 50"/>
    <n v="29.99"/>
    <n v="1"/>
    <n v="10"/>
    <n v="26.99"/>
    <n v="26.99"/>
    <s v="Debit Card"/>
    <s v="Delivered"/>
    <n v="5"/>
    <n v="46"/>
    <s v="Phoenix"/>
    <s v="Free"/>
    <s v="Male"/>
    <b v="1"/>
    <x v="35"/>
  </r>
  <r>
    <s v="ORD-21376"/>
    <s v="CUST-5168"/>
    <d v="2024-12-05T00:00:00"/>
    <s v="Home &amp; Kitchen"/>
    <s v="Air Fryer"/>
    <n v="89.99"/>
    <n v="3"/>
    <n v="0"/>
    <n v="89.99"/>
    <n v="269.97000000000003"/>
    <s v="Credit Card"/>
    <s v="Delivered"/>
    <m/>
    <n v="46"/>
    <s v="Phoenix"/>
    <s v="Free"/>
    <s v="Male"/>
    <b v="1"/>
    <x v="32"/>
  </r>
  <r>
    <s v="ORD-21377"/>
    <s v="CUST-5168"/>
    <d v="2023-01-08T00:00:00"/>
    <s v="Toys"/>
    <s v="LEGO Classic Set"/>
    <n v="49.99"/>
    <n v="3"/>
    <n v="0"/>
    <n v="49.99"/>
    <n v="149.97"/>
    <s v="PayPal"/>
    <s v="Delivered"/>
    <n v="5"/>
    <n v="46"/>
    <s v="Phoenix"/>
    <s v="Free"/>
    <s v="Male"/>
    <b v="1"/>
    <x v="10"/>
  </r>
  <r>
    <s v="ORD-21378"/>
    <s v="CUST-5168"/>
    <d v="2024-03-26T00:00:00"/>
    <s v="Electronics"/>
    <s v="Bluetooth Speaker"/>
    <n v="49.99"/>
    <n v="2"/>
    <n v="0"/>
    <n v="49.99"/>
    <n v="99.98"/>
    <s v="UPI"/>
    <s v="Delivered"/>
    <m/>
    <n v="46"/>
    <s v="Phoenix"/>
    <s v="Free"/>
    <s v="Male"/>
    <b v="1"/>
    <x v="1"/>
  </r>
  <r>
    <s v="ORD-21379"/>
    <s v="CUST-5168"/>
    <d v="2023-05-11T00:00:00"/>
    <s v="Books"/>
    <s v="Data Science Handbook"/>
    <n v="49.99"/>
    <n v="4"/>
    <n v="5"/>
    <n v="47.49"/>
    <n v="189.96"/>
    <s v="PayPal"/>
    <s v="Delivered"/>
    <m/>
    <n v="46"/>
    <s v="Phoenix"/>
    <s v="Free"/>
    <s v="Male"/>
    <b v="1"/>
    <x v="5"/>
  </r>
  <r>
    <s v="ORD-21380"/>
    <s v="CUST-5168"/>
    <d v="2022-08-03T00:00:00"/>
    <s v="Books"/>
    <s v="Python for Beginners"/>
    <n v="29.99"/>
    <n v="4"/>
    <n v="10"/>
    <n v="26.99"/>
    <n v="107.96"/>
    <s v="PayPal"/>
    <s v="Delivered"/>
    <m/>
    <n v="46"/>
    <s v="Phoenix"/>
    <s v="Free"/>
    <s v="Male"/>
    <b v="1"/>
    <x v="7"/>
  </r>
  <r>
    <s v="ORD-21381"/>
    <s v="CUST-5168"/>
    <d v="2022-07-05T00:00:00"/>
    <s v="Electronics"/>
    <s v="Wireless Earbuds"/>
    <n v="79.989999999999995"/>
    <n v="3"/>
    <n v="0"/>
    <n v="79.989999999999995"/>
    <n v="239.97"/>
    <s v="Credit Card"/>
    <s v="Processing"/>
    <n v="4"/>
    <n v="46"/>
    <s v="Phoenix"/>
    <s v="Free"/>
    <s v="Male"/>
    <b v="1"/>
    <x v="33"/>
  </r>
  <r>
    <s v="ORD-21382"/>
    <s v="CUST-5169"/>
    <d v="2024-08-01T00:00:00"/>
    <s v="Toys"/>
    <s v="Puzzle 1000pcs"/>
    <n v="24.99"/>
    <n v="2"/>
    <n v="0"/>
    <n v="24.99"/>
    <n v="49.98"/>
    <s v="Credit Card"/>
    <s v="Delivered"/>
    <m/>
    <n v="19"/>
    <s v="Jacksonville"/>
    <s v="Free"/>
    <s v="Male"/>
    <b v="1"/>
    <x v="26"/>
  </r>
  <r>
    <s v="ORD-21383"/>
    <s v="CUST-5169"/>
    <d v="2023-04-26T00:00:00"/>
    <s v="Toys"/>
    <s v="Puzzle 1000pcs"/>
    <n v="24.99"/>
    <n v="3"/>
    <n v="0"/>
    <n v="24.99"/>
    <n v="74.97"/>
    <s v="Wallet"/>
    <s v="Shipped"/>
    <n v="5"/>
    <n v="19"/>
    <s v="Jacksonville"/>
    <s v="Free"/>
    <s v="Male"/>
    <b v="1"/>
    <x v="18"/>
  </r>
  <r>
    <s v="ORD-21384"/>
    <s v="CUST-5169"/>
    <d v="2023-05-25T00:00:00"/>
    <s v="Toys"/>
    <s v="Remote Control Car"/>
    <n v="39.99"/>
    <n v="1"/>
    <n v="0"/>
    <n v="39.99"/>
    <n v="39.99"/>
    <s v="Wallet"/>
    <s v="Processing"/>
    <m/>
    <n v="19"/>
    <s v="Jacksonville"/>
    <s v="Free"/>
    <s v="Male"/>
    <b v="1"/>
    <x v="5"/>
  </r>
  <r>
    <s v="ORD-21385"/>
    <s v="CUST-5169"/>
    <d v="2023-03-14T00:00:00"/>
    <s v="Clothing"/>
    <s v="Yoga Pants"/>
    <n v="44.99"/>
    <n v="4"/>
    <n v="0"/>
    <n v="44.99"/>
    <n v="179.96"/>
    <s v="UPI"/>
    <s v="Delivered"/>
    <n v="4"/>
    <n v="19"/>
    <s v="Jacksonville"/>
    <s v="Free"/>
    <s v="Male"/>
    <b v="1"/>
    <x v="23"/>
  </r>
  <r>
    <s v="ORD-21386"/>
    <s v="CUST-5169"/>
    <d v="2023-12-02T00:00:00"/>
    <s v="Sports"/>
    <s v="Jump Rope"/>
    <n v="14.99"/>
    <n v="2"/>
    <n v="15"/>
    <n v="12.74"/>
    <n v="25.48"/>
    <s v="Credit Card"/>
    <s v="Delivered"/>
    <m/>
    <n v="19"/>
    <s v="Jacksonville"/>
    <s v="Free"/>
    <s v="Male"/>
    <b v="1"/>
    <x v="14"/>
  </r>
  <r>
    <s v="ORD-21387"/>
    <s v="CUST-5169"/>
    <d v="2022-07-17T00:00:00"/>
    <s v="Electronics"/>
    <s v="Wireless Earbuds"/>
    <n v="79.989999999999995"/>
    <n v="4"/>
    <n v="15"/>
    <n v="67.989999999999995"/>
    <n v="271.95999999999998"/>
    <s v="Wallet"/>
    <s v="Delivered"/>
    <n v="4"/>
    <n v="19"/>
    <s v="Jacksonville"/>
    <s v="Free"/>
    <s v="Male"/>
    <b v="1"/>
    <x v="33"/>
  </r>
  <r>
    <s v="ORD-21388"/>
    <s v="CUST-5170"/>
    <d v="2023-12-17T00:00:00"/>
    <s v="Home &amp; Kitchen"/>
    <s v="Air Fryer"/>
    <n v="89.99"/>
    <n v="2"/>
    <n v="15"/>
    <n v="76.489999999999995"/>
    <n v="152.97999999999999"/>
    <s v="PayPal"/>
    <s v="Delivered"/>
    <n v="5"/>
    <n v="28"/>
    <s v="Chicago"/>
    <s v="Free"/>
    <s v="Female"/>
    <b v="1"/>
    <x v="14"/>
  </r>
  <r>
    <s v="ORD-21389"/>
    <s v="CUST-5170"/>
    <d v="2022-09-25T00:00:00"/>
    <s v="Clothing"/>
    <s v="Denim Jacket"/>
    <n v="69.989999999999995"/>
    <n v="1"/>
    <n v="0"/>
    <n v="69.989999999999995"/>
    <n v="69.989999999999995"/>
    <s v="Credit Card"/>
    <s v="Delivered"/>
    <n v="5"/>
    <n v="28"/>
    <s v="Chicago"/>
    <s v="Free"/>
    <s v="Female"/>
    <b v="1"/>
    <x v="22"/>
  </r>
  <r>
    <s v="ORD-21390"/>
    <s v="CUST-5170"/>
    <d v="2022-01-02T00:00:00"/>
    <s v="Clothing"/>
    <s v="Denim Jacket"/>
    <n v="69.989999999999995"/>
    <n v="4"/>
    <n v="0"/>
    <n v="69.989999999999995"/>
    <n v="279.95999999999998"/>
    <s v="PayPal"/>
    <s v="Delivered"/>
    <n v="4"/>
    <n v="28"/>
    <s v="Chicago"/>
    <s v="Free"/>
    <s v="Female"/>
    <b v="1"/>
    <x v="2"/>
  </r>
  <r>
    <s v="ORD-21391"/>
    <s v="CUST-5170"/>
    <d v="2024-07-28T00:00:00"/>
    <s v="Electronics"/>
    <s v="USB-C Hub"/>
    <n v="34.99"/>
    <n v="2"/>
    <n v="0"/>
    <n v="34.99"/>
    <n v="69.98"/>
    <s v="Wallet"/>
    <s v="Delivered"/>
    <n v="4"/>
    <n v="28"/>
    <s v="Chicago"/>
    <s v="Free"/>
    <s v="Female"/>
    <b v="1"/>
    <x v="4"/>
  </r>
  <r>
    <s v="ORD-21392"/>
    <s v="CUST-5170"/>
    <d v="2023-12-25T00:00:00"/>
    <s v="Electronics"/>
    <s v="USB-C Hub"/>
    <n v="34.99"/>
    <n v="3"/>
    <n v="15"/>
    <n v="29.74"/>
    <n v="89.22"/>
    <s v="Wallet"/>
    <s v="Delivered"/>
    <n v="2"/>
    <n v="28"/>
    <s v="Chicago"/>
    <s v="Free"/>
    <s v="Female"/>
    <b v="1"/>
    <x v="14"/>
  </r>
  <r>
    <s v="ORD-21393"/>
    <s v="CUST-5170"/>
    <d v="2022-09-05T00:00:00"/>
    <s v="Sports"/>
    <s v="Resistance Bands"/>
    <n v="19.989999999999998"/>
    <n v="4"/>
    <n v="20"/>
    <n v="15.99"/>
    <n v="63.96"/>
    <s v="Debit Card"/>
    <s v="Delivered"/>
    <n v="4"/>
    <n v="28"/>
    <s v="Chicago"/>
    <s v="Free"/>
    <s v="Female"/>
    <b v="1"/>
    <x v="22"/>
  </r>
  <r>
    <s v="ORD-21394"/>
    <s v="CUST-5170"/>
    <d v="2022-02-01T00:00:00"/>
    <s v="Toys"/>
    <s v="Puzzle 1000pcs"/>
    <n v="24.99"/>
    <n v="4"/>
    <n v="15"/>
    <n v="21.24"/>
    <n v="84.96"/>
    <s v="PayPal"/>
    <s v="Shipped"/>
    <n v="5"/>
    <n v="28"/>
    <s v="Chicago"/>
    <s v="Free"/>
    <s v="Female"/>
    <b v="1"/>
    <x v="17"/>
  </r>
  <r>
    <s v="ORD-21395"/>
    <s v="CUST-5171"/>
    <d v="2022-11-20T00:00:00"/>
    <s v="Home &amp; Kitchen"/>
    <s v="Air Fryer"/>
    <n v="89.99"/>
    <n v="1"/>
    <n v="5"/>
    <n v="85.49"/>
    <n v="85.49"/>
    <s v="UPI"/>
    <s v="Delivered"/>
    <n v="3"/>
    <n v="61"/>
    <s v="Los Angeles"/>
    <s v="Free"/>
    <s v="Male"/>
    <b v="1"/>
    <x v="3"/>
  </r>
  <r>
    <s v="ORD-21396"/>
    <s v="CUST-5171"/>
    <d v="2023-04-11T00:00:00"/>
    <s v="Home &amp; Kitchen"/>
    <s v="Non-stick Pan Set"/>
    <n v="44.99"/>
    <n v="4"/>
    <n v="15"/>
    <n v="38.24"/>
    <n v="152.96"/>
    <s v="Debit Card"/>
    <s v="Delivered"/>
    <n v="3"/>
    <n v="61"/>
    <s v="Los Angeles"/>
    <s v="Free"/>
    <s v="Male"/>
    <b v="1"/>
    <x v="18"/>
  </r>
  <r>
    <s v="ORD-21397"/>
    <s v="CUST-5171"/>
    <d v="2024-08-25T00:00:00"/>
    <s v="Books"/>
    <s v="Python for Beginners"/>
    <n v="29.99"/>
    <n v="4"/>
    <n v="5"/>
    <n v="28.49"/>
    <n v="113.96"/>
    <s v="UPI"/>
    <s v="Delivered"/>
    <n v="4"/>
    <n v="61"/>
    <s v="Los Angeles"/>
    <s v="Free"/>
    <s v="Male"/>
    <b v="1"/>
    <x v="26"/>
  </r>
  <r>
    <s v="ORD-21398"/>
    <s v="CUST-5171"/>
    <d v="2023-04-24T00:00:00"/>
    <s v="Books"/>
    <s v="Python for Beginners"/>
    <n v="29.99"/>
    <n v="4"/>
    <n v="0"/>
    <n v="29.99"/>
    <n v="119.96"/>
    <s v="PayPal"/>
    <s v="Shipped"/>
    <n v="3"/>
    <n v="61"/>
    <s v="Los Angeles"/>
    <s v="Free"/>
    <s v="Male"/>
    <b v="1"/>
    <x v="18"/>
  </r>
  <r>
    <s v="ORD-21399"/>
    <s v="CUST-5171"/>
    <d v="2023-07-14T00:00:00"/>
    <s v="Electronics"/>
    <s v="Bluetooth Speaker"/>
    <n v="49.99"/>
    <n v="3"/>
    <n v="5"/>
    <n v="47.49"/>
    <n v="142.47"/>
    <s v="Wallet"/>
    <s v="Delivered"/>
    <m/>
    <n v="61"/>
    <s v="Los Angeles"/>
    <s v="Free"/>
    <s v="Male"/>
    <b v="1"/>
    <x v="9"/>
  </r>
  <r>
    <s v="ORD-21400"/>
    <s v="CUST-5171"/>
    <d v="2023-08-16T00:00:00"/>
    <s v="Electronics"/>
    <s v="Smart Watch"/>
    <n v="199.99"/>
    <n v="3"/>
    <n v="0"/>
    <n v="199.99"/>
    <n v="599.97"/>
    <s v="Debit Card"/>
    <s v="Delivered"/>
    <n v="1"/>
    <n v="61"/>
    <s v="Los Angeles"/>
    <s v="Free"/>
    <s v="Male"/>
    <b v="1"/>
    <x v="24"/>
  </r>
  <r>
    <s v="ORD-21401"/>
    <s v="CUST-5171"/>
    <d v="2022-02-05T00:00:00"/>
    <s v="Clothing"/>
    <s v="Denim Jacket"/>
    <n v="69.989999999999995"/>
    <n v="1"/>
    <n v="15"/>
    <n v="59.49"/>
    <n v="59.49"/>
    <s v="Debit Card"/>
    <s v="Delivered"/>
    <n v="5"/>
    <n v="61"/>
    <s v="Los Angeles"/>
    <s v="Free"/>
    <s v="Male"/>
    <b v="1"/>
    <x v="17"/>
  </r>
  <r>
    <s v="ORD-21402"/>
    <s v="CUST-5171"/>
    <d v="2024-01-25T00:00:00"/>
    <s v="Clothing"/>
    <s v="Cotton T-Shirt"/>
    <n v="24.99"/>
    <n v="4"/>
    <n v="0"/>
    <n v="24.99"/>
    <n v="99.96"/>
    <s v="Wallet"/>
    <s v="Delivered"/>
    <n v="3"/>
    <n v="61"/>
    <s v="Los Angeles"/>
    <s v="Free"/>
    <s v="Male"/>
    <b v="1"/>
    <x v="25"/>
  </r>
  <r>
    <s v="ORD-21403"/>
    <s v="CUST-5171"/>
    <d v="2024-11-24T00:00:00"/>
    <s v="Home &amp; Kitchen"/>
    <s v="Air Fryer"/>
    <n v="89.99"/>
    <n v="3"/>
    <n v="0"/>
    <n v="89.99"/>
    <n v="269.97000000000003"/>
    <s v="Credit Card"/>
    <s v="Delivered"/>
    <n v="4"/>
    <n v="61"/>
    <s v="Los Angeles"/>
    <s v="Free"/>
    <s v="Male"/>
    <b v="1"/>
    <x v="16"/>
  </r>
  <r>
    <s v="ORD-21404"/>
    <s v="CUST-5171"/>
    <d v="2023-04-27T00:00:00"/>
    <s v="Toys"/>
    <s v="Puzzle 1000pcs"/>
    <n v="24.99"/>
    <n v="1"/>
    <n v="0"/>
    <n v="24.99"/>
    <n v="24.99"/>
    <s v="Debit Card"/>
    <s v="Returned"/>
    <n v="5"/>
    <n v="61"/>
    <s v="Los Angeles"/>
    <s v="Free"/>
    <s v="Male"/>
    <b v="1"/>
    <x v="18"/>
  </r>
  <r>
    <s v="ORD-21405"/>
    <s v="CUST-5171"/>
    <d v="2024-07-03T00:00:00"/>
    <s v="Electronics"/>
    <s v="USB-C Hub"/>
    <n v="34.99"/>
    <n v="1"/>
    <n v="5"/>
    <n v="33.24"/>
    <n v="33.24"/>
    <s v="Wallet"/>
    <s v="Delivered"/>
    <n v="3"/>
    <n v="61"/>
    <s v="Los Angeles"/>
    <s v="Free"/>
    <s v="Male"/>
    <b v="1"/>
    <x v="4"/>
  </r>
  <r>
    <s v="ORD-21406"/>
    <s v="CUST-5171"/>
    <d v="2022-03-12T00:00:00"/>
    <s v="Electronics"/>
    <s v="USB-C Hub"/>
    <n v="34.99"/>
    <n v="3"/>
    <n v="0"/>
    <n v="34.99"/>
    <n v="104.97"/>
    <s v="UPI"/>
    <s v="Processing"/>
    <m/>
    <n v="61"/>
    <s v="Los Angeles"/>
    <s v="Free"/>
    <s v="Male"/>
    <b v="1"/>
    <x v="11"/>
  </r>
  <r>
    <s v="ORD-21407"/>
    <s v="CUST-5171"/>
    <d v="2023-08-26T00:00:00"/>
    <s v="Beauty"/>
    <s v="Lip Balm Set"/>
    <n v="14.99"/>
    <n v="1"/>
    <n v="15"/>
    <n v="12.74"/>
    <n v="12.74"/>
    <s v="UPI"/>
    <s v="Delivered"/>
    <n v="4"/>
    <n v="61"/>
    <s v="Los Angeles"/>
    <s v="Free"/>
    <s v="Male"/>
    <b v="1"/>
    <x v="24"/>
  </r>
  <r>
    <s v="ORD-21408"/>
    <s v="CUST-5172"/>
    <d v="2022-07-21T00:00:00"/>
    <s v="Toys"/>
    <s v="Puzzle 1000pcs"/>
    <n v="24.99"/>
    <n v="1"/>
    <n v="10"/>
    <n v="22.49"/>
    <n v="22.49"/>
    <s v="UPI"/>
    <s v="Delivered"/>
    <n v="5"/>
    <n v="40"/>
    <s v="New York"/>
    <s v="Free"/>
    <s v="Male"/>
    <b v="1"/>
    <x v="33"/>
  </r>
  <r>
    <s v="ORD-21409"/>
    <s v="CUST-5173"/>
    <d v="2022-10-10T00:00:00"/>
    <s v="Sports"/>
    <s v="Yoga Mat"/>
    <n v="29.99"/>
    <n v="1"/>
    <n v="20"/>
    <n v="23.99"/>
    <n v="23.99"/>
    <s v="Wallet"/>
    <s v="Delivered"/>
    <n v="2"/>
    <n v="50"/>
    <s v="San Diego"/>
    <s v="Free"/>
    <s v="Male"/>
    <b v="1"/>
    <x v="20"/>
  </r>
  <r>
    <s v="ORD-21410"/>
    <s v="CUST-5173"/>
    <d v="2022-01-28T00:00:00"/>
    <s v="Beauty"/>
    <s v="Moisturizer SPF 50"/>
    <n v="29.99"/>
    <n v="2"/>
    <n v="15"/>
    <n v="25.49"/>
    <n v="50.98"/>
    <s v="UPI"/>
    <s v="Delivered"/>
    <n v="4"/>
    <n v="50"/>
    <s v="San Diego"/>
    <s v="Free"/>
    <s v="Male"/>
    <b v="1"/>
    <x v="2"/>
  </r>
  <r>
    <s v="ORD-21411"/>
    <s v="CUST-5173"/>
    <d v="2023-05-02T00:00:00"/>
    <s v="Home &amp; Kitchen"/>
    <s v="Non-stick Pan Set"/>
    <n v="44.99"/>
    <n v="1"/>
    <n v="15"/>
    <n v="38.24"/>
    <n v="38.24"/>
    <s v="Credit Card"/>
    <s v="Delivered"/>
    <n v="4"/>
    <n v="50"/>
    <s v="San Diego"/>
    <s v="Free"/>
    <s v="Male"/>
    <b v="1"/>
    <x v="5"/>
  </r>
  <r>
    <s v="ORD-21412"/>
    <s v="CUST-5173"/>
    <d v="2023-02-20T00:00:00"/>
    <s v="Beauty"/>
    <s v="Moisturizer SPF 50"/>
    <n v="29.99"/>
    <n v="3"/>
    <n v="0"/>
    <n v="29.99"/>
    <n v="89.97"/>
    <s v="UPI"/>
    <s v="Delivered"/>
    <n v="3"/>
    <n v="50"/>
    <s v="San Diego"/>
    <s v="Free"/>
    <s v="Male"/>
    <b v="1"/>
    <x v="34"/>
  </r>
  <r>
    <s v="ORD-21413"/>
    <s v="CUST-5173"/>
    <d v="2022-12-05T00:00:00"/>
    <s v="Sports"/>
    <s v="Yoga Mat"/>
    <n v="29.99"/>
    <n v="2"/>
    <n v="5"/>
    <n v="28.49"/>
    <n v="56.98"/>
    <s v="UPI"/>
    <s v="Delivered"/>
    <n v="4"/>
    <n v="50"/>
    <s v="San Diego"/>
    <s v="Free"/>
    <s v="Male"/>
    <b v="1"/>
    <x v="28"/>
  </r>
  <r>
    <s v="ORD-21414"/>
    <s v="CUST-5173"/>
    <d v="2022-03-02T00:00:00"/>
    <s v="Beauty"/>
    <s v="Hair Mask"/>
    <n v="24.99"/>
    <n v="2"/>
    <n v="15"/>
    <n v="21.24"/>
    <n v="42.48"/>
    <s v="Credit Card"/>
    <s v="Delivered"/>
    <m/>
    <n v="50"/>
    <s v="San Diego"/>
    <s v="Free"/>
    <s v="Male"/>
    <b v="1"/>
    <x v="11"/>
  </r>
  <r>
    <s v="ORD-21415"/>
    <s v="CUST-5173"/>
    <d v="2024-08-27T00:00:00"/>
    <s v="Electronics"/>
    <s v="Bluetooth Speaker"/>
    <n v="49.99"/>
    <n v="4"/>
    <n v="0"/>
    <n v="49.99"/>
    <n v="199.96"/>
    <s v="Credit Card"/>
    <s v="Delivered"/>
    <m/>
    <n v="50"/>
    <s v="San Diego"/>
    <s v="Free"/>
    <s v="Male"/>
    <b v="1"/>
    <x v="26"/>
  </r>
  <r>
    <s v="ORD-21416"/>
    <s v="CUST-5173"/>
    <d v="2024-07-17T00:00:00"/>
    <s v="Clothing"/>
    <s v="Denim Jacket"/>
    <n v="69.989999999999995"/>
    <n v="1"/>
    <n v="5"/>
    <n v="66.489999999999995"/>
    <n v="66.489999999999995"/>
    <s v="UPI"/>
    <s v="Delivered"/>
    <m/>
    <n v="50"/>
    <s v="San Diego"/>
    <s v="Free"/>
    <s v="Male"/>
    <b v="1"/>
    <x v="4"/>
  </r>
  <r>
    <s v="ORD-21417"/>
    <s v="CUST-5173"/>
    <d v="2023-02-01T00:00:00"/>
    <s v="Electronics"/>
    <s v="Smart Watch"/>
    <n v="199.99"/>
    <n v="4"/>
    <n v="0"/>
    <n v="199.99"/>
    <n v="799.96"/>
    <s v="Credit Card"/>
    <s v="Delivered"/>
    <m/>
    <n v="50"/>
    <s v="San Diego"/>
    <s v="Free"/>
    <s v="Male"/>
    <b v="1"/>
    <x v="34"/>
  </r>
  <r>
    <s v="ORD-21418"/>
    <s v="CUST-5174"/>
    <d v="2024-01-10T00:00:00"/>
    <s v="Beauty"/>
    <s v="Lip Balm Set"/>
    <n v="14.99"/>
    <n v="3"/>
    <n v="5"/>
    <n v="14.24"/>
    <n v="42.72"/>
    <s v="PayPal"/>
    <s v="Delivered"/>
    <n v="5"/>
    <n v="37"/>
    <s v="Los Angeles"/>
    <s v="Free"/>
    <s v="Female"/>
    <b v="1"/>
    <x v="25"/>
  </r>
  <r>
    <s v="ORD-21419"/>
    <s v="CUST-5174"/>
    <d v="2022-02-24T00:00:00"/>
    <s v="Toys"/>
    <s v="Action Figure"/>
    <n v="19.989999999999998"/>
    <n v="1"/>
    <n v="20"/>
    <n v="15.99"/>
    <n v="15.99"/>
    <s v="PayPal"/>
    <s v="Delivered"/>
    <m/>
    <n v="37"/>
    <s v="Los Angeles"/>
    <s v="Free"/>
    <s v="Female"/>
    <b v="1"/>
    <x v="17"/>
  </r>
  <r>
    <s v="ORD-21420"/>
    <s v="CUST-5174"/>
    <d v="2023-12-07T00:00:00"/>
    <s v="Beauty"/>
    <s v="Moisturizer SPF 50"/>
    <n v="29.99"/>
    <n v="3"/>
    <n v="0"/>
    <n v="29.99"/>
    <n v="89.97"/>
    <s v="UPI"/>
    <s v="Shipped"/>
    <n v="4"/>
    <n v="37"/>
    <s v="Los Angeles"/>
    <s v="Free"/>
    <s v="Female"/>
    <b v="1"/>
    <x v="14"/>
  </r>
  <r>
    <s v="ORD-21421"/>
    <s v="CUST-5174"/>
    <d v="2022-06-19T00:00:00"/>
    <s v="Clothing"/>
    <s v="Yoga Pants"/>
    <n v="44.99"/>
    <n v="3"/>
    <n v="0"/>
    <n v="44.99"/>
    <n v="134.97"/>
    <s v="Wallet"/>
    <s v="Delivered"/>
    <n v="5"/>
    <n v="37"/>
    <s v="Los Angeles"/>
    <s v="Free"/>
    <s v="Female"/>
    <b v="1"/>
    <x v="8"/>
  </r>
  <r>
    <s v="ORD-21422"/>
    <s v="CUST-5174"/>
    <d v="2024-04-07T00:00:00"/>
    <s v="Books"/>
    <s v="Fiction Novel"/>
    <n v="14.99"/>
    <n v="1"/>
    <n v="0"/>
    <n v="14.99"/>
    <n v="14.99"/>
    <s v="PayPal"/>
    <s v="Delivered"/>
    <n v="3"/>
    <n v="37"/>
    <s v="Los Angeles"/>
    <s v="Free"/>
    <s v="Female"/>
    <b v="1"/>
    <x v="27"/>
  </r>
  <r>
    <s v="ORD-21423"/>
    <s v="CUST-5174"/>
    <d v="2024-11-28T00:00:00"/>
    <s v="Electronics"/>
    <s v="Bluetooth Speaker"/>
    <n v="49.99"/>
    <n v="1"/>
    <n v="15"/>
    <n v="42.49"/>
    <n v="42.49"/>
    <s v="PayPal"/>
    <s v="Delivered"/>
    <m/>
    <n v="37"/>
    <s v="Los Angeles"/>
    <s v="Free"/>
    <s v="Female"/>
    <b v="1"/>
    <x v="16"/>
  </r>
  <r>
    <s v="ORD-21424"/>
    <s v="CUST-5175"/>
    <d v="2024-09-28T00:00:00"/>
    <s v="Clothing"/>
    <s v="Yoga Pants"/>
    <n v="44.99"/>
    <n v="4"/>
    <n v="15"/>
    <n v="38.24"/>
    <n v="152.96"/>
    <s v="Wallet"/>
    <s v="Delivered"/>
    <n v="5"/>
    <n v="65"/>
    <s v="New York"/>
    <s v="Free"/>
    <s v="Male"/>
    <b v="1"/>
    <x v="15"/>
  </r>
  <r>
    <s v="ORD-21425"/>
    <s v="CUST-5175"/>
    <d v="2022-11-24T00:00:00"/>
    <s v="Home &amp; Kitchen"/>
    <s v="Air Fryer"/>
    <n v="89.99"/>
    <n v="4"/>
    <n v="0"/>
    <n v="89.99"/>
    <n v="359.96"/>
    <s v="Debit Card"/>
    <s v="Delivered"/>
    <n v="4"/>
    <n v="65"/>
    <s v="New York"/>
    <s v="Free"/>
    <s v="Male"/>
    <b v="1"/>
    <x v="3"/>
  </r>
  <r>
    <s v="ORD-21426"/>
    <s v="CUST-5175"/>
    <d v="2023-08-09T00:00:00"/>
    <s v="Toys"/>
    <s v="LEGO Classic Set"/>
    <n v="49.99"/>
    <n v="1"/>
    <n v="0"/>
    <n v="49.99"/>
    <n v="49.99"/>
    <s v="Credit Card"/>
    <s v="Delivered"/>
    <n v="5"/>
    <n v="65"/>
    <s v="New York"/>
    <s v="Free"/>
    <s v="Male"/>
    <b v="1"/>
    <x v="24"/>
  </r>
  <r>
    <s v="ORD-21427"/>
    <s v="CUST-5175"/>
    <d v="2023-09-10T00:00:00"/>
    <s v="Electronics"/>
    <s v="Bluetooth Speaker"/>
    <n v="49.99"/>
    <n v="2"/>
    <n v="0"/>
    <n v="49.99"/>
    <n v="99.98"/>
    <s v="UPI"/>
    <s v="Delivered"/>
    <n v="4"/>
    <n v="65"/>
    <s v="New York"/>
    <s v="Free"/>
    <s v="Male"/>
    <b v="1"/>
    <x v="6"/>
  </r>
  <r>
    <s v="ORD-21428"/>
    <s v="CUST-5175"/>
    <d v="2022-05-10T00:00:00"/>
    <s v="Books"/>
    <s v="Python for Beginners"/>
    <n v="29.99"/>
    <n v="1"/>
    <n v="20"/>
    <n v="23.99"/>
    <n v="23.99"/>
    <s v="Debit Card"/>
    <s v="Delivered"/>
    <n v="5"/>
    <n v="65"/>
    <s v="New York"/>
    <s v="Free"/>
    <s v="Male"/>
    <b v="1"/>
    <x v="31"/>
  </r>
  <r>
    <s v="ORD-21429"/>
    <s v="CUST-5175"/>
    <d v="2024-03-28T00:00:00"/>
    <s v="Clothing"/>
    <s v="Denim Jacket"/>
    <n v="69.989999999999995"/>
    <n v="2"/>
    <n v="15"/>
    <n v="59.49"/>
    <n v="118.98"/>
    <s v="PayPal"/>
    <s v="Delivered"/>
    <n v="3"/>
    <n v="65"/>
    <s v="New York"/>
    <s v="Free"/>
    <s v="Male"/>
    <b v="1"/>
    <x v="1"/>
  </r>
  <r>
    <s v="ORD-21430"/>
    <s v="CUST-5175"/>
    <d v="2024-03-28T00:00:00"/>
    <s v="Home &amp; Kitchen"/>
    <s v="Non-stick Pan Set"/>
    <n v="44.99"/>
    <n v="3"/>
    <n v="20"/>
    <n v="35.99"/>
    <n v="107.97"/>
    <s v="Wallet"/>
    <s v="Delivered"/>
    <n v="5"/>
    <n v="65"/>
    <s v="New York"/>
    <s v="Free"/>
    <s v="Male"/>
    <b v="1"/>
    <x v="1"/>
  </r>
  <r>
    <s v="ORD-21431"/>
    <s v="CUST-5175"/>
    <d v="2024-10-08T00:00:00"/>
    <s v="Toys"/>
    <s v="LEGO Classic Set"/>
    <n v="49.99"/>
    <n v="4"/>
    <n v="10"/>
    <n v="44.99"/>
    <n v="179.96"/>
    <s v="PayPal"/>
    <s v="Delivered"/>
    <n v="5"/>
    <n v="65"/>
    <s v="New York"/>
    <s v="Free"/>
    <s v="Male"/>
    <b v="1"/>
    <x v="21"/>
  </r>
  <r>
    <s v="ORD-21432"/>
    <s v="CUST-5175"/>
    <d v="2024-11-04T00:00:00"/>
    <s v="Electronics"/>
    <s v="USB-C Hub"/>
    <n v="34.99"/>
    <n v="4"/>
    <n v="15"/>
    <n v="29.74"/>
    <n v="118.96"/>
    <s v="Wallet"/>
    <s v="Shipped"/>
    <n v="3"/>
    <n v="65"/>
    <s v="New York"/>
    <s v="Free"/>
    <s v="Male"/>
    <b v="1"/>
    <x v="16"/>
  </r>
  <r>
    <s v="ORD-21433"/>
    <s v="CUST-5175"/>
    <d v="2023-07-15T00:00:00"/>
    <s v="Beauty"/>
    <s v="Moisturizer SPF 50"/>
    <n v="29.99"/>
    <n v="3"/>
    <n v="0"/>
    <n v="29.99"/>
    <n v="89.97"/>
    <s v="Debit Card"/>
    <s v="Delivered"/>
    <m/>
    <n v="65"/>
    <s v="New York"/>
    <s v="Free"/>
    <s v="Male"/>
    <b v="1"/>
    <x v="9"/>
  </r>
  <r>
    <s v="ORD-21434"/>
    <s v="CUST-5175"/>
    <d v="2023-09-18T00:00:00"/>
    <s v="Clothing"/>
    <s v="Yoga Pants"/>
    <n v="44.99"/>
    <n v="2"/>
    <n v="10"/>
    <n v="40.49"/>
    <n v="80.98"/>
    <s v="UPI"/>
    <s v="Delivered"/>
    <n v="5"/>
    <n v="65"/>
    <s v="New York"/>
    <s v="Free"/>
    <s v="Male"/>
    <b v="1"/>
    <x v="6"/>
  </r>
  <r>
    <s v="ORD-21435"/>
    <s v="CUST-5175"/>
    <d v="2024-02-21T00:00:00"/>
    <s v="Clothing"/>
    <s v="Cotton T-Shirt"/>
    <n v="24.99"/>
    <n v="4"/>
    <n v="0"/>
    <n v="24.99"/>
    <n v="99.96"/>
    <s v="Credit Card"/>
    <s v="Delivered"/>
    <n v="4"/>
    <n v="65"/>
    <s v="New York"/>
    <s v="Free"/>
    <s v="Male"/>
    <b v="1"/>
    <x v="0"/>
  </r>
  <r>
    <s v="ORD-21436"/>
    <s v="CUST-5175"/>
    <d v="2023-02-09T00:00:00"/>
    <s v="Home &amp; Kitchen"/>
    <s v="Air Fryer"/>
    <n v="89.99"/>
    <n v="4"/>
    <n v="5"/>
    <n v="85.49"/>
    <n v="341.96"/>
    <s v="Wallet"/>
    <s v="Delivered"/>
    <n v="1"/>
    <n v="65"/>
    <s v="New York"/>
    <s v="Free"/>
    <s v="Male"/>
    <b v="1"/>
    <x v="34"/>
  </r>
  <r>
    <s v="ORD-21437"/>
    <s v="CUST-5175"/>
    <d v="2023-05-27T00:00:00"/>
    <s v="Home &amp; Kitchen"/>
    <s v="Blender"/>
    <n v="64.989999999999995"/>
    <n v="3"/>
    <n v="15"/>
    <n v="55.24"/>
    <n v="165.72"/>
    <s v="Debit Card"/>
    <s v="Delivered"/>
    <n v="4"/>
    <n v="65"/>
    <s v="New York"/>
    <s v="Free"/>
    <s v="Male"/>
    <b v="1"/>
    <x v="5"/>
  </r>
  <r>
    <s v="ORD-21438"/>
    <s v="CUST-5176"/>
    <d v="2022-09-25T00:00:00"/>
    <s v="Books"/>
    <s v="Data Science Handbook"/>
    <n v="49.99"/>
    <n v="2"/>
    <n v="0"/>
    <n v="49.99"/>
    <n v="99.98"/>
    <s v="Debit Card"/>
    <s v="Delivered"/>
    <n v="4"/>
    <n v="22"/>
    <s v="San Antonio"/>
    <s v="Free"/>
    <s v="Male"/>
    <b v="1"/>
    <x v="22"/>
  </r>
  <r>
    <s v="ORD-21439"/>
    <s v="CUST-5176"/>
    <d v="2022-10-01T00:00:00"/>
    <s v="Beauty"/>
    <s v="Lip Balm Set"/>
    <n v="14.99"/>
    <n v="2"/>
    <n v="5"/>
    <n v="14.24"/>
    <n v="28.48"/>
    <s v="Wallet"/>
    <s v="Delivered"/>
    <n v="5"/>
    <n v="22"/>
    <s v="San Antonio"/>
    <s v="Free"/>
    <s v="Male"/>
    <b v="1"/>
    <x v="20"/>
  </r>
  <r>
    <s v="ORD-21440"/>
    <s v="CUST-5176"/>
    <d v="2022-04-05T00:00:00"/>
    <s v="Books"/>
    <s v="Fiction Novel"/>
    <n v="14.99"/>
    <n v="1"/>
    <n v="20"/>
    <n v="11.99"/>
    <n v="11.99"/>
    <s v="PayPal"/>
    <s v="Delivered"/>
    <n v="3"/>
    <n v="22"/>
    <s v="San Antonio"/>
    <s v="Free"/>
    <s v="Male"/>
    <b v="1"/>
    <x v="12"/>
  </r>
  <r>
    <s v="ORD-21441"/>
    <s v="CUST-5176"/>
    <d v="2022-06-12T00:00:00"/>
    <s v="Books"/>
    <s v="Python for Beginners"/>
    <n v="29.99"/>
    <n v="4"/>
    <n v="0"/>
    <n v="29.99"/>
    <n v="119.96"/>
    <s v="Debit Card"/>
    <s v="Delivered"/>
    <n v="4"/>
    <n v="22"/>
    <s v="San Antonio"/>
    <s v="Free"/>
    <s v="Male"/>
    <b v="1"/>
    <x v="8"/>
  </r>
  <r>
    <s v="ORD-21442"/>
    <s v="CUST-5176"/>
    <d v="2022-11-21T00:00:00"/>
    <s v="Books"/>
    <s v="Python for Beginners"/>
    <n v="29.99"/>
    <n v="3"/>
    <n v="0"/>
    <n v="29.99"/>
    <n v="89.97"/>
    <s v="Debit Card"/>
    <s v="Delivered"/>
    <n v="5"/>
    <n v="22"/>
    <s v="San Antonio"/>
    <s v="Free"/>
    <s v="Male"/>
    <b v="1"/>
    <x v="3"/>
  </r>
  <r>
    <s v="ORD-21443"/>
    <s v="CUST-5176"/>
    <d v="2022-08-20T00:00:00"/>
    <s v="Home &amp; Kitchen"/>
    <s v="Air Fryer"/>
    <n v="89.99"/>
    <n v="1"/>
    <n v="0"/>
    <n v="89.99"/>
    <n v="89.99"/>
    <s v="Debit Card"/>
    <s v="Delivered"/>
    <m/>
    <n v="22"/>
    <s v="San Antonio"/>
    <s v="Free"/>
    <s v="Male"/>
    <b v="1"/>
    <x v="7"/>
  </r>
  <r>
    <s v="ORD-21444"/>
    <s v="CUST-5176"/>
    <d v="2022-12-15T00:00:00"/>
    <s v="Electronics"/>
    <s v="Wireless Earbuds"/>
    <n v="79.989999999999995"/>
    <n v="2"/>
    <n v="0"/>
    <n v="79.989999999999995"/>
    <n v="159.97999999999999"/>
    <s v="Debit Card"/>
    <s v="Delivered"/>
    <m/>
    <n v="22"/>
    <s v="San Antonio"/>
    <s v="Free"/>
    <s v="Male"/>
    <b v="1"/>
    <x v="28"/>
  </r>
  <r>
    <s v="ORD-21445"/>
    <s v="CUST-5176"/>
    <d v="2023-08-18T00:00:00"/>
    <s v="Beauty"/>
    <s v="Face Serum"/>
    <n v="39.99"/>
    <n v="2"/>
    <n v="15"/>
    <n v="33.99"/>
    <n v="67.98"/>
    <s v="Credit Card"/>
    <s v="Delivered"/>
    <n v="3"/>
    <n v="22"/>
    <s v="San Antonio"/>
    <s v="Free"/>
    <s v="Male"/>
    <b v="1"/>
    <x v="24"/>
  </r>
  <r>
    <s v="ORD-21446"/>
    <s v="CUST-5176"/>
    <d v="2022-07-09T00:00:00"/>
    <s v="Toys"/>
    <s v="Action Figure"/>
    <n v="19.989999999999998"/>
    <n v="3"/>
    <n v="5"/>
    <n v="18.989999999999998"/>
    <n v="56.97"/>
    <s v="Debit Card"/>
    <s v="Delivered"/>
    <n v="5"/>
    <n v="22"/>
    <s v="San Antonio"/>
    <s v="Free"/>
    <s v="Male"/>
    <b v="1"/>
    <x v="33"/>
  </r>
  <r>
    <s v="ORD-21447"/>
    <s v="CUST-5176"/>
    <d v="2022-03-16T00:00:00"/>
    <s v="Toys"/>
    <s v="LEGO Classic Set"/>
    <n v="49.99"/>
    <n v="4"/>
    <n v="0"/>
    <n v="49.99"/>
    <n v="199.96"/>
    <s v="Debit Card"/>
    <s v="Delivered"/>
    <n v="4"/>
    <n v="22"/>
    <s v="San Antonio"/>
    <s v="Free"/>
    <s v="Male"/>
    <b v="1"/>
    <x v="11"/>
  </r>
  <r>
    <s v="ORD-21448"/>
    <s v="CUST-5176"/>
    <d v="2022-01-08T00:00:00"/>
    <s v="Electronics"/>
    <s v="USB-C Hub"/>
    <n v="34.99"/>
    <n v="2"/>
    <n v="5"/>
    <n v="33.24"/>
    <n v="66.48"/>
    <s v="Wallet"/>
    <s v="Delivered"/>
    <m/>
    <n v="22"/>
    <s v="San Antonio"/>
    <s v="Free"/>
    <s v="Male"/>
    <b v="1"/>
    <x v="2"/>
  </r>
  <r>
    <s v="ORD-21449"/>
    <s v="CUST-5176"/>
    <d v="2024-04-17T00:00:00"/>
    <s v="Toys"/>
    <s v="Action Figure"/>
    <n v="19.989999999999998"/>
    <n v="4"/>
    <n v="5"/>
    <n v="18.989999999999998"/>
    <n v="75.959999999999994"/>
    <s v="Credit Card"/>
    <s v="Delivered"/>
    <n v="5"/>
    <n v="22"/>
    <s v="San Antonio"/>
    <s v="Free"/>
    <s v="Male"/>
    <b v="1"/>
    <x v="27"/>
  </r>
  <r>
    <s v="ORD-21450"/>
    <s v="CUST-5177"/>
    <d v="2024-02-26T00:00:00"/>
    <s v="Books"/>
    <s v="Fiction Novel"/>
    <n v="14.99"/>
    <n v="3"/>
    <n v="10"/>
    <n v="13.49"/>
    <n v="40.47"/>
    <s v="Wallet"/>
    <s v="Delivered"/>
    <m/>
    <n v="55"/>
    <s v="Jacksonville"/>
    <s v="Free"/>
    <s v="Female"/>
    <b v="1"/>
    <x v="0"/>
  </r>
  <r>
    <s v="ORD-21451"/>
    <s v="CUST-5177"/>
    <d v="2022-06-20T00:00:00"/>
    <s v="Sports"/>
    <s v="Jump Rope"/>
    <n v="14.99"/>
    <n v="3"/>
    <n v="10"/>
    <n v="13.49"/>
    <n v="40.47"/>
    <s v="Credit Card"/>
    <s v="Delivered"/>
    <n v="3"/>
    <n v="55"/>
    <s v="Jacksonville"/>
    <s v="Free"/>
    <s v="Female"/>
    <b v="1"/>
    <x v="8"/>
  </r>
  <r>
    <s v="ORD-21452"/>
    <s v="CUST-5177"/>
    <d v="2023-10-24T00:00:00"/>
    <s v="Electronics"/>
    <s v="Smart Watch"/>
    <n v="199.99"/>
    <n v="3"/>
    <n v="5"/>
    <n v="189.99"/>
    <n v="569.97"/>
    <s v="Credit Card"/>
    <s v="Delivered"/>
    <n v="5"/>
    <n v="55"/>
    <s v="Jacksonville"/>
    <s v="Free"/>
    <s v="Female"/>
    <b v="1"/>
    <x v="13"/>
  </r>
  <r>
    <s v="ORD-21453"/>
    <s v="CUST-5177"/>
    <d v="2024-07-04T00:00:00"/>
    <s v="Sports"/>
    <s v="Jump Rope"/>
    <n v="14.99"/>
    <n v="4"/>
    <n v="0"/>
    <n v="14.99"/>
    <n v="59.96"/>
    <s v="Credit Card"/>
    <s v="Delivered"/>
    <n v="4"/>
    <n v="55"/>
    <s v="Jacksonville"/>
    <s v="Free"/>
    <s v="Female"/>
    <b v="1"/>
    <x v="4"/>
  </r>
  <r>
    <s v="ORD-21454"/>
    <s v="CUST-5177"/>
    <d v="2024-02-05T00:00:00"/>
    <s v="Clothing"/>
    <s v="Running Shoes"/>
    <n v="89.99"/>
    <n v="1"/>
    <n v="0"/>
    <n v="89.99"/>
    <n v="89.99"/>
    <s v="PayPal"/>
    <s v="Delivered"/>
    <n v="3"/>
    <n v="55"/>
    <s v="Jacksonville"/>
    <s v="Free"/>
    <s v="Female"/>
    <b v="1"/>
    <x v="0"/>
  </r>
  <r>
    <s v="ORD-21455"/>
    <s v="CUST-5177"/>
    <d v="2024-11-12T00:00:00"/>
    <s v="Home &amp; Kitchen"/>
    <s v="Coffee Maker"/>
    <n v="59.99"/>
    <n v="1"/>
    <n v="0"/>
    <n v="59.99"/>
    <n v="59.99"/>
    <s v="Debit Card"/>
    <s v="Delivered"/>
    <m/>
    <n v="55"/>
    <s v="Jacksonville"/>
    <s v="Free"/>
    <s v="Female"/>
    <b v="1"/>
    <x v="16"/>
  </r>
  <r>
    <s v="ORD-21456"/>
    <s v="CUST-5177"/>
    <d v="2024-07-17T00:00:00"/>
    <s v="Toys"/>
    <s v="Action Figure"/>
    <n v="19.989999999999998"/>
    <n v="2"/>
    <n v="0"/>
    <n v="19.989999999999998"/>
    <n v="39.979999999999997"/>
    <s v="UPI"/>
    <s v="Delivered"/>
    <n v="5"/>
    <n v="55"/>
    <s v="Jacksonville"/>
    <s v="Free"/>
    <s v="Female"/>
    <b v="1"/>
    <x v="4"/>
  </r>
  <r>
    <s v="ORD-21457"/>
    <s v="CUST-5177"/>
    <d v="2022-04-07T00:00:00"/>
    <s v="Home &amp; Kitchen"/>
    <s v="Coffee Maker"/>
    <n v="59.99"/>
    <n v="4"/>
    <n v="0"/>
    <n v="59.99"/>
    <n v="239.96"/>
    <s v="PayPal"/>
    <s v="Returned"/>
    <n v="5"/>
    <n v="55"/>
    <s v="Jacksonville"/>
    <s v="Free"/>
    <s v="Female"/>
    <b v="1"/>
    <x v="12"/>
  </r>
  <r>
    <s v="ORD-21458"/>
    <s v="CUST-5177"/>
    <d v="2022-11-11T00:00:00"/>
    <s v="Toys"/>
    <s v="Puzzle 1000pcs"/>
    <n v="24.99"/>
    <n v="1"/>
    <n v="0"/>
    <n v="24.99"/>
    <n v="24.99"/>
    <s v="Debit Card"/>
    <s v="Delivered"/>
    <n v="3"/>
    <n v="55"/>
    <s v="Jacksonville"/>
    <s v="Free"/>
    <s v="Female"/>
    <b v="1"/>
    <x v="3"/>
  </r>
  <r>
    <s v="ORD-21459"/>
    <s v="CUST-5177"/>
    <d v="2022-12-25T00:00:00"/>
    <s v="Books"/>
    <s v="Python for Beginners"/>
    <n v="29.99"/>
    <n v="2"/>
    <n v="0"/>
    <n v="29.99"/>
    <n v="59.98"/>
    <s v="Wallet"/>
    <s v="Cancelled"/>
    <n v="5"/>
    <n v="55"/>
    <s v="Jacksonville"/>
    <s v="Free"/>
    <s v="Female"/>
    <b v="1"/>
    <x v="28"/>
  </r>
  <r>
    <s v="ORD-21460"/>
    <s v="CUST-5177"/>
    <d v="2022-09-04T00:00:00"/>
    <s v="Toys"/>
    <s v="Remote Control Car"/>
    <n v="39.99"/>
    <n v="4"/>
    <n v="5"/>
    <n v="37.99"/>
    <n v="151.96"/>
    <s v="Debit Card"/>
    <s v="Processing"/>
    <n v="3"/>
    <n v="55"/>
    <s v="Jacksonville"/>
    <s v="Free"/>
    <s v="Female"/>
    <b v="1"/>
    <x v="22"/>
  </r>
  <r>
    <s v="ORD-21461"/>
    <s v="CUST-5177"/>
    <d v="2024-11-05T00:00:00"/>
    <s v="Sports"/>
    <s v="Water Bottle"/>
    <n v="24.99"/>
    <n v="1"/>
    <n v="15"/>
    <n v="21.24"/>
    <n v="21.24"/>
    <s v="PayPal"/>
    <s v="Processing"/>
    <n v="5"/>
    <n v="55"/>
    <s v="Jacksonville"/>
    <s v="Free"/>
    <s v="Female"/>
    <b v="1"/>
    <x v="16"/>
  </r>
  <r>
    <s v="ORD-21462"/>
    <s v="CUST-5177"/>
    <d v="2024-04-27T00:00:00"/>
    <s v="Toys"/>
    <s v="Action Figure"/>
    <n v="19.989999999999998"/>
    <n v="1"/>
    <n v="15"/>
    <n v="16.989999999999998"/>
    <n v="16.989999999999998"/>
    <s v="Debit Card"/>
    <s v="Delivered"/>
    <n v="4"/>
    <n v="55"/>
    <s v="Jacksonville"/>
    <s v="Free"/>
    <s v="Female"/>
    <b v="1"/>
    <x v="27"/>
  </r>
  <r>
    <s v="ORD-21463"/>
    <s v="CUST-5177"/>
    <d v="2024-10-09T00:00:00"/>
    <s v="Sports"/>
    <s v="Resistance Bands"/>
    <n v="19.989999999999998"/>
    <n v="1"/>
    <n v="0"/>
    <n v="19.989999999999998"/>
    <n v="19.989999999999998"/>
    <s v="Credit Card"/>
    <s v="Delivered"/>
    <n v="3"/>
    <n v="55"/>
    <s v="Jacksonville"/>
    <s v="Free"/>
    <s v="Female"/>
    <b v="1"/>
    <x v="21"/>
  </r>
  <r>
    <s v="ORD-21464"/>
    <s v="CUST-5178"/>
    <d v="2022-06-14T00:00:00"/>
    <s v="Clothing"/>
    <s v="Yoga Pants"/>
    <n v="44.99"/>
    <n v="2"/>
    <n v="0"/>
    <n v="44.99"/>
    <n v="89.98"/>
    <s v="UPI"/>
    <s v="Delivered"/>
    <n v="5"/>
    <n v="30"/>
    <s v="San Antonio"/>
    <s v="Silver"/>
    <s v="Male"/>
    <b v="1"/>
    <x v="8"/>
  </r>
  <r>
    <s v="ORD-21465"/>
    <s v="CUST-5178"/>
    <d v="2024-10-05T00:00:00"/>
    <s v="Books"/>
    <s v="Business Analytics"/>
    <n v="39.99"/>
    <n v="3"/>
    <n v="10"/>
    <n v="35.99"/>
    <n v="107.97"/>
    <s v="Debit Card"/>
    <s v="Delivered"/>
    <n v="4"/>
    <n v="30"/>
    <s v="San Antonio"/>
    <s v="Silver"/>
    <s v="Male"/>
    <b v="1"/>
    <x v="21"/>
  </r>
  <r>
    <s v="ORD-21466"/>
    <s v="CUST-5178"/>
    <d v="2022-04-18T00:00:00"/>
    <s v="Toys"/>
    <s v="LEGO Classic Set"/>
    <n v="49.99"/>
    <n v="3"/>
    <n v="0"/>
    <n v="49.99"/>
    <n v="149.97"/>
    <s v="PayPal"/>
    <s v="Delivered"/>
    <m/>
    <n v="30"/>
    <s v="San Antonio"/>
    <s v="Silver"/>
    <s v="Male"/>
    <b v="1"/>
    <x v="12"/>
  </r>
  <r>
    <s v="ORD-21467"/>
    <s v="CUST-5178"/>
    <d v="2024-10-28T00:00:00"/>
    <s v="Electronics"/>
    <s v="Smart Watch"/>
    <n v="199.99"/>
    <n v="2"/>
    <n v="10"/>
    <n v="179.99"/>
    <n v="359.98"/>
    <s v="Credit Card"/>
    <s v="Delivered"/>
    <n v="5"/>
    <n v="30"/>
    <s v="San Antonio"/>
    <s v="Silver"/>
    <s v="Male"/>
    <b v="1"/>
    <x v="21"/>
  </r>
  <r>
    <s v="ORD-21468"/>
    <s v="CUST-5178"/>
    <d v="2024-11-19T00:00:00"/>
    <s v="Electronics"/>
    <s v="Smart Watch"/>
    <n v="199.99"/>
    <n v="2"/>
    <n v="0"/>
    <n v="199.99"/>
    <n v="399.98"/>
    <s v="PayPal"/>
    <s v="Delivered"/>
    <n v="4"/>
    <n v="30"/>
    <s v="San Antonio"/>
    <s v="Silver"/>
    <s v="Male"/>
    <b v="1"/>
    <x v="16"/>
  </r>
  <r>
    <s v="ORD-21469"/>
    <s v="CUST-5179"/>
    <d v="2024-09-04T00:00:00"/>
    <s v="Toys"/>
    <s v="Puzzle 1000pcs"/>
    <n v="24.99"/>
    <n v="2"/>
    <n v="5"/>
    <n v="23.74"/>
    <n v="47.48"/>
    <s v="UPI"/>
    <s v="Delivered"/>
    <n v="5"/>
    <n v="46"/>
    <s v="Houston"/>
    <s v="Free"/>
    <s v="Female"/>
    <b v="1"/>
    <x v="15"/>
  </r>
  <r>
    <s v="ORD-21470"/>
    <s v="CUST-5179"/>
    <d v="2023-05-24T00:00:00"/>
    <s v="Sports"/>
    <s v="Resistance Bands"/>
    <n v="19.989999999999998"/>
    <n v="1"/>
    <n v="20"/>
    <n v="15.99"/>
    <n v="15.99"/>
    <s v="UPI"/>
    <s v="Delivered"/>
    <n v="5"/>
    <n v="46"/>
    <s v="Houston"/>
    <s v="Free"/>
    <s v="Female"/>
    <b v="1"/>
    <x v="5"/>
  </r>
  <r>
    <s v="ORD-21471"/>
    <s v="CUST-5179"/>
    <d v="2022-01-12T00:00:00"/>
    <s v="Electronics"/>
    <s v="Smart Watch"/>
    <n v="199.99"/>
    <n v="4"/>
    <n v="20"/>
    <n v="159.99"/>
    <n v="639.96"/>
    <s v="PayPal"/>
    <s v="Delivered"/>
    <n v="5"/>
    <n v="46"/>
    <s v="Houston"/>
    <s v="Free"/>
    <s v="Female"/>
    <b v="1"/>
    <x v="2"/>
  </r>
  <r>
    <s v="ORD-21472"/>
    <s v="CUST-5179"/>
    <d v="2023-10-15T00:00:00"/>
    <s v="Beauty"/>
    <s v="Lip Balm Set"/>
    <n v="14.99"/>
    <n v="1"/>
    <n v="0"/>
    <n v="14.99"/>
    <n v="14.99"/>
    <s v="UPI"/>
    <s v="Delivered"/>
    <m/>
    <n v="46"/>
    <s v="Houston"/>
    <s v="Free"/>
    <s v="Female"/>
    <b v="1"/>
    <x v="13"/>
  </r>
  <r>
    <s v="ORD-21473"/>
    <s v="CUST-5179"/>
    <d v="2022-10-06T00:00:00"/>
    <s v="Electronics"/>
    <s v="Bluetooth Speaker"/>
    <n v="49.99"/>
    <n v="4"/>
    <n v="0"/>
    <n v="49.99"/>
    <n v="199.96"/>
    <s v="UPI"/>
    <s v="Processing"/>
    <n v="3"/>
    <n v="46"/>
    <s v="Houston"/>
    <s v="Free"/>
    <s v="Female"/>
    <b v="1"/>
    <x v="20"/>
  </r>
  <r>
    <s v="ORD-21474"/>
    <s v="CUST-5179"/>
    <d v="2022-01-16T00:00:00"/>
    <s v="Toys"/>
    <s v="Puzzle 1000pcs"/>
    <n v="24.99"/>
    <n v="2"/>
    <n v="0"/>
    <n v="24.99"/>
    <n v="49.98"/>
    <s v="Wallet"/>
    <s v="Shipped"/>
    <m/>
    <n v="46"/>
    <s v="Houston"/>
    <s v="Free"/>
    <s v="Female"/>
    <b v="1"/>
    <x v="2"/>
  </r>
  <r>
    <s v="ORD-21475"/>
    <s v="CUST-5180"/>
    <d v="2024-11-06T00:00:00"/>
    <s v="Electronics"/>
    <s v="Smart Watch"/>
    <n v="199.99"/>
    <n v="4"/>
    <n v="5"/>
    <n v="189.99"/>
    <n v="759.96"/>
    <s v="PayPal"/>
    <s v="Delivered"/>
    <n v="5"/>
    <n v="43"/>
    <s v="Philadelphia"/>
    <s v="Gold"/>
    <s v="Female"/>
    <b v="1"/>
    <x v="16"/>
  </r>
  <r>
    <s v="ORD-21476"/>
    <s v="CUST-5180"/>
    <d v="2022-11-17T00:00:00"/>
    <s v="Clothing"/>
    <s v="Cotton T-Shirt"/>
    <n v="24.99"/>
    <n v="3"/>
    <n v="5"/>
    <n v="23.74"/>
    <n v="71.22"/>
    <s v="Credit Card"/>
    <s v="Delivered"/>
    <n v="5"/>
    <n v="43"/>
    <s v="Philadelphia"/>
    <s v="Gold"/>
    <s v="Female"/>
    <b v="1"/>
    <x v="3"/>
  </r>
  <r>
    <s v="ORD-21477"/>
    <s v="CUST-5180"/>
    <d v="2024-10-06T00:00:00"/>
    <s v="Electronics"/>
    <s v="USB-C Hub"/>
    <n v="34.99"/>
    <n v="4"/>
    <n v="0"/>
    <n v="34.99"/>
    <n v="139.96"/>
    <s v="Debit Card"/>
    <s v="Delivered"/>
    <n v="2"/>
    <n v="43"/>
    <s v="Philadelphia"/>
    <s v="Gold"/>
    <s v="Female"/>
    <b v="1"/>
    <x v="21"/>
  </r>
  <r>
    <s v="ORD-21478"/>
    <s v="CUST-5180"/>
    <d v="2022-02-16T00:00:00"/>
    <s v="Home &amp; Kitchen"/>
    <s v="Non-stick Pan Set"/>
    <n v="44.99"/>
    <n v="2"/>
    <n v="20"/>
    <n v="35.99"/>
    <n v="71.98"/>
    <s v="UPI"/>
    <s v="Delivered"/>
    <n v="4"/>
    <n v="43"/>
    <s v="Philadelphia"/>
    <s v="Gold"/>
    <s v="Female"/>
    <b v="1"/>
    <x v="17"/>
  </r>
  <r>
    <s v="ORD-21479"/>
    <s v="CUST-5180"/>
    <d v="2023-05-11T00:00:00"/>
    <s v="Books"/>
    <s v="Fiction Novel"/>
    <n v="14.99"/>
    <n v="1"/>
    <n v="10"/>
    <n v="13.49"/>
    <n v="13.49"/>
    <s v="UPI"/>
    <s v="Delivered"/>
    <n v="5"/>
    <n v="43"/>
    <s v="Philadelphia"/>
    <s v="Gold"/>
    <s v="Female"/>
    <b v="1"/>
    <x v="5"/>
  </r>
  <r>
    <s v="ORD-21480"/>
    <s v="CUST-5180"/>
    <d v="2023-09-26T00:00:00"/>
    <s v="Books"/>
    <s v="Business Analytics"/>
    <n v="39.99"/>
    <n v="2"/>
    <n v="0"/>
    <n v="39.99"/>
    <n v="79.98"/>
    <s v="Debit Card"/>
    <s v="Delivered"/>
    <n v="5"/>
    <n v="43"/>
    <s v="Philadelphia"/>
    <s v="Gold"/>
    <s v="Female"/>
    <b v="1"/>
    <x v="6"/>
  </r>
  <r>
    <s v="ORD-21481"/>
    <s v="CUST-5180"/>
    <d v="2022-12-13T00:00:00"/>
    <s v="Books"/>
    <s v="Data Science Handbook"/>
    <n v="49.99"/>
    <n v="4"/>
    <n v="20"/>
    <n v="39.99"/>
    <n v="159.96"/>
    <s v="Debit Card"/>
    <s v="Delivered"/>
    <n v="5"/>
    <n v="43"/>
    <s v="Philadelphia"/>
    <s v="Gold"/>
    <s v="Female"/>
    <b v="1"/>
    <x v="28"/>
  </r>
  <r>
    <s v="ORD-21482"/>
    <s v="CUST-5181"/>
    <d v="2022-01-27T00:00:00"/>
    <s v="Home &amp; Kitchen"/>
    <s v="Non-stick Pan Set"/>
    <n v="44.99"/>
    <n v="1"/>
    <n v="10"/>
    <n v="40.49"/>
    <n v="40.49"/>
    <s v="PayPal"/>
    <s v="Delivered"/>
    <n v="2"/>
    <n v="21"/>
    <s v="Phoenix"/>
    <s v="Free"/>
    <s v="Male"/>
    <b v="1"/>
    <x v="2"/>
  </r>
  <r>
    <s v="ORD-21483"/>
    <s v="CUST-5181"/>
    <d v="2024-06-16T00:00:00"/>
    <s v="Books"/>
    <s v="Fiction Novel"/>
    <n v="14.99"/>
    <n v="1"/>
    <n v="20"/>
    <n v="11.99"/>
    <n v="11.99"/>
    <s v="UPI"/>
    <s v="Delivered"/>
    <m/>
    <n v="21"/>
    <s v="Phoenix"/>
    <s v="Free"/>
    <s v="Male"/>
    <b v="1"/>
    <x v="35"/>
  </r>
  <r>
    <s v="ORD-21484"/>
    <s v="CUST-5181"/>
    <d v="2022-08-13T00:00:00"/>
    <s v="Sports"/>
    <s v="Jump Rope"/>
    <n v="14.99"/>
    <n v="3"/>
    <n v="10"/>
    <n v="13.49"/>
    <n v="40.47"/>
    <s v="Debit Card"/>
    <s v="Delivered"/>
    <n v="3"/>
    <n v="21"/>
    <s v="Phoenix"/>
    <s v="Free"/>
    <s v="Male"/>
    <b v="1"/>
    <x v="7"/>
  </r>
  <r>
    <s v="ORD-21485"/>
    <s v="CUST-5181"/>
    <d v="2023-03-01T00:00:00"/>
    <s v="Sports"/>
    <s v="Water Bottle"/>
    <n v="24.99"/>
    <n v="1"/>
    <n v="20"/>
    <n v="19.989999999999998"/>
    <n v="19.989999999999998"/>
    <s v="Wallet"/>
    <s v="Delivered"/>
    <m/>
    <n v="21"/>
    <s v="Phoenix"/>
    <s v="Free"/>
    <s v="Male"/>
    <b v="1"/>
    <x v="23"/>
  </r>
  <r>
    <s v="ORD-21486"/>
    <s v="CUST-5181"/>
    <d v="2023-04-21T00:00:00"/>
    <s v="Clothing"/>
    <s v="Denim Jacket"/>
    <n v="69.989999999999995"/>
    <n v="1"/>
    <n v="15"/>
    <n v="59.49"/>
    <n v="59.49"/>
    <s v="Debit Card"/>
    <s v="Delivered"/>
    <n v="4"/>
    <n v="21"/>
    <s v="Phoenix"/>
    <s v="Free"/>
    <s v="Male"/>
    <b v="1"/>
    <x v="18"/>
  </r>
  <r>
    <s v="ORD-21487"/>
    <s v="CUST-5181"/>
    <d v="2023-11-26T00:00:00"/>
    <s v="Beauty"/>
    <s v="Face Serum"/>
    <n v="39.99"/>
    <n v="4"/>
    <n v="5"/>
    <n v="37.99"/>
    <n v="151.96"/>
    <s v="Debit Card"/>
    <s v="Delivered"/>
    <n v="5"/>
    <n v="21"/>
    <s v="Phoenix"/>
    <s v="Free"/>
    <s v="Male"/>
    <b v="1"/>
    <x v="29"/>
  </r>
  <r>
    <s v="ORD-21488"/>
    <s v="CUST-5181"/>
    <d v="2023-08-14T00:00:00"/>
    <s v="Electronics"/>
    <s v="USB-C Hub"/>
    <n v="34.99"/>
    <n v="2"/>
    <n v="10"/>
    <n v="31.49"/>
    <n v="62.98"/>
    <s v="Wallet"/>
    <s v="Delivered"/>
    <m/>
    <n v="21"/>
    <s v="Phoenix"/>
    <s v="Free"/>
    <s v="Male"/>
    <b v="1"/>
    <x v="24"/>
  </r>
  <r>
    <s v="ORD-21489"/>
    <s v="CUST-5181"/>
    <d v="2024-07-06T00:00:00"/>
    <s v="Sports"/>
    <s v="Jump Rope"/>
    <n v="14.99"/>
    <n v="4"/>
    <n v="15"/>
    <n v="12.74"/>
    <n v="50.96"/>
    <s v="Debit Card"/>
    <s v="Delivered"/>
    <n v="4"/>
    <n v="21"/>
    <s v="Phoenix"/>
    <s v="Free"/>
    <s v="Male"/>
    <b v="1"/>
    <x v="4"/>
  </r>
  <r>
    <s v="ORD-21490"/>
    <s v="CUST-5181"/>
    <d v="2024-01-09T00:00:00"/>
    <s v="Home &amp; Kitchen"/>
    <s v="Blender"/>
    <n v="64.989999999999995"/>
    <n v="1"/>
    <n v="0"/>
    <n v="64.989999999999995"/>
    <n v="64.989999999999995"/>
    <s v="Wallet"/>
    <s v="Delivered"/>
    <n v="5"/>
    <n v="21"/>
    <s v="Phoenix"/>
    <s v="Free"/>
    <s v="Male"/>
    <b v="1"/>
    <x v="25"/>
  </r>
  <r>
    <s v="ORD-21491"/>
    <s v="CUST-5181"/>
    <d v="2022-12-14T00:00:00"/>
    <s v="Sports"/>
    <s v="Yoga Mat"/>
    <n v="29.99"/>
    <n v="2"/>
    <n v="0"/>
    <n v="29.99"/>
    <n v="59.98"/>
    <s v="Credit Card"/>
    <s v="Delivered"/>
    <n v="2"/>
    <n v="21"/>
    <s v="Phoenix"/>
    <s v="Free"/>
    <s v="Male"/>
    <b v="1"/>
    <x v="28"/>
  </r>
  <r>
    <s v="ORD-21492"/>
    <s v="CUST-5181"/>
    <d v="2022-11-25T00:00:00"/>
    <s v="Home &amp; Kitchen"/>
    <s v="Blender"/>
    <n v="64.989999999999995"/>
    <n v="4"/>
    <n v="15"/>
    <n v="55.24"/>
    <n v="220.96"/>
    <s v="Credit Card"/>
    <s v="Processing"/>
    <n v="4"/>
    <n v="21"/>
    <s v="Phoenix"/>
    <s v="Free"/>
    <s v="Male"/>
    <b v="1"/>
    <x v="3"/>
  </r>
  <r>
    <s v="ORD-21493"/>
    <s v="CUST-5181"/>
    <d v="2024-03-23T00:00:00"/>
    <s v="Beauty"/>
    <s v="Face Serum"/>
    <n v="39.99"/>
    <n v="1"/>
    <n v="0"/>
    <n v="39.99"/>
    <n v="39.99"/>
    <s v="Wallet"/>
    <s v="Delivered"/>
    <m/>
    <n v="21"/>
    <s v="Phoenix"/>
    <s v="Free"/>
    <s v="Male"/>
    <b v="1"/>
    <x v="1"/>
  </r>
  <r>
    <s v="ORD-21494"/>
    <s v="CUST-5181"/>
    <d v="2023-11-13T00:00:00"/>
    <s v="Beauty"/>
    <s v="Face Serum"/>
    <n v="39.99"/>
    <n v="4"/>
    <n v="0"/>
    <n v="39.99"/>
    <n v="159.96"/>
    <s v="PayPal"/>
    <s v="Processing"/>
    <n v="1"/>
    <n v="21"/>
    <s v="Phoenix"/>
    <s v="Free"/>
    <s v="Male"/>
    <b v="1"/>
    <x v="29"/>
  </r>
  <r>
    <s v="ORD-21495"/>
    <s v="CUST-5181"/>
    <d v="2022-12-01T00:00:00"/>
    <s v="Sports"/>
    <s v="Jump Rope"/>
    <n v="14.99"/>
    <n v="1"/>
    <n v="15"/>
    <n v="12.74"/>
    <n v="12.74"/>
    <s v="Credit Card"/>
    <s v="Delivered"/>
    <m/>
    <n v="21"/>
    <s v="Phoenix"/>
    <s v="Free"/>
    <s v="Male"/>
    <b v="1"/>
    <x v="28"/>
  </r>
  <r>
    <s v="ORD-21496"/>
    <s v="CUST-5182"/>
    <d v="2023-10-25T00:00:00"/>
    <s v="Clothing"/>
    <s v="Yoga Pants"/>
    <n v="44.99"/>
    <n v="4"/>
    <n v="0"/>
    <n v="44.99"/>
    <n v="179.96"/>
    <s v="Wallet"/>
    <s v="Delivered"/>
    <n v="4"/>
    <n v="41"/>
    <s v="Austin"/>
    <s v="Free"/>
    <s v="Male"/>
    <b v="1"/>
    <x v="13"/>
  </r>
  <r>
    <s v="ORD-21497"/>
    <s v="CUST-5182"/>
    <d v="2022-08-01T00:00:00"/>
    <s v="Home &amp; Kitchen"/>
    <s v="Non-stick Pan Set"/>
    <n v="44.99"/>
    <n v="3"/>
    <n v="5"/>
    <n v="42.74"/>
    <n v="128.22"/>
    <s v="Credit Card"/>
    <s v="Delivered"/>
    <n v="4"/>
    <n v="41"/>
    <s v="Austin"/>
    <s v="Free"/>
    <s v="Male"/>
    <b v="1"/>
    <x v="7"/>
  </r>
  <r>
    <s v="ORD-21498"/>
    <s v="CUST-5182"/>
    <d v="2022-10-19T00:00:00"/>
    <s v="Sports"/>
    <s v="Yoga Mat"/>
    <n v="29.99"/>
    <n v="2"/>
    <n v="0"/>
    <n v="29.99"/>
    <n v="59.98"/>
    <s v="Credit Card"/>
    <s v="Delivered"/>
    <n v="5"/>
    <n v="41"/>
    <s v="Austin"/>
    <s v="Free"/>
    <s v="Male"/>
    <b v="1"/>
    <x v="20"/>
  </r>
  <r>
    <s v="ORD-21499"/>
    <s v="CUST-5182"/>
    <d v="2024-01-12T00:00:00"/>
    <s v="Electronics"/>
    <s v="Smart Watch"/>
    <n v="199.99"/>
    <n v="4"/>
    <n v="0"/>
    <n v="199.99"/>
    <n v="799.96"/>
    <s v="Debit Card"/>
    <s v="Delivered"/>
    <m/>
    <n v="41"/>
    <s v="Austin"/>
    <s v="Free"/>
    <s v="Male"/>
    <b v="1"/>
    <x v="25"/>
  </r>
  <r>
    <s v="ORD-21500"/>
    <s v="CUST-5182"/>
    <d v="2024-03-21T00:00:00"/>
    <s v="Clothing"/>
    <s v="Denim Jacket"/>
    <n v="69.989999999999995"/>
    <n v="1"/>
    <n v="15"/>
    <n v="59.49"/>
    <n v="59.49"/>
    <s v="Debit Card"/>
    <s v="Delivered"/>
    <n v="4"/>
    <n v="41"/>
    <s v="Austin"/>
    <s v="Free"/>
    <s v="Male"/>
    <b v="1"/>
    <x v="1"/>
  </r>
  <r>
    <s v="ORD-21501"/>
    <s v="CUST-5182"/>
    <d v="2022-11-06T00:00:00"/>
    <s v="Clothing"/>
    <s v="Denim Jacket"/>
    <n v="69.989999999999995"/>
    <n v="1"/>
    <n v="10"/>
    <n v="62.99"/>
    <n v="62.99"/>
    <s v="Credit Card"/>
    <s v="Delivered"/>
    <m/>
    <n v="41"/>
    <s v="Austin"/>
    <s v="Free"/>
    <s v="Male"/>
    <b v="1"/>
    <x v="3"/>
  </r>
  <r>
    <s v="ORD-21502"/>
    <s v="CUST-5182"/>
    <d v="2024-06-21T00:00:00"/>
    <s v="Clothing"/>
    <s v="Running Shoes"/>
    <n v="89.99"/>
    <n v="1"/>
    <n v="5"/>
    <n v="85.49"/>
    <n v="85.49"/>
    <s v="UPI"/>
    <s v="Shipped"/>
    <m/>
    <n v="41"/>
    <s v="Austin"/>
    <s v="Free"/>
    <s v="Male"/>
    <b v="1"/>
    <x v="35"/>
  </r>
  <r>
    <s v="ORD-21503"/>
    <s v="CUST-5182"/>
    <d v="2022-10-16T00:00:00"/>
    <s v="Home &amp; Kitchen"/>
    <s v="Air Fryer"/>
    <n v="89.99"/>
    <n v="2"/>
    <n v="15"/>
    <n v="76.489999999999995"/>
    <n v="152.97999999999999"/>
    <s v="PayPal"/>
    <s v="Delivered"/>
    <m/>
    <n v="41"/>
    <s v="Austin"/>
    <s v="Free"/>
    <s v="Male"/>
    <b v="1"/>
    <x v="20"/>
  </r>
  <r>
    <s v="ORD-21504"/>
    <s v="CUST-5182"/>
    <d v="2022-01-14T00:00:00"/>
    <s v="Books"/>
    <s v="Python for Beginners"/>
    <n v="29.99"/>
    <n v="1"/>
    <n v="0"/>
    <n v="29.99"/>
    <n v="29.99"/>
    <s v="PayPal"/>
    <s v="Delivered"/>
    <m/>
    <n v="41"/>
    <s v="Austin"/>
    <s v="Free"/>
    <s v="Male"/>
    <b v="1"/>
    <x v="2"/>
  </r>
  <r>
    <s v="ORD-21505"/>
    <s v="CUST-5182"/>
    <d v="2024-12-24T00:00:00"/>
    <s v="Clothing"/>
    <s v="Cotton T-Shirt"/>
    <n v="24.99"/>
    <n v="2"/>
    <n v="10"/>
    <n v="22.49"/>
    <n v="44.98"/>
    <s v="Debit Card"/>
    <s v="Shipped"/>
    <m/>
    <n v="41"/>
    <s v="Austin"/>
    <s v="Free"/>
    <s v="Male"/>
    <b v="1"/>
    <x v="32"/>
  </r>
  <r>
    <s v="ORD-21506"/>
    <s v="CUST-5182"/>
    <d v="2023-06-27T00:00:00"/>
    <s v="Books"/>
    <s v="Business Analytics"/>
    <n v="39.99"/>
    <n v="4"/>
    <n v="20"/>
    <n v="31.99"/>
    <n v="127.96"/>
    <s v="Credit Card"/>
    <s v="Returned"/>
    <n v="4"/>
    <n v="41"/>
    <s v="Austin"/>
    <s v="Free"/>
    <s v="Male"/>
    <b v="1"/>
    <x v="19"/>
  </r>
  <r>
    <s v="ORD-21507"/>
    <s v="CUST-5182"/>
    <d v="2022-12-27T00:00:00"/>
    <s v="Clothing"/>
    <s v="Denim Jacket"/>
    <n v="69.989999999999995"/>
    <n v="3"/>
    <n v="15"/>
    <n v="59.49"/>
    <n v="178.47"/>
    <s v="Debit Card"/>
    <s v="Delivered"/>
    <m/>
    <n v="41"/>
    <s v="Austin"/>
    <s v="Free"/>
    <s v="Male"/>
    <b v="1"/>
    <x v="28"/>
  </r>
  <r>
    <s v="ORD-21508"/>
    <s v="CUST-5182"/>
    <d v="2023-06-25T00:00:00"/>
    <s v="Beauty"/>
    <s v="Moisturizer SPF 50"/>
    <n v="29.99"/>
    <n v="3"/>
    <n v="0"/>
    <n v="29.99"/>
    <n v="89.97"/>
    <s v="PayPal"/>
    <s v="Delivered"/>
    <n v="5"/>
    <n v="41"/>
    <s v="Austin"/>
    <s v="Free"/>
    <s v="Male"/>
    <b v="1"/>
    <x v="19"/>
  </r>
  <r>
    <s v="ORD-21509"/>
    <s v="CUST-5182"/>
    <d v="2023-08-14T00:00:00"/>
    <s v="Books"/>
    <s v="Python for Beginners"/>
    <n v="29.99"/>
    <n v="1"/>
    <n v="0"/>
    <n v="29.99"/>
    <n v="29.99"/>
    <s v="UPI"/>
    <s v="Delivered"/>
    <n v="3"/>
    <n v="41"/>
    <s v="Austin"/>
    <s v="Free"/>
    <s v="Male"/>
    <b v="1"/>
    <x v="24"/>
  </r>
  <r>
    <s v="ORD-21510"/>
    <s v="CUST-5182"/>
    <d v="2022-10-01T00:00:00"/>
    <s v="Toys"/>
    <s v="Action Figure"/>
    <n v="19.989999999999998"/>
    <n v="4"/>
    <n v="0"/>
    <n v="19.989999999999998"/>
    <n v="79.959999999999994"/>
    <s v="Wallet"/>
    <s v="Delivered"/>
    <n v="5"/>
    <n v="41"/>
    <s v="Austin"/>
    <s v="Free"/>
    <s v="Male"/>
    <b v="1"/>
    <x v="20"/>
  </r>
  <r>
    <s v="ORD-21511"/>
    <s v="CUST-5183"/>
    <d v="2023-03-10T00:00:00"/>
    <s v="Beauty"/>
    <s v="Hair Mask"/>
    <n v="24.99"/>
    <n v="2"/>
    <n v="0"/>
    <n v="24.99"/>
    <n v="49.98"/>
    <s v="UPI"/>
    <s v="Delivered"/>
    <n v="3"/>
    <n v="60"/>
    <s v="Jacksonville"/>
    <s v="Platinum"/>
    <s v="Female"/>
    <b v="1"/>
    <x v="23"/>
  </r>
  <r>
    <s v="ORD-21512"/>
    <s v="CUST-5183"/>
    <d v="2023-12-12T00:00:00"/>
    <s v="Electronics"/>
    <s v="Smart Watch"/>
    <n v="199.99"/>
    <n v="1"/>
    <n v="10"/>
    <n v="179.99"/>
    <n v="179.99"/>
    <s v="Wallet"/>
    <s v="Delivered"/>
    <n v="4"/>
    <n v="60"/>
    <s v="Jacksonville"/>
    <s v="Platinum"/>
    <s v="Female"/>
    <b v="1"/>
    <x v="14"/>
  </r>
  <r>
    <s v="ORD-21513"/>
    <s v="CUST-5183"/>
    <d v="2022-10-22T00:00:00"/>
    <s v="Toys"/>
    <s v="Puzzle 1000pcs"/>
    <n v="24.99"/>
    <n v="4"/>
    <n v="5"/>
    <n v="23.74"/>
    <n v="94.96"/>
    <s v="UPI"/>
    <s v="Delivered"/>
    <n v="4"/>
    <n v="60"/>
    <s v="Jacksonville"/>
    <s v="Platinum"/>
    <s v="Female"/>
    <b v="1"/>
    <x v="20"/>
  </r>
  <r>
    <s v="ORD-21514"/>
    <s v="CUST-5183"/>
    <d v="2023-02-14T00:00:00"/>
    <s v="Clothing"/>
    <s v="Cotton T-Shirt"/>
    <n v="24.99"/>
    <n v="2"/>
    <n v="0"/>
    <n v="24.99"/>
    <n v="49.98"/>
    <s v="UPI"/>
    <s v="Delivered"/>
    <m/>
    <n v="60"/>
    <s v="Jacksonville"/>
    <s v="Platinum"/>
    <s v="Female"/>
    <b v="1"/>
    <x v="34"/>
  </r>
  <r>
    <s v="ORD-21515"/>
    <s v="CUST-5183"/>
    <d v="2023-02-23T00:00:00"/>
    <s v="Toys"/>
    <s v="Remote Control Car"/>
    <n v="39.99"/>
    <n v="3"/>
    <n v="15"/>
    <n v="33.99"/>
    <n v="101.97"/>
    <s v="Wallet"/>
    <s v="Delivered"/>
    <n v="4"/>
    <n v="60"/>
    <s v="Jacksonville"/>
    <s v="Platinum"/>
    <s v="Female"/>
    <b v="1"/>
    <x v="34"/>
  </r>
  <r>
    <s v="ORD-21516"/>
    <s v="CUST-5183"/>
    <d v="2024-04-23T00:00:00"/>
    <s v="Beauty"/>
    <s v="Face Serum"/>
    <n v="39.99"/>
    <n v="1"/>
    <n v="0"/>
    <n v="39.99"/>
    <n v="39.99"/>
    <s v="Credit Card"/>
    <s v="Delivered"/>
    <n v="5"/>
    <n v="60"/>
    <s v="Jacksonville"/>
    <s v="Platinum"/>
    <s v="Female"/>
    <b v="1"/>
    <x v="27"/>
  </r>
  <r>
    <s v="ORD-21517"/>
    <s v="CUST-5184"/>
    <d v="2022-02-15T00:00:00"/>
    <s v="Home &amp; Kitchen"/>
    <s v="Non-stick Pan Set"/>
    <n v="44.99"/>
    <n v="4"/>
    <n v="20"/>
    <n v="35.99"/>
    <n v="143.96"/>
    <s v="Debit Card"/>
    <s v="Delivered"/>
    <n v="4"/>
    <n v="28"/>
    <s v="Los Angeles"/>
    <s v="Free"/>
    <s v="Female"/>
    <b v="1"/>
    <x v="17"/>
  </r>
  <r>
    <s v="ORD-21518"/>
    <s v="CUST-5184"/>
    <d v="2023-02-12T00:00:00"/>
    <s v="Home &amp; Kitchen"/>
    <s v="Coffee Maker"/>
    <n v="59.99"/>
    <n v="3"/>
    <n v="5"/>
    <n v="56.99"/>
    <n v="170.97"/>
    <s v="Wallet"/>
    <s v="Shipped"/>
    <n v="5"/>
    <n v="28"/>
    <s v="Los Angeles"/>
    <s v="Free"/>
    <s v="Female"/>
    <b v="1"/>
    <x v="34"/>
  </r>
  <r>
    <s v="ORD-21519"/>
    <s v="CUST-5184"/>
    <d v="2022-03-03T00:00:00"/>
    <s v="Electronics"/>
    <s v="Wireless Earbuds"/>
    <n v="79.989999999999995"/>
    <n v="1"/>
    <n v="10"/>
    <n v="71.989999999999995"/>
    <n v="71.989999999999995"/>
    <s v="PayPal"/>
    <s v="Delivered"/>
    <n v="4"/>
    <n v="28"/>
    <s v="Los Angeles"/>
    <s v="Free"/>
    <s v="Female"/>
    <b v="1"/>
    <x v="11"/>
  </r>
  <r>
    <s v="ORD-21520"/>
    <s v="CUST-5184"/>
    <d v="2024-04-19T00:00:00"/>
    <s v="Home &amp; Kitchen"/>
    <s v="Non-stick Pan Set"/>
    <n v="44.99"/>
    <n v="2"/>
    <n v="20"/>
    <n v="35.99"/>
    <n v="71.98"/>
    <s v="Credit Card"/>
    <s v="Delivered"/>
    <m/>
    <n v="28"/>
    <s v="Los Angeles"/>
    <s v="Free"/>
    <s v="Female"/>
    <b v="1"/>
    <x v="27"/>
  </r>
  <r>
    <s v="ORD-21521"/>
    <s v="CUST-5185"/>
    <d v="2024-02-19T00:00:00"/>
    <s v="Beauty"/>
    <s v="Lip Balm Set"/>
    <n v="14.99"/>
    <n v="3"/>
    <n v="15"/>
    <n v="12.74"/>
    <n v="38.22"/>
    <s v="Wallet"/>
    <s v="Delivered"/>
    <m/>
    <n v="21"/>
    <s v="San Jose"/>
    <s v="Gold"/>
    <s v="Female"/>
    <b v="1"/>
    <x v="0"/>
  </r>
  <r>
    <s v="ORD-21522"/>
    <s v="CUST-5185"/>
    <d v="2023-04-19T00:00:00"/>
    <s v="Books"/>
    <s v="Data Science Handbook"/>
    <n v="49.99"/>
    <n v="3"/>
    <n v="0"/>
    <n v="49.99"/>
    <n v="149.97"/>
    <s v="Debit Card"/>
    <s v="Delivered"/>
    <n v="3"/>
    <n v="21"/>
    <s v="San Jose"/>
    <s v="Gold"/>
    <s v="Female"/>
    <b v="1"/>
    <x v="18"/>
  </r>
  <r>
    <s v="ORD-21523"/>
    <s v="CUST-5185"/>
    <d v="2022-01-15T00:00:00"/>
    <s v="Home &amp; Kitchen"/>
    <s v="Non-stick Pan Set"/>
    <n v="44.99"/>
    <n v="1"/>
    <n v="20"/>
    <n v="35.99"/>
    <n v="35.99"/>
    <s v="Wallet"/>
    <s v="Delivered"/>
    <m/>
    <n v="21"/>
    <s v="San Jose"/>
    <s v="Gold"/>
    <s v="Female"/>
    <b v="1"/>
    <x v="2"/>
  </r>
  <r>
    <s v="ORD-21524"/>
    <s v="CUST-5185"/>
    <d v="2022-09-10T00:00:00"/>
    <s v="Toys"/>
    <s v="Action Figure"/>
    <n v="19.989999999999998"/>
    <n v="3"/>
    <n v="5"/>
    <n v="18.989999999999998"/>
    <n v="56.97"/>
    <s v="Wallet"/>
    <s v="Delivered"/>
    <m/>
    <n v="21"/>
    <s v="San Jose"/>
    <s v="Gold"/>
    <s v="Female"/>
    <b v="1"/>
    <x v="22"/>
  </r>
  <r>
    <s v="ORD-21525"/>
    <s v="CUST-5185"/>
    <d v="2022-05-22T00:00:00"/>
    <s v="Electronics"/>
    <s v="Wireless Earbuds"/>
    <n v="79.989999999999995"/>
    <n v="4"/>
    <n v="0"/>
    <n v="79.989999999999995"/>
    <n v="319.95999999999998"/>
    <s v="UPI"/>
    <s v="Delivered"/>
    <m/>
    <n v="21"/>
    <s v="San Jose"/>
    <s v="Gold"/>
    <s v="Female"/>
    <b v="1"/>
    <x v="31"/>
  </r>
  <r>
    <s v="ORD-21526"/>
    <s v="CUST-5185"/>
    <d v="2022-04-25T00:00:00"/>
    <s v="Sports"/>
    <s v="Jump Rope"/>
    <n v="14.99"/>
    <n v="3"/>
    <n v="5"/>
    <n v="14.24"/>
    <n v="42.72"/>
    <s v="Credit Card"/>
    <s v="Delivered"/>
    <n v="4"/>
    <n v="21"/>
    <s v="San Jose"/>
    <s v="Gold"/>
    <s v="Female"/>
    <b v="1"/>
    <x v="12"/>
  </r>
  <r>
    <s v="ORD-21527"/>
    <s v="CUST-5185"/>
    <d v="2023-09-15T00:00:00"/>
    <s v="Books"/>
    <s v="Python for Beginners"/>
    <n v="29.99"/>
    <n v="4"/>
    <n v="5"/>
    <n v="28.49"/>
    <n v="113.96"/>
    <s v="UPI"/>
    <s v="Delivered"/>
    <n v="4"/>
    <n v="21"/>
    <s v="San Jose"/>
    <s v="Gold"/>
    <s v="Female"/>
    <b v="1"/>
    <x v="6"/>
  </r>
  <r>
    <s v="ORD-21528"/>
    <s v="CUST-5185"/>
    <d v="2022-06-19T00:00:00"/>
    <s v="Toys"/>
    <s v="Remote Control Car"/>
    <n v="39.99"/>
    <n v="2"/>
    <n v="20"/>
    <n v="31.99"/>
    <n v="63.98"/>
    <s v="Wallet"/>
    <s v="Delivered"/>
    <n v="5"/>
    <n v="21"/>
    <s v="San Jose"/>
    <s v="Gold"/>
    <s v="Female"/>
    <b v="1"/>
    <x v="8"/>
  </r>
  <r>
    <s v="ORD-21529"/>
    <s v="CUST-5185"/>
    <d v="2022-12-23T00:00:00"/>
    <s v="Home &amp; Kitchen"/>
    <s v="Blender"/>
    <n v="64.989999999999995"/>
    <n v="1"/>
    <n v="10"/>
    <n v="58.49"/>
    <n v="58.49"/>
    <s v="Wallet"/>
    <s v="Delivered"/>
    <m/>
    <n v="21"/>
    <s v="San Jose"/>
    <s v="Gold"/>
    <s v="Female"/>
    <b v="1"/>
    <x v="28"/>
  </r>
  <r>
    <s v="ORD-21530"/>
    <s v="CUST-5185"/>
    <d v="2024-08-18T00:00:00"/>
    <s v="Sports"/>
    <s v="Yoga Mat"/>
    <n v="29.99"/>
    <n v="4"/>
    <n v="0"/>
    <n v="29.99"/>
    <n v="119.96"/>
    <s v="Debit Card"/>
    <s v="Shipped"/>
    <n v="4"/>
    <n v="21"/>
    <s v="San Jose"/>
    <s v="Gold"/>
    <s v="Female"/>
    <b v="1"/>
    <x v="26"/>
  </r>
  <r>
    <s v="ORD-21531"/>
    <s v="CUST-5185"/>
    <d v="2022-08-24T00:00:00"/>
    <s v="Sports"/>
    <s v="Jump Rope"/>
    <n v="14.99"/>
    <n v="2"/>
    <n v="5"/>
    <n v="14.24"/>
    <n v="28.48"/>
    <s v="Credit Card"/>
    <s v="Delivered"/>
    <n v="5"/>
    <n v="21"/>
    <s v="San Jose"/>
    <s v="Gold"/>
    <s v="Female"/>
    <b v="1"/>
    <x v="7"/>
  </r>
  <r>
    <s v="ORD-21532"/>
    <s v="CUST-5185"/>
    <d v="2022-07-17T00:00:00"/>
    <s v="Home &amp; Kitchen"/>
    <s v="Blender"/>
    <n v="64.989999999999995"/>
    <n v="1"/>
    <n v="0"/>
    <n v="64.989999999999995"/>
    <n v="64.989999999999995"/>
    <s v="Debit Card"/>
    <s v="Delivered"/>
    <n v="3"/>
    <n v="21"/>
    <s v="San Jose"/>
    <s v="Gold"/>
    <s v="Female"/>
    <b v="1"/>
    <x v="33"/>
  </r>
  <r>
    <s v="ORD-21533"/>
    <s v="CUST-5185"/>
    <d v="2022-08-20T00:00:00"/>
    <s v="Clothing"/>
    <s v="Running Shoes"/>
    <n v="89.99"/>
    <n v="4"/>
    <n v="10"/>
    <n v="80.989999999999995"/>
    <n v="323.95999999999998"/>
    <s v="UPI"/>
    <s v="Delivered"/>
    <m/>
    <n v="21"/>
    <s v="San Jose"/>
    <s v="Gold"/>
    <s v="Female"/>
    <b v="1"/>
    <x v="7"/>
  </r>
  <r>
    <s v="ORD-21534"/>
    <s v="CUST-5186"/>
    <d v="2024-09-11T00:00:00"/>
    <s v="Books"/>
    <s v="Data Science Handbook"/>
    <n v="49.99"/>
    <n v="3"/>
    <n v="0"/>
    <n v="49.99"/>
    <n v="149.97"/>
    <s v="Wallet"/>
    <s v="Processing"/>
    <n v="5"/>
    <n v="33"/>
    <s v="Phoenix"/>
    <s v="Silver"/>
    <s v="Male"/>
    <b v="1"/>
    <x v="15"/>
  </r>
  <r>
    <s v="ORD-21535"/>
    <s v="CUST-5186"/>
    <d v="2023-05-18T00:00:00"/>
    <s v="Books"/>
    <s v="Python for Beginners"/>
    <n v="29.99"/>
    <n v="2"/>
    <n v="0"/>
    <n v="29.99"/>
    <n v="59.98"/>
    <s v="PayPal"/>
    <s v="Delivered"/>
    <n v="5"/>
    <n v="33"/>
    <s v="Phoenix"/>
    <s v="Silver"/>
    <s v="Male"/>
    <b v="1"/>
    <x v="5"/>
  </r>
  <r>
    <s v="ORD-21536"/>
    <s v="CUST-5186"/>
    <d v="2023-03-13T00:00:00"/>
    <s v="Home &amp; Kitchen"/>
    <s v="Non-stick Pan Set"/>
    <n v="44.99"/>
    <n v="1"/>
    <n v="5"/>
    <n v="42.74"/>
    <n v="42.74"/>
    <s v="Credit Card"/>
    <s v="Delivered"/>
    <n v="4"/>
    <n v="33"/>
    <s v="Phoenix"/>
    <s v="Silver"/>
    <s v="Male"/>
    <b v="1"/>
    <x v="23"/>
  </r>
  <r>
    <s v="ORD-21537"/>
    <s v="CUST-5186"/>
    <d v="2022-04-27T00:00:00"/>
    <s v="Toys"/>
    <s v="Action Figure"/>
    <n v="19.989999999999998"/>
    <n v="2"/>
    <n v="0"/>
    <n v="19.989999999999998"/>
    <n v="39.979999999999997"/>
    <s v="PayPal"/>
    <s v="Delivered"/>
    <n v="5"/>
    <n v="33"/>
    <s v="Phoenix"/>
    <s v="Silver"/>
    <s v="Male"/>
    <b v="1"/>
    <x v="12"/>
  </r>
  <r>
    <s v="ORD-21538"/>
    <s v="CUST-5186"/>
    <d v="2024-07-17T00:00:00"/>
    <s v="Books"/>
    <s v="Python for Beginners"/>
    <n v="29.99"/>
    <n v="4"/>
    <n v="10"/>
    <n v="26.99"/>
    <n v="107.96"/>
    <s v="PayPal"/>
    <s v="Delivered"/>
    <m/>
    <n v="33"/>
    <s v="Phoenix"/>
    <s v="Silver"/>
    <s v="Male"/>
    <b v="1"/>
    <x v="4"/>
  </r>
  <r>
    <s v="ORD-21539"/>
    <s v="CUST-5186"/>
    <d v="2024-05-14T00:00:00"/>
    <s v="Books"/>
    <s v="Fiction Novel"/>
    <n v="14.99"/>
    <n v="3"/>
    <n v="20"/>
    <n v="11.99"/>
    <n v="35.97"/>
    <s v="Credit Card"/>
    <s v="Delivered"/>
    <n v="4"/>
    <n v="33"/>
    <s v="Phoenix"/>
    <s v="Silver"/>
    <s v="Male"/>
    <b v="1"/>
    <x v="30"/>
  </r>
  <r>
    <s v="ORD-21540"/>
    <s v="CUST-5187"/>
    <d v="2024-04-05T00:00:00"/>
    <s v="Clothing"/>
    <s v="Cotton T-Shirt"/>
    <n v="24.99"/>
    <n v="4"/>
    <n v="0"/>
    <n v="24.99"/>
    <n v="99.96"/>
    <s v="Wallet"/>
    <s v="Delivered"/>
    <n v="4"/>
    <n v="61"/>
    <s v="San Jose"/>
    <s v="Free"/>
    <s v="Female"/>
    <b v="1"/>
    <x v="27"/>
  </r>
  <r>
    <s v="ORD-21541"/>
    <s v="CUST-5187"/>
    <d v="2023-10-04T00:00:00"/>
    <s v="Home &amp; Kitchen"/>
    <s v="Non-stick Pan Set"/>
    <n v="44.99"/>
    <n v="2"/>
    <n v="20"/>
    <n v="35.99"/>
    <n v="71.98"/>
    <s v="PayPal"/>
    <s v="Delivered"/>
    <m/>
    <n v="61"/>
    <s v="San Jose"/>
    <s v="Free"/>
    <s v="Female"/>
    <b v="1"/>
    <x v="13"/>
  </r>
  <r>
    <s v="ORD-21542"/>
    <s v="CUST-5187"/>
    <d v="2022-12-01T00:00:00"/>
    <s v="Electronics"/>
    <s v="Bluetooth Speaker"/>
    <n v="49.99"/>
    <n v="4"/>
    <n v="20"/>
    <n v="39.99"/>
    <n v="159.96"/>
    <s v="Wallet"/>
    <s v="Delivered"/>
    <n v="3"/>
    <n v="61"/>
    <s v="San Jose"/>
    <s v="Free"/>
    <s v="Female"/>
    <b v="1"/>
    <x v="28"/>
  </r>
  <r>
    <s v="ORD-21543"/>
    <s v="CUST-5187"/>
    <d v="2022-07-01T00:00:00"/>
    <s v="Beauty"/>
    <s v="Face Serum"/>
    <n v="39.99"/>
    <n v="2"/>
    <n v="15"/>
    <n v="33.99"/>
    <n v="67.98"/>
    <s v="PayPal"/>
    <s v="Delivered"/>
    <m/>
    <n v="61"/>
    <s v="San Jose"/>
    <s v="Free"/>
    <s v="Female"/>
    <b v="1"/>
    <x v="33"/>
  </r>
  <r>
    <s v="ORD-21544"/>
    <s v="CUST-5187"/>
    <d v="2023-08-23T00:00:00"/>
    <s v="Home &amp; Kitchen"/>
    <s v="Non-stick Pan Set"/>
    <n v="44.99"/>
    <n v="4"/>
    <n v="0"/>
    <n v="44.99"/>
    <n v="179.96"/>
    <s v="UPI"/>
    <s v="Processing"/>
    <m/>
    <n v="61"/>
    <s v="San Jose"/>
    <s v="Free"/>
    <s v="Female"/>
    <b v="1"/>
    <x v="24"/>
  </r>
  <r>
    <s v="ORD-21545"/>
    <s v="CUST-5187"/>
    <d v="2024-07-10T00:00:00"/>
    <s v="Toys"/>
    <s v="Puzzle 1000pcs"/>
    <n v="24.99"/>
    <n v="1"/>
    <n v="5"/>
    <n v="23.74"/>
    <n v="23.74"/>
    <s v="Debit Card"/>
    <s v="Delivered"/>
    <n v="5"/>
    <n v="61"/>
    <s v="San Jose"/>
    <s v="Free"/>
    <s v="Female"/>
    <b v="1"/>
    <x v="4"/>
  </r>
  <r>
    <s v="ORD-21546"/>
    <s v="CUST-5187"/>
    <d v="2023-03-09T00:00:00"/>
    <s v="Books"/>
    <s v="Fiction Novel"/>
    <n v="14.99"/>
    <n v="3"/>
    <n v="0"/>
    <n v="14.99"/>
    <n v="44.97"/>
    <s v="UPI"/>
    <s v="Delivered"/>
    <n v="5"/>
    <n v="61"/>
    <s v="San Jose"/>
    <s v="Free"/>
    <s v="Female"/>
    <b v="1"/>
    <x v="23"/>
  </r>
  <r>
    <s v="ORD-21547"/>
    <s v="CUST-5187"/>
    <d v="2024-06-03T00:00:00"/>
    <s v="Electronics"/>
    <s v="USB-C Hub"/>
    <n v="34.99"/>
    <n v="3"/>
    <n v="20"/>
    <n v="27.99"/>
    <n v="83.97"/>
    <s v="Wallet"/>
    <s v="Delivered"/>
    <n v="5"/>
    <n v="61"/>
    <s v="San Jose"/>
    <s v="Free"/>
    <s v="Female"/>
    <b v="1"/>
    <x v="35"/>
  </r>
  <r>
    <s v="ORD-21548"/>
    <s v="CUST-5187"/>
    <d v="2023-03-15T00:00:00"/>
    <s v="Electronics"/>
    <s v="Smart Watch"/>
    <n v="199.99"/>
    <n v="3"/>
    <n v="10"/>
    <n v="179.99"/>
    <n v="539.97"/>
    <s v="Credit Card"/>
    <s v="Delivered"/>
    <m/>
    <n v="61"/>
    <s v="San Jose"/>
    <s v="Free"/>
    <s v="Female"/>
    <b v="1"/>
    <x v="23"/>
  </r>
  <r>
    <s v="ORD-21549"/>
    <s v="CUST-5187"/>
    <d v="2022-05-01T00:00:00"/>
    <s v="Home &amp; Kitchen"/>
    <s v="Blender"/>
    <n v="64.989999999999995"/>
    <n v="3"/>
    <n v="10"/>
    <n v="58.49"/>
    <n v="175.47"/>
    <s v="PayPal"/>
    <s v="Delivered"/>
    <n v="5"/>
    <n v="61"/>
    <s v="San Jose"/>
    <s v="Free"/>
    <s v="Female"/>
    <b v="1"/>
    <x v="31"/>
  </r>
  <r>
    <s v="ORD-21550"/>
    <s v="CUST-5187"/>
    <d v="2024-11-20T00:00:00"/>
    <s v="Sports"/>
    <s v="Yoga Mat"/>
    <n v="29.99"/>
    <n v="4"/>
    <n v="10"/>
    <n v="26.99"/>
    <n v="107.96"/>
    <s v="UPI"/>
    <s v="Delivered"/>
    <m/>
    <n v="61"/>
    <s v="San Jose"/>
    <s v="Free"/>
    <s v="Female"/>
    <b v="1"/>
    <x v="16"/>
  </r>
  <r>
    <s v="ORD-21551"/>
    <s v="CUST-5187"/>
    <d v="2022-02-28T00:00:00"/>
    <s v="Beauty"/>
    <s v="Face Serum"/>
    <n v="39.99"/>
    <n v="4"/>
    <n v="0"/>
    <n v="39.99"/>
    <n v="159.96"/>
    <s v="Wallet"/>
    <s v="Delivered"/>
    <m/>
    <n v="61"/>
    <s v="San Jose"/>
    <s v="Free"/>
    <s v="Female"/>
    <b v="1"/>
    <x v="17"/>
  </r>
  <r>
    <s v="ORD-21552"/>
    <s v="CUST-5187"/>
    <d v="2024-08-15T00:00:00"/>
    <s v="Sports"/>
    <s v="Yoga Mat"/>
    <n v="29.99"/>
    <n v="4"/>
    <n v="0"/>
    <n v="29.99"/>
    <n v="119.96"/>
    <s v="Credit Card"/>
    <s v="Delivered"/>
    <n v="5"/>
    <n v="61"/>
    <s v="San Jose"/>
    <s v="Free"/>
    <s v="Female"/>
    <b v="1"/>
    <x v="26"/>
  </r>
  <r>
    <s v="ORD-21553"/>
    <s v="CUST-5187"/>
    <d v="2023-10-20T00:00:00"/>
    <s v="Sports"/>
    <s v="Jump Rope"/>
    <n v="14.99"/>
    <n v="4"/>
    <n v="0"/>
    <n v="14.99"/>
    <n v="59.96"/>
    <s v="Credit Card"/>
    <s v="Delivered"/>
    <n v="5"/>
    <n v="61"/>
    <s v="San Jose"/>
    <s v="Free"/>
    <s v="Female"/>
    <b v="1"/>
    <x v="13"/>
  </r>
  <r>
    <s v="ORD-21554"/>
    <s v="CUST-5188"/>
    <d v="2023-06-10T00:00:00"/>
    <s v="Books"/>
    <s v="Python for Beginners"/>
    <n v="29.99"/>
    <n v="1"/>
    <n v="20"/>
    <n v="23.99"/>
    <n v="23.99"/>
    <s v="Wallet"/>
    <s v="Delivered"/>
    <m/>
    <n v="34"/>
    <s v="Austin"/>
    <s v="Free"/>
    <s v="Male"/>
    <b v="1"/>
    <x v="19"/>
  </r>
  <r>
    <s v="ORD-21555"/>
    <s v="CUST-5188"/>
    <d v="2022-12-01T00:00:00"/>
    <s v="Beauty"/>
    <s v="Moisturizer SPF 50"/>
    <n v="29.99"/>
    <n v="2"/>
    <n v="5"/>
    <n v="28.49"/>
    <n v="56.98"/>
    <s v="PayPal"/>
    <s v="Delivered"/>
    <n v="5"/>
    <n v="34"/>
    <s v="Austin"/>
    <s v="Free"/>
    <s v="Male"/>
    <b v="1"/>
    <x v="28"/>
  </r>
  <r>
    <s v="ORD-21556"/>
    <s v="CUST-5188"/>
    <d v="2024-11-12T00:00:00"/>
    <s v="Books"/>
    <s v="Business Analytics"/>
    <n v="39.99"/>
    <n v="2"/>
    <n v="20"/>
    <n v="31.99"/>
    <n v="63.98"/>
    <s v="PayPal"/>
    <s v="Delivered"/>
    <n v="4"/>
    <n v="34"/>
    <s v="Austin"/>
    <s v="Free"/>
    <s v="Male"/>
    <b v="1"/>
    <x v="16"/>
  </r>
  <r>
    <s v="ORD-21557"/>
    <s v="CUST-5188"/>
    <d v="2024-05-15T00:00:00"/>
    <s v="Books"/>
    <s v="Fiction Novel"/>
    <n v="14.99"/>
    <n v="3"/>
    <n v="0"/>
    <n v="14.99"/>
    <n v="44.97"/>
    <s v="Debit Card"/>
    <s v="Delivered"/>
    <n v="4"/>
    <n v="34"/>
    <s v="Austin"/>
    <s v="Free"/>
    <s v="Male"/>
    <b v="1"/>
    <x v="30"/>
  </r>
  <r>
    <s v="ORD-21558"/>
    <s v="CUST-5188"/>
    <d v="2023-01-07T00:00:00"/>
    <s v="Toys"/>
    <s v="LEGO Classic Set"/>
    <n v="49.99"/>
    <n v="2"/>
    <n v="20"/>
    <n v="39.99"/>
    <n v="79.98"/>
    <s v="Wallet"/>
    <s v="Delivered"/>
    <m/>
    <n v="34"/>
    <s v="Austin"/>
    <s v="Free"/>
    <s v="Male"/>
    <b v="1"/>
    <x v="10"/>
  </r>
  <r>
    <s v="ORD-21559"/>
    <s v="CUST-5188"/>
    <d v="2023-10-07T00:00:00"/>
    <s v="Beauty"/>
    <s v="Face Serum"/>
    <n v="39.99"/>
    <n v="4"/>
    <n v="0"/>
    <n v="39.99"/>
    <n v="159.96"/>
    <s v="Credit Card"/>
    <s v="Delivered"/>
    <n v="5"/>
    <n v="34"/>
    <s v="Austin"/>
    <s v="Free"/>
    <s v="Male"/>
    <b v="1"/>
    <x v="13"/>
  </r>
  <r>
    <s v="ORD-21560"/>
    <s v="CUST-5188"/>
    <d v="2022-06-14T00:00:00"/>
    <s v="Home &amp; Kitchen"/>
    <s v="Blender"/>
    <n v="64.989999999999995"/>
    <n v="3"/>
    <n v="20"/>
    <n v="51.99"/>
    <n v="155.97"/>
    <s v="Wallet"/>
    <s v="Delivered"/>
    <n v="5"/>
    <n v="34"/>
    <s v="Austin"/>
    <s v="Free"/>
    <s v="Male"/>
    <b v="1"/>
    <x v="8"/>
  </r>
  <r>
    <s v="ORD-21561"/>
    <s v="CUST-5188"/>
    <d v="2023-02-14T00:00:00"/>
    <s v="Books"/>
    <s v="Python for Beginners"/>
    <n v="29.99"/>
    <n v="2"/>
    <n v="10"/>
    <n v="26.99"/>
    <n v="53.98"/>
    <s v="Wallet"/>
    <s v="Delivered"/>
    <n v="2"/>
    <n v="34"/>
    <s v="Austin"/>
    <s v="Free"/>
    <s v="Male"/>
    <b v="1"/>
    <x v="34"/>
  </r>
  <r>
    <s v="ORD-21562"/>
    <s v="CUST-5188"/>
    <d v="2022-07-02T00:00:00"/>
    <s v="Sports"/>
    <s v="Yoga Mat"/>
    <n v="29.99"/>
    <n v="3"/>
    <n v="0"/>
    <n v="29.99"/>
    <n v="89.97"/>
    <s v="UPI"/>
    <s v="Delivered"/>
    <n v="5"/>
    <n v="34"/>
    <s v="Austin"/>
    <s v="Free"/>
    <s v="Male"/>
    <b v="1"/>
    <x v="33"/>
  </r>
  <r>
    <s v="ORD-21563"/>
    <s v="CUST-5188"/>
    <d v="2022-06-02T00:00:00"/>
    <s v="Books"/>
    <s v="Business Analytics"/>
    <n v="39.99"/>
    <n v="4"/>
    <n v="20"/>
    <n v="31.99"/>
    <n v="127.96"/>
    <s v="Wallet"/>
    <s v="Delivered"/>
    <n v="4"/>
    <n v="34"/>
    <s v="Austin"/>
    <s v="Free"/>
    <s v="Male"/>
    <b v="1"/>
    <x v="8"/>
  </r>
  <r>
    <s v="ORD-21564"/>
    <s v="CUST-5189"/>
    <d v="2022-08-24T00:00:00"/>
    <s v="Clothing"/>
    <s v="Yoga Pants"/>
    <n v="44.99"/>
    <n v="2"/>
    <n v="10"/>
    <n v="40.49"/>
    <n v="80.98"/>
    <s v="PayPal"/>
    <s v="Delivered"/>
    <n v="3"/>
    <n v="35"/>
    <s v="Chicago"/>
    <s v="Silver"/>
    <s v="Female"/>
    <b v="1"/>
    <x v="7"/>
  </r>
  <r>
    <s v="ORD-21565"/>
    <s v="CUST-5189"/>
    <d v="2022-09-02T00:00:00"/>
    <s v="Home &amp; Kitchen"/>
    <s v="Air Fryer"/>
    <n v="89.99"/>
    <n v="4"/>
    <n v="15"/>
    <n v="76.489999999999995"/>
    <n v="305.95999999999998"/>
    <s v="Credit Card"/>
    <s v="Delivered"/>
    <n v="4"/>
    <n v="35"/>
    <s v="Chicago"/>
    <s v="Silver"/>
    <s v="Female"/>
    <b v="1"/>
    <x v="22"/>
  </r>
  <r>
    <s v="ORD-21566"/>
    <s v="CUST-5189"/>
    <d v="2023-09-04T00:00:00"/>
    <s v="Toys"/>
    <s v="Remote Control Car"/>
    <n v="39.99"/>
    <n v="2"/>
    <n v="10"/>
    <n v="35.99"/>
    <n v="71.98"/>
    <s v="Credit Card"/>
    <s v="Delivered"/>
    <m/>
    <n v="35"/>
    <s v="Chicago"/>
    <s v="Silver"/>
    <s v="Female"/>
    <b v="1"/>
    <x v="6"/>
  </r>
  <r>
    <s v="ORD-21567"/>
    <s v="CUST-5189"/>
    <d v="2022-01-22T00:00:00"/>
    <s v="Books"/>
    <s v="Python for Beginners"/>
    <n v="29.99"/>
    <n v="2"/>
    <n v="0"/>
    <n v="29.99"/>
    <n v="59.98"/>
    <s v="Debit Card"/>
    <s v="Delivered"/>
    <n v="4"/>
    <n v="35"/>
    <s v="Chicago"/>
    <s v="Silver"/>
    <s v="Female"/>
    <b v="1"/>
    <x v="2"/>
  </r>
  <r>
    <s v="ORD-21568"/>
    <s v="CUST-5189"/>
    <d v="2022-05-21T00:00:00"/>
    <s v="Electronics"/>
    <s v="Smart Watch"/>
    <n v="199.99"/>
    <n v="2"/>
    <n v="0"/>
    <n v="199.99"/>
    <n v="399.98"/>
    <s v="Debit Card"/>
    <s v="Delivered"/>
    <n v="5"/>
    <n v="35"/>
    <s v="Chicago"/>
    <s v="Silver"/>
    <s v="Female"/>
    <b v="1"/>
    <x v="31"/>
  </r>
  <r>
    <s v="ORD-21569"/>
    <s v="CUST-5189"/>
    <d v="2024-09-09T00:00:00"/>
    <s v="Beauty"/>
    <s v="Moisturizer SPF 50"/>
    <n v="29.99"/>
    <n v="3"/>
    <n v="10"/>
    <n v="26.99"/>
    <n v="80.97"/>
    <s v="UPI"/>
    <s v="Delivered"/>
    <n v="4"/>
    <n v="35"/>
    <s v="Chicago"/>
    <s v="Silver"/>
    <s v="Female"/>
    <b v="1"/>
    <x v="15"/>
  </r>
  <r>
    <s v="ORD-21570"/>
    <s v="CUST-5189"/>
    <d v="2023-09-04T00:00:00"/>
    <s v="Sports"/>
    <s v="Resistance Bands"/>
    <n v="19.989999999999998"/>
    <n v="1"/>
    <n v="0"/>
    <n v="19.989999999999998"/>
    <n v="19.989999999999998"/>
    <s v="Debit Card"/>
    <s v="Delivered"/>
    <n v="5"/>
    <n v="35"/>
    <s v="Chicago"/>
    <s v="Silver"/>
    <s v="Female"/>
    <b v="1"/>
    <x v="6"/>
  </r>
  <r>
    <s v="ORD-21571"/>
    <s v="CUST-5189"/>
    <d v="2024-06-11T00:00:00"/>
    <s v="Sports"/>
    <s v="Water Bottle"/>
    <n v="24.99"/>
    <n v="2"/>
    <n v="20"/>
    <n v="19.989999999999998"/>
    <n v="39.979999999999997"/>
    <s v="Credit Card"/>
    <s v="Delivered"/>
    <m/>
    <n v="35"/>
    <s v="Chicago"/>
    <s v="Silver"/>
    <s v="Female"/>
    <b v="1"/>
    <x v="35"/>
  </r>
  <r>
    <s v="ORD-21572"/>
    <s v="CUST-5189"/>
    <d v="2023-08-24T00:00:00"/>
    <s v="Beauty"/>
    <s v="Hair Mask"/>
    <n v="24.99"/>
    <n v="2"/>
    <n v="0"/>
    <n v="24.99"/>
    <n v="49.98"/>
    <s v="Debit Card"/>
    <s v="Shipped"/>
    <n v="4"/>
    <n v="35"/>
    <s v="Chicago"/>
    <s v="Silver"/>
    <s v="Female"/>
    <b v="1"/>
    <x v="24"/>
  </r>
  <r>
    <s v="ORD-21573"/>
    <s v="CUST-5190"/>
    <d v="2022-01-05T00:00:00"/>
    <s v="Electronics"/>
    <s v="Wireless Earbuds"/>
    <n v="79.989999999999995"/>
    <n v="1"/>
    <n v="10"/>
    <n v="71.989999999999995"/>
    <n v="71.989999999999995"/>
    <s v="Wallet"/>
    <s v="Delivered"/>
    <n v="5"/>
    <n v="59"/>
    <s v="Dallas"/>
    <s v="Silver"/>
    <s v="Female"/>
    <b v="1"/>
    <x v="2"/>
  </r>
  <r>
    <s v="ORD-21574"/>
    <s v="CUST-5190"/>
    <d v="2022-10-28T00:00:00"/>
    <s v="Toys"/>
    <s v="Puzzle 1000pcs"/>
    <n v="24.99"/>
    <n v="3"/>
    <n v="20"/>
    <n v="19.989999999999998"/>
    <n v="59.97"/>
    <s v="Credit Card"/>
    <s v="Shipped"/>
    <n v="5"/>
    <n v="59"/>
    <s v="Dallas"/>
    <s v="Silver"/>
    <s v="Female"/>
    <b v="1"/>
    <x v="20"/>
  </r>
  <r>
    <s v="ORD-21575"/>
    <s v="CUST-5190"/>
    <d v="2022-10-12T00:00:00"/>
    <s v="Clothing"/>
    <s v="Yoga Pants"/>
    <n v="44.99"/>
    <n v="3"/>
    <n v="10"/>
    <n v="40.49"/>
    <n v="121.47"/>
    <s v="Wallet"/>
    <s v="Delivered"/>
    <m/>
    <n v="59"/>
    <s v="Dallas"/>
    <s v="Silver"/>
    <s v="Female"/>
    <b v="1"/>
    <x v="20"/>
  </r>
  <r>
    <s v="ORD-21576"/>
    <s v="CUST-5190"/>
    <d v="2023-04-04T00:00:00"/>
    <s v="Electronics"/>
    <s v="USB-C Hub"/>
    <n v="34.99"/>
    <n v="3"/>
    <n v="10"/>
    <n v="31.49"/>
    <n v="94.47"/>
    <s v="Debit Card"/>
    <s v="Delivered"/>
    <m/>
    <n v="59"/>
    <s v="Dallas"/>
    <s v="Silver"/>
    <s v="Female"/>
    <b v="1"/>
    <x v="18"/>
  </r>
  <r>
    <s v="ORD-21577"/>
    <s v="CUST-5190"/>
    <d v="2024-08-19T00:00:00"/>
    <s v="Toys"/>
    <s v="Action Figure"/>
    <n v="19.989999999999998"/>
    <n v="4"/>
    <n v="5"/>
    <n v="18.989999999999998"/>
    <n v="75.959999999999994"/>
    <s v="Credit Card"/>
    <s v="Delivered"/>
    <n v="5"/>
    <n v="59"/>
    <s v="Dallas"/>
    <s v="Silver"/>
    <s v="Female"/>
    <b v="1"/>
    <x v="26"/>
  </r>
  <r>
    <s v="ORD-21578"/>
    <s v="CUST-5190"/>
    <d v="2022-02-24T00:00:00"/>
    <s v="Beauty"/>
    <s v="Hair Mask"/>
    <n v="24.99"/>
    <n v="4"/>
    <n v="15"/>
    <n v="21.24"/>
    <n v="84.96"/>
    <s v="Wallet"/>
    <s v="Delivered"/>
    <n v="5"/>
    <n v="59"/>
    <s v="Dallas"/>
    <s v="Silver"/>
    <s v="Female"/>
    <b v="1"/>
    <x v="17"/>
  </r>
  <r>
    <s v="ORD-21579"/>
    <s v="CUST-5190"/>
    <d v="2024-07-16T00:00:00"/>
    <s v="Beauty"/>
    <s v="Hair Mask"/>
    <n v="24.99"/>
    <n v="4"/>
    <n v="5"/>
    <n v="23.74"/>
    <n v="94.96"/>
    <s v="PayPal"/>
    <s v="Delivered"/>
    <n v="4"/>
    <n v="59"/>
    <s v="Dallas"/>
    <s v="Silver"/>
    <s v="Female"/>
    <b v="1"/>
    <x v="4"/>
  </r>
  <r>
    <s v="ORD-21580"/>
    <s v="CUST-5190"/>
    <d v="2022-12-06T00:00:00"/>
    <s v="Electronics"/>
    <s v="Bluetooth Speaker"/>
    <n v="49.99"/>
    <n v="3"/>
    <n v="20"/>
    <n v="39.99"/>
    <n v="119.97"/>
    <s v="UPI"/>
    <s v="Delivered"/>
    <m/>
    <n v="59"/>
    <s v="Dallas"/>
    <s v="Silver"/>
    <s v="Female"/>
    <b v="1"/>
    <x v="28"/>
  </r>
  <r>
    <s v="ORD-21581"/>
    <s v="CUST-5190"/>
    <d v="2024-02-26T00:00:00"/>
    <s v="Sports"/>
    <s v="Resistance Bands"/>
    <n v="19.989999999999998"/>
    <n v="3"/>
    <n v="0"/>
    <n v="19.989999999999998"/>
    <n v="59.97"/>
    <s v="Credit Card"/>
    <s v="Returned"/>
    <m/>
    <n v="59"/>
    <s v="Dallas"/>
    <s v="Silver"/>
    <s v="Female"/>
    <b v="1"/>
    <x v="0"/>
  </r>
  <r>
    <s v="ORD-21582"/>
    <s v="CUST-5190"/>
    <d v="2023-10-26T00:00:00"/>
    <s v="Books"/>
    <s v="Python for Beginners"/>
    <n v="29.99"/>
    <n v="4"/>
    <n v="20"/>
    <n v="23.99"/>
    <n v="95.96"/>
    <s v="Credit Card"/>
    <s v="Delivered"/>
    <n v="4"/>
    <n v="59"/>
    <s v="Dallas"/>
    <s v="Silver"/>
    <s v="Female"/>
    <b v="1"/>
    <x v="13"/>
  </r>
  <r>
    <s v="ORD-21583"/>
    <s v="CUST-5190"/>
    <d v="2023-11-11T00:00:00"/>
    <s v="Books"/>
    <s v="Business Analytics"/>
    <n v="39.99"/>
    <n v="2"/>
    <n v="0"/>
    <n v="39.99"/>
    <n v="79.98"/>
    <s v="Wallet"/>
    <s v="Cancelled"/>
    <m/>
    <n v="59"/>
    <s v="Dallas"/>
    <s v="Silver"/>
    <s v="Female"/>
    <b v="1"/>
    <x v="29"/>
  </r>
  <r>
    <s v="ORD-21584"/>
    <s v="CUST-5191"/>
    <d v="2023-02-14T00:00:00"/>
    <s v="Books"/>
    <s v="Fiction Novel"/>
    <n v="14.99"/>
    <n v="1"/>
    <n v="10"/>
    <n v="13.49"/>
    <n v="13.49"/>
    <s v="Wallet"/>
    <s v="Delivered"/>
    <n v="5"/>
    <n v="30"/>
    <s v="San Diego"/>
    <s v="Free"/>
    <s v="Male"/>
    <b v="1"/>
    <x v="34"/>
  </r>
  <r>
    <s v="ORD-21585"/>
    <s v="CUST-5191"/>
    <d v="2022-11-22T00:00:00"/>
    <s v="Electronics"/>
    <s v="Smart Watch"/>
    <n v="199.99"/>
    <n v="4"/>
    <n v="20"/>
    <n v="159.99"/>
    <n v="639.96"/>
    <s v="UPI"/>
    <s v="Delivered"/>
    <n v="4"/>
    <n v="30"/>
    <s v="San Diego"/>
    <s v="Free"/>
    <s v="Male"/>
    <b v="1"/>
    <x v="3"/>
  </r>
  <r>
    <s v="ORD-21586"/>
    <s v="CUST-5191"/>
    <d v="2022-06-05T00:00:00"/>
    <s v="Toys"/>
    <s v="Remote Control Car"/>
    <n v="39.99"/>
    <n v="3"/>
    <n v="0"/>
    <n v="39.99"/>
    <n v="119.97"/>
    <s v="Credit Card"/>
    <s v="Delivered"/>
    <n v="5"/>
    <n v="30"/>
    <s v="San Diego"/>
    <s v="Free"/>
    <s v="Male"/>
    <b v="1"/>
    <x v="8"/>
  </r>
  <r>
    <s v="ORD-21587"/>
    <s v="CUST-5191"/>
    <d v="2024-04-27T00:00:00"/>
    <s v="Electronics"/>
    <s v="USB-C Hub"/>
    <n v="34.99"/>
    <n v="2"/>
    <n v="0"/>
    <n v="34.99"/>
    <n v="69.98"/>
    <s v="UPI"/>
    <s v="Delivered"/>
    <m/>
    <n v="30"/>
    <s v="San Diego"/>
    <s v="Free"/>
    <s v="Male"/>
    <b v="1"/>
    <x v="27"/>
  </r>
  <r>
    <s v="ORD-21588"/>
    <s v="CUST-5192"/>
    <d v="2022-04-08T00:00:00"/>
    <s v="Beauty"/>
    <s v="Hair Mask"/>
    <n v="24.99"/>
    <n v="4"/>
    <n v="0"/>
    <n v="24.99"/>
    <n v="99.96"/>
    <s v="Wallet"/>
    <s v="Delivered"/>
    <n v="4"/>
    <n v="52"/>
    <s v="San Jose"/>
    <s v="Free"/>
    <s v="Female"/>
    <b v="1"/>
    <x v="12"/>
  </r>
  <r>
    <s v="ORD-21589"/>
    <s v="CUST-5192"/>
    <d v="2024-10-21T00:00:00"/>
    <s v="Electronics"/>
    <s v="Bluetooth Speaker"/>
    <n v="49.99"/>
    <n v="1"/>
    <n v="20"/>
    <n v="39.99"/>
    <n v="39.99"/>
    <s v="UPI"/>
    <s v="Delivered"/>
    <n v="3"/>
    <n v="52"/>
    <s v="San Jose"/>
    <s v="Free"/>
    <s v="Female"/>
    <b v="1"/>
    <x v="21"/>
  </r>
  <r>
    <s v="ORD-21590"/>
    <s v="CUST-5192"/>
    <d v="2022-07-26T00:00:00"/>
    <s v="Sports"/>
    <s v="Yoga Mat"/>
    <n v="29.99"/>
    <n v="2"/>
    <n v="5"/>
    <n v="28.49"/>
    <n v="56.98"/>
    <s v="PayPal"/>
    <s v="Delivered"/>
    <n v="2"/>
    <n v="52"/>
    <s v="San Jose"/>
    <s v="Free"/>
    <s v="Female"/>
    <b v="1"/>
    <x v="33"/>
  </r>
  <r>
    <s v="ORD-21591"/>
    <s v="CUST-5192"/>
    <d v="2023-05-05T00:00:00"/>
    <s v="Clothing"/>
    <s v="Yoga Pants"/>
    <n v="44.99"/>
    <n v="2"/>
    <n v="0"/>
    <n v="44.99"/>
    <n v="89.98"/>
    <s v="Debit Card"/>
    <s v="Delivered"/>
    <n v="4"/>
    <n v="52"/>
    <s v="San Jose"/>
    <s v="Free"/>
    <s v="Female"/>
    <b v="1"/>
    <x v="5"/>
  </r>
  <r>
    <s v="ORD-21592"/>
    <s v="CUST-5192"/>
    <d v="2022-04-17T00:00:00"/>
    <s v="Toys"/>
    <s v="Remote Control Car"/>
    <n v="39.99"/>
    <n v="4"/>
    <n v="5"/>
    <n v="37.99"/>
    <n v="151.96"/>
    <s v="UPI"/>
    <s v="Delivered"/>
    <n v="1"/>
    <n v="52"/>
    <s v="San Jose"/>
    <s v="Free"/>
    <s v="Female"/>
    <b v="1"/>
    <x v="12"/>
  </r>
  <r>
    <s v="ORD-21593"/>
    <s v="CUST-5192"/>
    <d v="2022-03-12T00:00:00"/>
    <s v="Beauty"/>
    <s v="Lip Balm Set"/>
    <n v="14.99"/>
    <n v="4"/>
    <n v="10"/>
    <n v="13.49"/>
    <n v="53.96"/>
    <s v="Credit Card"/>
    <s v="Delivered"/>
    <n v="5"/>
    <n v="52"/>
    <s v="San Jose"/>
    <s v="Free"/>
    <s v="Female"/>
    <b v="1"/>
    <x v="11"/>
  </r>
  <r>
    <s v="ORD-21594"/>
    <s v="CUST-5192"/>
    <d v="2024-09-09T00:00:00"/>
    <s v="Electronics"/>
    <s v="Smart Watch"/>
    <n v="199.99"/>
    <n v="1"/>
    <n v="10"/>
    <n v="179.99"/>
    <n v="179.99"/>
    <s v="Credit Card"/>
    <s v="Processing"/>
    <n v="5"/>
    <n v="52"/>
    <s v="San Jose"/>
    <s v="Free"/>
    <s v="Female"/>
    <b v="1"/>
    <x v="15"/>
  </r>
  <r>
    <s v="ORD-21595"/>
    <s v="CUST-5192"/>
    <d v="2023-07-15T00:00:00"/>
    <s v="Toys"/>
    <s v="Remote Control Car"/>
    <n v="39.99"/>
    <n v="3"/>
    <n v="15"/>
    <n v="33.99"/>
    <n v="101.97"/>
    <s v="UPI"/>
    <s v="Delivered"/>
    <n v="4"/>
    <n v="52"/>
    <s v="San Jose"/>
    <s v="Free"/>
    <s v="Female"/>
    <b v="1"/>
    <x v="9"/>
  </r>
  <r>
    <s v="ORD-21596"/>
    <s v="CUST-5193"/>
    <d v="2022-08-14T00:00:00"/>
    <s v="Beauty"/>
    <s v="Moisturizer SPF 50"/>
    <n v="29.99"/>
    <n v="2"/>
    <n v="0"/>
    <n v="29.99"/>
    <n v="59.98"/>
    <s v="PayPal"/>
    <s v="Delivered"/>
    <m/>
    <n v="27"/>
    <s v="San Diego"/>
    <s v="Free"/>
    <s v="Female"/>
    <b v="1"/>
    <x v="7"/>
  </r>
  <r>
    <s v="ORD-21597"/>
    <s v="CUST-5193"/>
    <d v="2022-05-09T00:00:00"/>
    <s v="Sports"/>
    <s v="Water Bottle"/>
    <n v="24.99"/>
    <n v="4"/>
    <n v="5"/>
    <n v="23.74"/>
    <n v="94.96"/>
    <s v="PayPal"/>
    <s v="Delivered"/>
    <m/>
    <n v="27"/>
    <s v="San Diego"/>
    <s v="Free"/>
    <s v="Female"/>
    <b v="1"/>
    <x v="31"/>
  </r>
  <r>
    <s v="ORD-21598"/>
    <s v="CUST-5193"/>
    <d v="2022-03-14T00:00:00"/>
    <s v="Clothing"/>
    <s v="Running Shoes"/>
    <n v="89.99"/>
    <n v="2"/>
    <n v="10"/>
    <n v="80.989999999999995"/>
    <n v="161.97999999999999"/>
    <s v="PayPal"/>
    <s v="Delivered"/>
    <m/>
    <n v="27"/>
    <s v="San Diego"/>
    <s v="Free"/>
    <s v="Female"/>
    <b v="1"/>
    <x v="11"/>
  </r>
  <r>
    <s v="ORD-21599"/>
    <s v="CUST-5193"/>
    <d v="2023-10-03T00:00:00"/>
    <s v="Electronics"/>
    <s v="Smart Watch"/>
    <n v="199.99"/>
    <n v="1"/>
    <n v="0"/>
    <n v="199.99"/>
    <n v="199.99"/>
    <s v="Wallet"/>
    <s v="Shipped"/>
    <m/>
    <n v="27"/>
    <s v="San Diego"/>
    <s v="Free"/>
    <s v="Female"/>
    <b v="1"/>
    <x v="13"/>
  </r>
  <r>
    <s v="ORD-21600"/>
    <s v="CUST-5193"/>
    <d v="2023-04-23T00:00:00"/>
    <s v="Books"/>
    <s v="Python for Beginners"/>
    <n v="29.99"/>
    <n v="4"/>
    <n v="0"/>
    <n v="29.99"/>
    <n v="119.96"/>
    <s v="Credit Card"/>
    <s v="Delivered"/>
    <n v="5"/>
    <n v="27"/>
    <s v="San Diego"/>
    <s v="Free"/>
    <s v="Female"/>
    <b v="1"/>
    <x v="18"/>
  </r>
  <r>
    <s v="ORD-21601"/>
    <s v="CUST-5193"/>
    <d v="2023-04-25T00:00:00"/>
    <s v="Books"/>
    <s v="Python for Beginners"/>
    <n v="29.99"/>
    <n v="3"/>
    <n v="0"/>
    <n v="29.99"/>
    <n v="89.97"/>
    <s v="UPI"/>
    <s v="Delivered"/>
    <m/>
    <n v="27"/>
    <s v="San Diego"/>
    <s v="Free"/>
    <s v="Female"/>
    <b v="1"/>
    <x v="18"/>
  </r>
  <r>
    <s v="ORD-21602"/>
    <s v="CUST-5193"/>
    <d v="2023-11-16T00:00:00"/>
    <s v="Home &amp; Kitchen"/>
    <s v="Air Fryer"/>
    <n v="89.99"/>
    <n v="3"/>
    <n v="5"/>
    <n v="85.49"/>
    <n v="256.47000000000003"/>
    <s v="Credit Card"/>
    <s v="Delivered"/>
    <n v="3"/>
    <n v="27"/>
    <s v="San Diego"/>
    <s v="Free"/>
    <s v="Female"/>
    <b v="1"/>
    <x v="29"/>
  </r>
  <r>
    <s v="ORD-21603"/>
    <s v="CUST-5193"/>
    <d v="2022-08-28T00:00:00"/>
    <s v="Home &amp; Kitchen"/>
    <s v="Blender"/>
    <n v="64.989999999999995"/>
    <n v="3"/>
    <n v="0"/>
    <n v="64.989999999999995"/>
    <n v="194.97"/>
    <s v="Credit Card"/>
    <s v="Delivered"/>
    <n v="4"/>
    <n v="27"/>
    <s v="San Diego"/>
    <s v="Free"/>
    <s v="Female"/>
    <b v="1"/>
    <x v="7"/>
  </r>
  <r>
    <s v="ORD-21604"/>
    <s v="CUST-5193"/>
    <d v="2022-09-18T00:00:00"/>
    <s v="Toys"/>
    <s v="Puzzle 1000pcs"/>
    <n v="24.99"/>
    <n v="1"/>
    <n v="0"/>
    <n v="24.99"/>
    <n v="24.99"/>
    <s v="Credit Card"/>
    <s v="Shipped"/>
    <m/>
    <n v="27"/>
    <s v="San Diego"/>
    <s v="Free"/>
    <s v="Female"/>
    <b v="1"/>
    <x v="22"/>
  </r>
  <r>
    <s v="ORD-21605"/>
    <s v="CUST-5193"/>
    <d v="2024-04-07T00:00:00"/>
    <s v="Beauty"/>
    <s v="Hair Mask"/>
    <n v="24.99"/>
    <n v="4"/>
    <n v="10"/>
    <n v="22.49"/>
    <n v="89.96"/>
    <s v="Wallet"/>
    <s v="Delivered"/>
    <n v="5"/>
    <n v="27"/>
    <s v="San Diego"/>
    <s v="Free"/>
    <s v="Female"/>
    <b v="1"/>
    <x v="27"/>
  </r>
  <r>
    <s v="ORD-21606"/>
    <s v="CUST-5193"/>
    <d v="2024-07-11T00:00:00"/>
    <s v="Electronics"/>
    <s v="USB-C Hub"/>
    <n v="34.99"/>
    <n v="2"/>
    <n v="20"/>
    <n v="27.99"/>
    <n v="55.98"/>
    <s v="Credit Card"/>
    <s v="Delivered"/>
    <m/>
    <n v="27"/>
    <s v="San Diego"/>
    <s v="Free"/>
    <s v="Female"/>
    <b v="1"/>
    <x v="4"/>
  </r>
  <r>
    <s v="ORD-21607"/>
    <s v="CUST-5193"/>
    <d v="2023-06-14T00:00:00"/>
    <s v="Books"/>
    <s v="Data Science Handbook"/>
    <n v="49.99"/>
    <n v="4"/>
    <n v="0"/>
    <n v="49.99"/>
    <n v="199.96"/>
    <s v="Wallet"/>
    <s v="Delivered"/>
    <n v="5"/>
    <n v="27"/>
    <s v="San Diego"/>
    <s v="Free"/>
    <s v="Female"/>
    <b v="1"/>
    <x v="19"/>
  </r>
  <r>
    <s v="ORD-21608"/>
    <s v="CUST-5193"/>
    <d v="2022-01-19T00:00:00"/>
    <s v="Beauty"/>
    <s v="Face Serum"/>
    <n v="39.99"/>
    <n v="4"/>
    <n v="5"/>
    <n v="37.99"/>
    <n v="151.96"/>
    <s v="Debit Card"/>
    <s v="Delivered"/>
    <n v="5"/>
    <n v="27"/>
    <s v="San Diego"/>
    <s v="Free"/>
    <s v="Female"/>
    <b v="1"/>
    <x v="2"/>
  </r>
  <r>
    <s v="ORD-21609"/>
    <s v="CUST-5193"/>
    <d v="2023-05-13T00:00:00"/>
    <s v="Clothing"/>
    <s v="Cotton T-Shirt"/>
    <n v="24.99"/>
    <n v="4"/>
    <n v="10"/>
    <n v="22.49"/>
    <n v="89.96"/>
    <s v="PayPal"/>
    <s v="Delivered"/>
    <n v="5"/>
    <n v="27"/>
    <s v="San Diego"/>
    <s v="Free"/>
    <s v="Female"/>
    <b v="1"/>
    <x v="5"/>
  </r>
  <r>
    <s v="ORD-21610"/>
    <s v="CUST-5193"/>
    <d v="2024-05-04T00:00:00"/>
    <s v="Home &amp; Kitchen"/>
    <s v="Coffee Maker"/>
    <n v="59.99"/>
    <n v="3"/>
    <n v="5"/>
    <n v="56.99"/>
    <n v="170.97"/>
    <s v="UPI"/>
    <s v="Delivered"/>
    <n v="3"/>
    <n v="27"/>
    <s v="San Diego"/>
    <s v="Free"/>
    <s v="Female"/>
    <b v="1"/>
    <x v="30"/>
  </r>
  <r>
    <s v="ORD-21611"/>
    <s v="CUST-5194"/>
    <d v="2022-01-18T00:00:00"/>
    <s v="Sports"/>
    <s v="Jump Rope"/>
    <n v="14.99"/>
    <n v="3"/>
    <n v="15"/>
    <n v="12.74"/>
    <n v="38.22"/>
    <s v="UPI"/>
    <s v="Delivered"/>
    <n v="4"/>
    <n v="38"/>
    <s v="Philadelphia"/>
    <s v="Silver"/>
    <s v="Male"/>
    <b v="1"/>
    <x v="2"/>
  </r>
  <r>
    <s v="ORD-21612"/>
    <s v="CUST-5194"/>
    <d v="2022-03-09T00:00:00"/>
    <s v="Home &amp; Kitchen"/>
    <s v="Non-stick Pan Set"/>
    <n v="44.99"/>
    <n v="1"/>
    <n v="5"/>
    <n v="42.74"/>
    <n v="42.74"/>
    <s v="Debit Card"/>
    <s v="Delivered"/>
    <n v="5"/>
    <n v="38"/>
    <s v="Philadelphia"/>
    <s v="Silver"/>
    <s v="Male"/>
    <b v="1"/>
    <x v="11"/>
  </r>
  <r>
    <s v="ORD-21613"/>
    <s v="CUST-5194"/>
    <d v="2024-08-10T00:00:00"/>
    <s v="Toys"/>
    <s v="Remote Control Car"/>
    <n v="39.99"/>
    <n v="4"/>
    <n v="5"/>
    <n v="37.99"/>
    <n v="151.96"/>
    <s v="Debit Card"/>
    <s v="Delivered"/>
    <m/>
    <n v="38"/>
    <s v="Philadelphia"/>
    <s v="Silver"/>
    <s v="Male"/>
    <b v="1"/>
    <x v="26"/>
  </r>
  <r>
    <s v="ORD-21614"/>
    <s v="CUST-5194"/>
    <d v="2022-01-01T00:00:00"/>
    <s v="Sports"/>
    <s v="Resistance Bands"/>
    <n v="19.989999999999998"/>
    <n v="1"/>
    <n v="15"/>
    <n v="16.989999999999998"/>
    <n v="16.989999999999998"/>
    <s v="UPI"/>
    <s v="Delivered"/>
    <n v="5"/>
    <n v="38"/>
    <s v="Philadelphia"/>
    <s v="Silver"/>
    <s v="Male"/>
    <b v="1"/>
    <x v="2"/>
  </r>
  <r>
    <s v="ORD-21615"/>
    <s v="CUST-5194"/>
    <d v="2023-05-10T00:00:00"/>
    <s v="Toys"/>
    <s v="Puzzle 1000pcs"/>
    <n v="24.99"/>
    <n v="4"/>
    <n v="15"/>
    <n v="21.24"/>
    <n v="84.96"/>
    <s v="PayPal"/>
    <s v="Delivered"/>
    <n v="4"/>
    <n v="38"/>
    <s v="Philadelphia"/>
    <s v="Silver"/>
    <s v="Male"/>
    <b v="1"/>
    <x v="5"/>
  </r>
  <r>
    <s v="ORD-21616"/>
    <s v="CUST-5194"/>
    <d v="2024-03-24T00:00:00"/>
    <s v="Sports"/>
    <s v="Jump Rope"/>
    <n v="14.99"/>
    <n v="2"/>
    <n v="5"/>
    <n v="14.24"/>
    <n v="28.48"/>
    <s v="Debit Card"/>
    <s v="Delivered"/>
    <n v="5"/>
    <n v="38"/>
    <s v="Philadelphia"/>
    <s v="Silver"/>
    <s v="Male"/>
    <b v="1"/>
    <x v="1"/>
  </r>
  <r>
    <s v="ORD-21617"/>
    <s v="CUST-5194"/>
    <d v="2022-09-14T00:00:00"/>
    <s v="Books"/>
    <s v="Business Analytics"/>
    <n v="39.99"/>
    <n v="1"/>
    <n v="5"/>
    <n v="37.99"/>
    <n v="37.99"/>
    <s v="Debit Card"/>
    <s v="Delivered"/>
    <m/>
    <n v="38"/>
    <s v="Philadelphia"/>
    <s v="Silver"/>
    <s v="Male"/>
    <b v="1"/>
    <x v="22"/>
  </r>
  <r>
    <s v="ORD-21618"/>
    <s v="CUST-5194"/>
    <d v="2023-04-10T00:00:00"/>
    <s v="Toys"/>
    <s v="Remote Control Car"/>
    <n v="39.99"/>
    <n v="2"/>
    <n v="15"/>
    <n v="33.99"/>
    <n v="67.98"/>
    <s v="Debit Card"/>
    <s v="Delivered"/>
    <n v="5"/>
    <n v="38"/>
    <s v="Philadelphia"/>
    <s v="Silver"/>
    <s v="Male"/>
    <b v="1"/>
    <x v="18"/>
  </r>
  <r>
    <s v="ORD-21619"/>
    <s v="CUST-5194"/>
    <d v="2023-10-02T00:00:00"/>
    <s v="Clothing"/>
    <s v="Running Shoes"/>
    <n v="89.99"/>
    <n v="1"/>
    <n v="15"/>
    <n v="76.489999999999995"/>
    <n v="76.489999999999995"/>
    <s v="PayPal"/>
    <s v="Delivered"/>
    <n v="3"/>
    <n v="38"/>
    <s v="Philadelphia"/>
    <s v="Silver"/>
    <s v="Male"/>
    <b v="1"/>
    <x v="13"/>
  </r>
  <r>
    <s v="ORD-21620"/>
    <s v="CUST-5194"/>
    <d v="2024-08-26T00:00:00"/>
    <s v="Beauty"/>
    <s v="Lip Balm Set"/>
    <n v="14.99"/>
    <n v="2"/>
    <n v="0"/>
    <n v="14.99"/>
    <n v="29.98"/>
    <s v="Credit Card"/>
    <s v="Shipped"/>
    <n v="4"/>
    <n v="38"/>
    <s v="Philadelphia"/>
    <s v="Silver"/>
    <s v="Male"/>
    <b v="1"/>
    <x v="26"/>
  </r>
  <r>
    <s v="ORD-21621"/>
    <s v="CUST-5195"/>
    <d v="2023-10-21T00:00:00"/>
    <s v="Home &amp; Kitchen"/>
    <s v="Air Fryer"/>
    <n v="89.99"/>
    <n v="1"/>
    <n v="0"/>
    <n v="89.99"/>
    <n v="89.99"/>
    <s v="PayPal"/>
    <s v="Delivered"/>
    <n v="3"/>
    <n v="20"/>
    <s v="New York"/>
    <s v="Silver"/>
    <s v="Male"/>
    <b v="1"/>
    <x v="13"/>
  </r>
  <r>
    <s v="ORD-21622"/>
    <s v="CUST-5195"/>
    <d v="2022-01-26T00:00:00"/>
    <s v="Clothing"/>
    <s v="Running Shoes"/>
    <n v="89.99"/>
    <n v="3"/>
    <n v="0"/>
    <n v="89.99"/>
    <n v="269.97000000000003"/>
    <s v="Credit Card"/>
    <s v="Delivered"/>
    <n v="5"/>
    <n v="20"/>
    <s v="New York"/>
    <s v="Silver"/>
    <s v="Male"/>
    <b v="1"/>
    <x v="2"/>
  </r>
  <r>
    <s v="ORD-21623"/>
    <s v="CUST-5195"/>
    <d v="2024-03-12T00:00:00"/>
    <s v="Electronics"/>
    <s v="Bluetooth Speaker"/>
    <n v="49.99"/>
    <n v="4"/>
    <n v="0"/>
    <n v="49.99"/>
    <n v="199.96"/>
    <s v="Credit Card"/>
    <s v="Delivered"/>
    <n v="5"/>
    <n v="20"/>
    <s v="New York"/>
    <s v="Silver"/>
    <s v="Male"/>
    <b v="1"/>
    <x v="1"/>
  </r>
  <r>
    <s v="ORD-21624"/>
    <s v="CUST-5195"/>
    <d v="2022-12-02T00:00:00"/>
    <s v="Toys"/>
    <s v="Remote Control Car"/>
    <n v="39.99"/>
    <n v="2"/>
    <n v="10"/>
    <n v="35.99"/>
    <n v="71.98"/>
    <s v="Debit Card"/>
    <s v="Delivered"/>
    <m/>
    <n v="20"/>
    <s v="New York"/>
    <s v="Silver"/>
    <s v="Male"/>
    <b v="1"/>
    <x v="28"/>
  </r>
  <r>
    <s v="ORD-21625"/>
    <s v="CUST-5195"/>
    <d v="2022-02-03T00:00:00"/>
    <s v="Books"/>
    <s v="Business Analytics"/>
    <n v="39.99"/>
    <n v="2"/>
    <n v="0"/>
    <n v="39.99"/>
    <n v="79.98"/>
    <s v="Credit Card"/>
    <s v="Delivered"/>
    <n v="5"/>
    <n v="20"/>
    <s v="New York"/>
    <s v="Silver"/>
    <s v="Male"/>
    <b v="1"/>
    <x v="17"/>
  </r>
  <r>
    <s v="ORD-21626"/>
    <s v="CUST-5195"/>
    <d v="2024-06-26T00:00:00"/>
    <s v="Beauty"/>
    <s v="Face Serum"/>
    <n v="39.99"/>
    <n v="1"/>
    <n v="0"/>
    <n v="39.99"/>
    <n v="39.99"/>
    <s v="Wallet"/>
    <s v="Cancelled"/>
    <n v="4"/>
    <n v="20"/>
    <s v="New York"/>
    <s v="Silver"/>
    <s v="Male"/>
    <b v="1"/>
    <x v="35"/>
  </r>
  <r>
    <s v="ORD-21627"/>
    <s v="CUST-5195"/>
    <d v="2022-11-27T00:00:00"/>
    <s v="Clothing"/>
    <s v="Denim Jacket"/>
    <n v="69.989999999999995"/>
    <n v="4"/>
    <n v="15"/>
    <n v="59.49"/>
    <n v="237.96"/>
    <s v="UPI"/>
    <s v="Delivered"/>
    <n v="3"/>
    <n v="20"/>
    <s v="New York"/>
    <s v="Silver"/>
    <s v="Male"/>
    <b v="1"/>
    <x v="3"/>
  </r>
  <r>
    <s v="ORD-21628"/>
    <s v="CUST-5196"/>
    <d v="2024-07-21T00:00:00"/>
    <s v="Clothing"/>
    <s v="Yoga Pants"/>
    <n v="44.99"/>
    <n v="1"/>
    <n v="15"/>
    <n v="38.24"/>
    <n v="38.24"/>
    <s v="Debit Card"/>
    <s v="Returned"/>
    <n v="4"/>
    <n v="19"/>
    <s v="Phoenix"/>
    <s v="Free"/>
    <s v="Female"/>
    <b v="1"/>
    <x v="4"/>
  </r>
  <r>
    <s v="ORD-21629"/>
    <s v="CUST-5197"/>
    <d v="2023-10-27T00:00:00"/>
    <s v="Books"/>
    <s v="Data Science Handbook"/>
    <n v="49.99"/>
    <n v="1"/>
    <n v="10"/>
    <n v="44.99"/>
    <n v="44.99"/>
    <s v="PayPal"/>
    <s v="Delivered"/>
    <n v="5"/>
    <n v="41"/>
    <s v="San Diego"/>
    <s v="Silver"/>
    <s v="Male"/>
    <b v="1"/>
    <x v="13"/>
  </r>
  <r>
    <s v="ORD-21630"/>
    <s v="CUST-5197"/>
    <d v="2024-07-20T00:00:00"/>
    <s v="Clothing"/>
    <s v="Cotton T-Shirt"/>
    <n v="24.99"/>
    <n v="1"/>
    <n v="20"/>
    <n v="19.989999999999998"/>
    <n v="19.989999999999998"/>
    <s v="Credit Card"/>
    <s v="Delivered"/>
    <n v="5"/>
    <n v="41"/>
    <s v="San Diego"/>
    <s v="Silver"/>
    <s v="Male"/>
    <b v="1"/>
    <x v="4"/>
  </r>
  <r>
    <s v="ORD-21631"/>
    <s v="CUST-5198"/>
    <d v="2022-05-06T00:00:00"/>
    <s v="Beauty"/>
    <s v="Moisturizer SPF 50"/>
    <n v="29.99"/>
    <n v="1"/>
    <n v="10"/>
    <n v="26.99"/>
    <n v="26.99"/>
    <s v="Wallet"/>
    <s v="Shipped"/>
    <n v="3"/>
    <n v="58"/>
    <s v="Dallas"/>
    <s v="Free"/>
    <s v="Female"/>
    <b v="1"/>
    <x v="31"/>
  </r>
  <r>
    <s v="ORD-21632"/>
    <s v="CUST-5198"/>
    <d v="2024-10-09T00:00:00"/>
    <s v="Sports"/>
    <s v="Yoga Mat"/>
    <n v="29.99"/>
    <n v="1"/>
    <n v="0"/>
    <n v="29.99"/>
    <n v="29.99"/>
    <s v="UPI"/>
    <s v="Delivered"/>
    <n v="4"/>
    <n v="58"/>
    <s v="Dallas"/>
    <s v="Free"/>
    <s v="Female"/>
    <b v="1"/>
    <x v="21"/>
  </r>
  <r>
    <s v="ORD-21633"/>
    <s v="CUST-5198"/>
    <d v="2023-11-27T00:00:00"/>
    <s v="Books"/>
    <s v="Data Science Handbook"/>
    <n v="49.99"/>
    <n v="4"/>
    <n v="0"/>
    <n v="49.99"/>
    <n v="199.96"/>
    <s v="UPI"/>
    <s v="Delivered"/>
    <n v="5"/>
    <n v="58"/>
    <s v="Dallas"/>
    <s v="Free"/>
    <s v="Female"/>
    <b v="1"/>
    <x v="29"/>
  </r>
  <r>
    <s v="ORD-21634"/>
    <s v="CUST-5198"/>
    <d v="2024-01-23T00:00:00"/>
    <s v="Beauty"/>
    <s v="Moisturizer SPF 50"/>
    <n v="29.99"/>
    <n v="4"/>
    <n v="5"/>
    <n v="28.49"/>
    <n v="113.96"/>
    <s v="Wallet"/>
    <s v="Shipped"/>
    <n v="4"/>
    <n v="58"/>
    <s v="Dallas"/>
    <s v="Free"/>
    <s v="Female"/>
    <b v="1"/>
    <x v="25"/>
  </r>
  <r>
    <s v="ORD-21635"/>
    <s v="CUST-5198"/>
    <d v="2024-07-24T00:00:00"/>
    <s v="Electronics"/>
    <s v="Bluetooth Speaker"/>
    <n v="49.99"/>
    <n v="4"/>
    <n v="10"/>
    <n v="44.99"/>
    <n v="179.96"/>
    <s v="PayPal"/>
    <s v="Delivered"/>
    <n v="1"/>
    <n v="58"/>
    <s v="Dallas"/>
    <s v="Free"/>
    <s v="Female"/>
    <b v="1"/>
    <x v="4"/>
  </r>
  <r>
    <s v="ORD-21636"/>
    <s v="CUST-5198"/>
    <d v="2024-03-27T00:00:00"/>
    <s v="Books"/>
    <s v="Data Science Handbook"/>
    <n v="49.99"/>
    <n v="2"/>
    <n v="20"/>
    <n v="39.99"/>
    <n v="79.98"/>
    <s v="Debit Card"/>
    <s v="Delivered"/>
    <n v="3"/>
    <n v="58"/>
    <s v="Dallas"/>
    <s v="Free"/>
    <s v="Female"/>
    <b v="1"/>
    <x v="1"/>
  </r>
  <r>
    <s v="ORD-21637"/>
    <s v="CUST-5198"/>
    <d v="2024-06-27T00:00:00"/>
    <s v="Electronics"/>
    <s v="Wireless Earbuds"/>
    <n v="79.989999999999995"/>
    <n v="3"/>
    <n v="0"/>
    <n v="79.989999999999995"/>
    <n v="239.97"/>
    <s v="PayPal"/>
    <s v="Processing"/>
    <n v="5"/>
    <n v="58"/>
    <s v="Dallas"/>
    <s v="Free"/>
    <s v="Female"/>
    <b v="1"/>
    <x v="35"/>
  </r>
  <r>
    <s v="ORD-21638"/>
    <s v="CUST-5198"/>
    <d v="2022-03-03T00:00:00"/>
    <s v="Books"/>
    <s v="Business Analytics"/>
    <n v="39.99"/>
    <n v="2"/>
    <n v="0"/>
    <n v="39.99"/>
    <n v="79.98"/>
    <s v="Credit Card"/>
    <s v="Delivered"/>
    <n v="5"/>
    <n v="58"/>
    <s v="Dallas"/>
    <s v="Free"/>
    <s v="Female"/>
    <b v="1"/>
    <x v="11"/>
  </r>
  <r>
    <s v="ORD-21639"/>
    <s v="CUST-5198"/>
    <d v="2022-09-16T00:00:00"/>
    <s v="Clothing"/>
    <s v="Denim Jacket"/>
    <n v="69.989999999999995"/>
    <n v="4"/>
    <n v="0"/>
    <n v="69.989999999999995"/>
    <n v="279.95999999999998"/>
    <s v="Debit Card"/>
    <s v="Delivered"/>
    <m/>
    <n v="58"/>
    <s v="Dallas"/>
    <s v="Free"/>
    <s v="Female"/>
    <b v="1"/>
    <x v="22"/>
  </r>
  <r>
    <s v="ORD-21640"/>
    <s v="CUST-5198"/>
    <d v="2023-07-13T00:00:00"/>
    <s v="Books"/>
    <s v="Python for Beginners"/>
    <n v="29.99"/>
    <n v="1"/>
    <n v="5"/>
    <n v="28.49"/>
    <n v="28.49"/>
    <s v="Credit Card"/>
    <s v="Delivered"/>
    <n v="2"/>
    <n v="58"/>
    <s v="Dallas"/>
    <s v="Free"/>
    <s v="Female"/>
    <b v="1"/>
    <x v="9"/>
  </r>
  <r>
    <s v="ORD-21641"/>
    <s v="CUST-5198"/>
    <d v="2023-11-18T00:00:00"/>
    <s v="Electronics"/>
    <s v="Bluetooth Speaker"/>
    <n v="49.99"/>
    <n v="2"/>
    <n v="10"/>
    <n v="44.99"/>
    <n v="89.98"/>
    <s v="Wallet"/>
    <s v="Delivered"/>
    <m/>
    <n v="58"/>
    <s v="Dallas"/>
    <s v="Free"/>
    <s v="Female"/>
    <b v="1"/>
    <x v="29"/>
  </r>
  <r>
    <s v="ORD-21642"/>
    <s v="CUST-5199"/>
    <d v="2023-02-26T00:00:00"/>
    <s v="Beauty"/>
    <s v="Hair Mask"/>
    <n v="24.99"/>
    <n v="4"/>
    <n v="15"/>
    <n v="21.24"/>
    <n v="84.96"/>
    <s v="UPI"/>
    <s v="Delivered"/>
    <n v="3"/>
    <n v="47"/>
    <s v="Houston"/>
    <s v="Silver"/>
    <s v="Female"/>
    <b v="1"/>
    <x v="34"/>
  </r>
  <r>
    <s v="ORD-21643"/>
    <s v="CUST-5199"/>
    <d v="2022-06-14T00:00:00"/>
    <s v="Sports"/>
    <s v="Resistance Bands"/>
    <n v="19.989999999999998"/>
    <n v="3"/>
    <n v="15"/>
    <n v="16.989999999999998"/>
    <n v="50.97"/>
    <s v="Debit Card"/>
    <s v="Delivered"/>
    <m/>
    <n v="47"/>
    <s v="Houston"/>
    <s v="Silver"/>
    <s v="Female"/>
    <b v="1"/>
    <x v="8"/>
  </r>
  <r>
    <s v="ORD-21644"/>
    <s v="CUST-5199"/>
    <d v="2022-06-19T00:00:00"/>
    <s v="Electronics"/>
    <s v="Wireless Earbuds"/>
    <n v="79.989999999999995"/>
    <n v="2"/>
    <n v="0"/>
    <n v="79.989999999999995"/>
    <n v="159.97999999999999"/>
    <s v="Wallet"/>
    <s v="Delivered"/>
    <n v="2"/>
    <n v="47"/>
    <s v="Houston"/>
    <s v="Silver"/>
    <s v="Female"/>
    <b v="1"/>
    <x v="8"/>
  </r>
  <r>
    <s v="ORD-21645"/>
    <s v="CUST-5199"/>
    <d v="2023-12-07T00:00:00"/>
    <s v="Electronics"/>
    <s v="USB-C Hub"/>
    <n v="34.99"/>
    <n v="4"/>
    <n v="15"/>
    <n v="29.74"/>
    <n v="118.96"/>
    <s v="Credit Card"/>
    <s v="Delivered"/>
    <m/>
    <n v="47"/>
    <s v="Houston"/>
    <s v="Silver"/>
    <s v="Female"/>
    <b v="1"/>
    <x v="14"/>
  </r>
  <r>
    <s v="ORD-21646"/>
    <s v="CUST-5200"/>
    <d v="2022-07-10T00:00:00"/>
    <s v="Home &amp; Kitchen"/>
    <s v="Blender"/>
    <n v="64.989999999999995"/>
    <n v="1"/>
    <n v="0"/>
    <n v="64.989999999999995"/>
    <n v="64.989999999999995"/>
    <s v="Credit Card"/>
    <s v="Delivered"/>
    <n v="5"/>
    <n v="64"/>
    <s v="Austin"/>
    <s v="Silver"/>
    <s v="Female"/>
    <b v="1"/>
    <x v="33"/>
  </r>
  <r>
    <s v="ORD-21647"/>
    <s v="CUST-5200"/>
    <d v="2024-09-11T00:00:00"/>
    <s v="Books"/>
    <s v="Data Science Handbook"/>
    <n v="49.99"/>
    <n v="1"/>
    <n v="20"/>
    <n v="39.99"/>
    <n v="39.99"/>
    <s v="PayPal"/>
    <s v="Delivered"/>
    <m/>
    <n v="64"/>
    <s v="Austin"/>
    <s v="Silver"/>
    <s v="Female"/>
    <b v="1"/>
    <x v="15"/>
  </r>
  <r>
    <s v="ORD-21648"/>
    <s v="CUST-5200"/>
    <d v="2024-04-19T00:00:00"/>
    <s v="Clothing"/>
    <s v="Yoga Pants"/>
    <n v="44.99"/>
    <n v="4"/>
    <n v="10"/>
    <n v="40.49"/>
    <n v="161.96"/>
    <s v="Debit Card"/>
    <s v="Delivered"/>
    <m/>
    <n v="64"/>
    <s v="Austin"/>
    <s v="Silver"/>
    <s v="Female"/>
    <b v="1"/>
    <x v="27"/>
  </r>
  <r>
    <s v="ORD-21649"/>
    <s v="CUST-5200"/>
    <d v="2023-09-09T00:00:00"/>
    <s v="Beauty"/>
    <s v="Lip Balm Set"/>
    <n v="14.99"/>
    <n v="4"/>
    <n v="10"/>
    <n v="13.49"/>
    <n v="53.96"/>
    <s v="Debit Card"/>
    <s v="Delivered"/>
    <n v="4"/>
    <n v="64"/>
    <s v="Austin"/>
    <s v="Silver"/>
    <s v="Female"/>
    <b v="1"/>
    <x v="6"/>
  </r>
  <r>
    <s v="ORD-21650"/>
    <s v="CUST-5200"/>
    <d v="2022-03-01T00:00:00"/>
    <s v="Clothing"/>
    <s v="Yoga Pants"/>
    <n v="44.99"/>
    <n v="4"/>
    <n v="0"/>
    <n v="44.99"/>
    <n v="179.96"/>
    <s v="Credit Card"/>
    <s v="Delivered"/>
    <n v="3"/>
    <n v="64"/>
    <s v="Austin"/>
    <s v="Silver"/>
    <s v="Female"/>
    <b v="1"/>
    <x v="11"/>
  </r>
  <r>
    <s v="ORD-21651"/>
    <s v="CUST-5200"/>
    <d v="2024-04-27T00:00:00"/>
    <s v="Electronics"/>
    <s v="Wireless Earbuds"/>
    <n v="79.989999999999995"/>
    <n v="4"/>
    <n v="0"/>
    <n v="79.989999999999995"/>
    <n v="319.95999999999998"/>
    <s v="Debit Card"/>
    <s v="Delivered"/>
    <n v="5"/>
    <n v="64"/>
    <s v="Austin"/>
    <s v="Silver"/>
    <s v="Female"/>
    <b v="1"/>
    <x v="27"/>
  </r>
  <r>
    <s v="ORD-21652"/>
    <s v="CUST-5200"/>
    <d v="2022-07-01T00:00:00"/>
    <s v="Home &amp; Kitchen"/>
    <s v="Coffee Maker"/>
    <n v="59.99"/>
    <n v="4"/>
    <n v="0"/>
    <n v="59.99"/>
    <n v="239.96"/>
    <s v="Credit Card"/>
    <s v="Delivered"/>
    <n v="5"/>
    <n v="64"/>
    <s v="Austin"/>
    <s v="Silver"/>
    <s v="Female"/>
    <b v="1"/>
    <x v="33"/>
  </r>
  <r>
    <s v="ORD-21653"/>
    <s v="CUST-5200"/>
    <d v="2023-07-28T00:00:00"/>
    <s v="Home &amp; Kitchen"/>
    <s v="Blender"/>
    <n v="64.989999999999995"/>
    <n v="4"/>
    <n v="5"/>
    <n v="61.74"/>
    <n v="246.96"/>
    <s v="Wallet"/>
    <s v="Delivered"/>
    <m/>
    <n v="64"/>
    <s v="Austin"/>
    <s v="Silver"/>
    <s v="Female"/>
    <b v="1"/>
    <x v="9"/>
  </r>
  <r>
    <s v="ORD-21654"/>
    <s v="CUST-5200"/>
    <d v="2023-11-27T00:00:00"/>
    <s v="Electronics"/>
    <s v="Bluetooth Speaker"/>
    <n v="49.99"/>
    <n v="2"/>
    <n v="20"/>
    <n v="39.99"/>
    <n v="79.98"/>
    <s v="Wallet"/>
    <s v="Delivered"/>
    <m/>
    <n v="64"/>
    <s v="Austin"/>
    <s v="Silver"/>
    <s v="Female"/>
    <b v="1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0E86-879B-4326-9453-53F8424CC527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ti">
  <location ref="A1:D9" firstHeaderRow="0" firstDataRow="1" firstDataCol="1"/>
  <pivotFields count="17">
    <pivotField dataField="1" showAll="0"/>
    <pivotField showAll="0"/>
    <pivotField showAll="0"/>
    <pivotField axis="axisRow" showAll="0" sortType="descending">
      <items count="8">
        <item x="6"/>
        <item x="0"/>
        <item x="3"/>
        <item x="5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8">
    <i>
      <x v="3"/>
    </i>
    <i>
      <x v="4"/>
    </i>
    <i>
      <x v="2"/>
    </i>
    <i>
      <x v="6"/>
    </i>
    <i>
      <x v="1"/>
    </i>
    <i>
      <x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_total" fld="9" baseField="0" baseItem="0"/>
    <dataField name="Count of order_id" fld="0" subtotal="count" baseField="0" baseItem="0"/>
    <dataField name="Average of rating" fld="12" subtotal="average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F889F-0BDA-4ECF-97BF-B2CEB56E4F82}" name="PivotTable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J6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5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total" fld="9" baseField="0" baseItem="0"/>
    <dataField name="Average of order_total2" fld="9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C81B4-A25C-4E87-AB43-8C36BDFD367D}" name="PivotTable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9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1"/>
        <item x="0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1"/>
  </rowFields>
  <rowItems count="6">
    <i>
      <x v="1"/>
    </i>
    <i>
      <x v="4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total" fld="9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EF789-202E-48F7-A5D6-764700C69E32}" name="PivotTable8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G17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37">
        <item x="2"/>
        <item x="17"/>
        <item x="11"/>
        <item x="12"/>
        <item x="31"/>
        <item x="8"/>
        <item x="33"/>
        <item x="7"/>
        <item x="22"/>
        <item x="20"/>
        <item x="3"/>
        <item x="28"/>
        <item x="10"/>
        <item x="34"/>
        <item x="23"/>
        <item x="18"/>
        <item x="5"/>
        <item x="19"/>
        <item x="9"/>
        <item x="24"/>
        <item x="6"/>
        <item x="13"/>
        <item x="29"/>
        <item x="14"/>
        <item x="25"/>
        <item x="0"/>
        <item x="1"/>
        <item x="27"/>
        <item x="30"/>
        <item x="35"/>
        <item x="4"/>
        <item x="26"/>
        <item x="15"/>
        <item x="21"/>
        <item x="16"/>
        <item x="3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1"/>
    <field x="20"/>
    <field x="19"/>
    <field x="1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order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A5F68-ACB9-470C-AFBD-3C1D37CCF036}" name="Orders_Table" displayName="Orders_Table" ref="A1:M1655" totalsRowShown="0" headerRowDxfId="0">
  <autoFilter ref="A1:M1655" xr:uid="{F7BA5F68-ACB9-470C-AFBD-3C1D37CCF036}"/>
  <tableColumns count="13">
    <tableColumn id="1" xr3:uid="{BF232FBE-AE07-4F79-BD0D-02C68B2E04E9}" name="order_id"/>
    <tableColumn id="2" xr3:uid="{6B110DCD-7420-46E6-8876-8A75F26B5BA2}" name="customer_id"/>
    <tableColumn id="3" xr3:uid="{0E5BC571-BCB0-4DDA-816C-C88166608395}" name="order_date"/>
    <tableColumn id="4" xr3:uid="{39413F8C-D108-4162-96C8-D801F73A6A8D}" name="category"/>
    <tableColumn id="5" xr3:uid="{E692E0BC-B372-46A6-903E-E9B776322883}" name="product_name"/>
    <tableColumn id="6" xr3:uid="{D85BB9FB-77E0-4722-9C87-B1838654F17F}" name="unit_price"/>
    <tableColumn id="7" xr3:uid="{1C426B15-2FEC-4887-9351-A2185672A1DB}" name="quantity"/>
    <tableColumn id="8" xr3:uid="{483FDB11-0561-4D9C-93C4-BD33B02992BB}" name="discount_pct"/>
    <tableColumn id="9" xr3:uid="{21E9E123-0C7B-4C09-9AF2-E6602BD4100A}" name="final_price"/>
    <tableColumn id="10" xr3:uid="{404F2C1C-0162-4C96-954A-FA39CC13003C}" name="order_total"/>
    <tableColumn id="11" xr3:uid="{95F33788-76C6-4217-8308-BDDE0B420427}" name="payment_method"/>
    <tableColumn id="12" xr3:uid="{84DCA1FF-A66A-4AC0-8D8A-69811793C455}" name="order_status"/>
    <tableColumn id="13" xr3:uid="{A4BC5085-69F6-4DA2-9F7F-A1125EB522DD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Normal="100" workbookViewId="0">
      <selection activeCell="K9" sqref="K9"/>
    </sheetView>
  </sheetViews>
  <sheetFormatPr defaultColWidth="8.7109375" defaultRowHeight="15" x14ac:dyDescent="0.25"/>
  <cols>
    <col min="1" max="1" width="14" customWidth="1"/>
    <col min="2" max="2" width="13" customWidth="1"/>
    <col min="3" max="3" width="12" customWidth="1"/>
    <col min="4" max="4" width="21" customWidth="1"/>
    <col min="5" max="5" width="15" customWidth="1"/>
    <col min="6" max="6" width="8" customWidth="1"/>
    <col min="7" max="7" width="6" customWidth="1"/>
    <col min="8" max="8" width="9" customWidth="1"/>
    <col min="9" max="10" width="1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18</v>
      </c>
      <c r="H3" t="s">
        <v>16</v>
      </c>
      <c r="I3" t="s">
        <v>25</v>
      </c>
      <c r="J3" t="s">
        <v>26</v>
      </c>
    </row>
    <row r="4" spans="1:10" x14ac:dyDescent="0.25">
      <c r="A4" t="s">
        <v>27</v>
      </c>
      <c r="B4" t="s">
        <v>20</v>
      </c>
      <c r="C4" t="s">
        <v>28</v>
      </c>
      <c r="D4" t="s">
        <v>29</v>
      </c>
      <c r="E4" t="s">
        <v>30</v>
      </c>
      <c r="F4" t="s">
        <v>24</v>
      </c>
      <c r="G4">
        <v>29</v>
      </c>
      <c r="H4" t="s">
        <v>16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35</v>
      </c>
      <c r="E5" t="s">
        <v>36</v>
      </c>
      <c r="F5" t="s">
        <v>37</v>
      </c>
      <c r="G5">
        <v>32</v>
      </c>
      <c r="H5" t="s">
        <v>38</v>
      </c>
      <c r="I5" t="s">
        <v>39</v>
      </c>
      <c r="J5" t="s">
        <v>32</v>
      </c>
    </row>
    <row r="6" spans="1:10" x14ac:dyDescent="0.25">
      <c r="A6" t="s">
        <v>40</v>
      </c>
      <c r="B6" t="s">
        <v>20</v>
      </c>
      <c r="C6" t="s">
        <v>41</v>
      </c>
      <c r="D6" t="s">
        <v>42</v>
      </c>
      <c r="E6" t="s">
        <v>43</v>
      </c>
      <c r="F6" t="s">
        <v>37</v>
      </c>
      <c r="G6">
        <v>24</v>
      </c>
      <c r="H6" t="s">
        <v>38</v>
      </c>
      <c r="I6" t="s">
        <v>44</v>
      </c>
      <c r="J6" t="s">
        <v>32</v>
      </c>
    </row>
    <row r="7" spans="1:10" x14ac:dyDescent="0.25">
      <c r="A7" t="s">
        <v>45</v>
      </c>
      <c r="B7" t="s">
        <v>34</v>
      </c>
      <c r="C7" t="s">
        <v>41</v>
      </c>
      <c r="D7" t="s">
        <v>46</v>
      </c>
      <c r="E7" t="s">
        <v>47</v>
      </c>
      <c r="F7" t="s">
        <v>24</v>
      </c>
      <c r="G7">
        <v>52</v>
      </c>
      <c r="H7" t="s">
        <v>38</v>
      </c>
      <c r="I7" t="s">
        <v>48</v>
      </c>
      <c r="J7" t="s">
        <v>32</v>
      </c>
    </row>
    <row r="8" spans="1:10" x14ac:dyDescent="0.25">
      <c r="A8" t="s">
        <v>49</v>
      </c>
      <c r="B8" t="s">
        <v>20</v>
      </c>
      <c r="C8" t="s">
        <v>50</v>
      </c>
      <c r="D8" t="s">
        <v>51</v>
      </c>
      <c r="E8" t="s">
        <v>36</v>
      </c>
      <c r="F8" t="s">
        <v>37</v>
      </c>
      <c r="G8">
        <v>43</v>
      </c>
      <c r="H8" t="s">
        <v>38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50</v>
      </c>
      <c r="D9" t="s">
        <v>56</v>
      </c>
      <c r="E9" t="s">
        <v>57</v>
      </c>
      <c r="F9" t="s">
        <v>37</v>
      </c>
      <c r="G9">
        <v>21</v>
      </c>
      <c r="H9" t="s">
        <v>16</v>
      </c>
      <c r="I9" t="s">
        <v>58</v>
      </c>
      <c r="J9" t="s">
        <v>32</v>
      </c>
    </row>
    <row r="10" spans="1:10" x14ac:dyDescent="0.25">
      <c r="A10" t="s">
        <v>59</v>
      </c>
      <c r="B10" t="s">
        <v>60</v>
      </c>
      <c r="C10" t="s">
        <v>21</v>
      </c>
      <c r="D10" t="s">
        <v>61</v>
      </c>
      <c r="E10" t="s">
        <v>62</v>
      </c>
      <c r="F10" t="s">
        <v>63</v>
      </c>
      <c r="G10">
        <v>54</v>
      </c>
      <c r="H10" t="s">
        <v>16</v>
      </c>
      <c r="I10" t="s">
        <v>64</v>
      </c>
      <c r="J10" t="s">
        <v>53</v>
      </c>
    </row>
    <row r="11" spans="1:10" x14ac:dyDescent="0.25">
      <c r="A11" t="s">
        <v>65</v>
      </c>
      <c r="B11" t="s">
        <v>60</v>
      </c>
      <c r="C11" t="s">
        <v>21</v>
      </c>
      <c r="D11" t="s">
        <v>66</v>
      </c>
      <c r="E11" t="s">
        <v>67</v>
      </c>
      <c r="F11" t="s">
        <v>68</v>
      </c>
      <c r="G11">
        <v>23</v>
      </c>
      <c r="H11" t="s">
        <v>38</v>
      </c>
      <c r="I11" t="s">
        <v>69</v>
      </c>
      <c r="J11" t="s">
        <v>32</v>
      </c>
    </row>
    <row r="12" spans="1:10" x14ac:dyDescent="0.25">
      <c r="A12" t="s">
        <v>70</v>
      </c>
      <c r="B12" t="s">
        <v>55</v>
      </c>
      <c r="C12" t="s">
        <v>50</v>
      </c>
      <c r="D12" t="s">
        <v>71</v>
      </c>
      <c r="E12" t="s">
        <v>62</v>
      </c>
      <c r="F12" t="s">
        <v>63</v>
      </c>
      <c r="G12">
        <v>48</v>
      </c>
      <c r="H12" t="s">
        <v>38</v>
      </c>
      <c r="I12" t="s">
        <v>72</v>
      </c>
      <c r="J12" t="s">
        <v>26</v>
      </c>
    </row>
    <row r="13" spans="1:10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>
        <v>25</v>
      </c>
      <c r="H13" t="s">
        <v>16</v>
      </c>
      <c r="I13" t="s">
        <v>79</v>
      </c>
      <c r="J13" t="s">
        <v>32</v>
      </c>
    </row>
    <row r="14" spans="1:10" x14ac:dyDescent="0.25">
      <c r="A14" t="s">
        <v>80</v>
      </c>
      <c r="B14" t="s">
        <v>11</v>
      </c>
      <c r="C14" t="s">
        <v>41</v>
      </c>
      <c r="D14" t="s">
        <v>81</v>
      </c>
      <c r="E14" t="s">
        <v>82</v>
      </c>
      <c r="F14" t="s">
        <v>83</v>
      </c>
      <c r="G14">
        <v>28</v>
      </c>
      <c r="H14" t="s">
        <v>38</v>
      </c>
      <c r="I14" t="s">
        <v>84</v>
      </c>
      <c r="J14" t="s">
        <v>32</v>
      </c>
    </row>
    <row r="15" spans="1:10" x14ac:dyDescent="0.25">
      <c r="A15" t="s">
        <v>85</v>
      </c>
      <c r="B15" t="s">
        <v>86</v>
      </c>
      <c r="C15" t="s">
        <v>28</v>
      </c>
      <c r="D15" t="s">
        <v>87</v>
      </c>
      <c r="E15" t="s">
        <v>43</v>
      </c>
      <c r="F15" t="s">
        <v>37</v>
      </c>
      <c r="G15">
        <v>49</v>
      </c>
      <c r="H15" t="s">
        <v>16</v>
      </c>
      <c r="I15" t="s">
        <v>88</v>
      </c>
      <c r="J15" t="s">
        <v>26</v>
      </c>
    </row>
    <row r="16" spans="1:10" x14ac:dyDescent="0.25">
      <c r="A16" t="s">
        <v>89</v>
      </c>
      <c r="B16" t="s">
        <v>90</v>
      </c>
      <c r="C16" t="s">
        <v>91</v>
      </c>
      <c r="D16" t="s">
        <v>92</v>
      </c>
      <c r="E16" t="s">
        <v>47</v>
      </c>
      <c r="F16" t="s">
        <v>24</v>
      </c>
      <c r="G16">
        <v>52</v>
      </c>
      <c r="H16" t="s">
        <v>16</v>
      </c>
      <c r="I16" t="s">
        <v>93</v>
      </c>
      <c r="J16" t="s">
        <v>32</v>
      </c>
    </row>
    <row r="17" spans="1:10" x14ac:dyDescent="0.25">
      <c r="A17" t="s">
        <v>94</v>
      </c>
      <c r="B17" t="s">
        <v>34</v>
      </c>
      <c r="C17" t="s">
        <v>41</v>
      </c>
      <c r="D17" t="s">
        <v>95</v>
      </c>
      <c r="E17" t="s">
        <v>43</v>
      </c>
      <c r="F17" t="s">
        <v>37</v>
      </c>
      <c r="G17">
        <v>20</v>
      </c>
      <c r="H17" t="s">
        <v>38</v>
      </c>
      <c r="I17" t="s">
        <v>96</v>
      </c>
      <c r="J17" t="s">
        <v>32</v>
      </c>
    </row>
    <row r="18" spans="1:10" x14ac:dyDescent="0.25">
      <c r="A18" t="s">
        <v>97</v>
      </c>
      <c r="B18" t="s">
        <v>11</v>
      </c>
      <c r="C18" t="s">
        <v>41</v>
      </c>
      <c r="D18" t="s">
        <v>98</v>
      </c>
      <c r="E18" t="s">
        <v>47</v>
      </c>
      <c r="F18" t="s">
        <v>24</v>
      </c>
      <c r="G18">
        <v>45</v>
      </c>
      <c r="H18" t="s">
        <v>38</v>
      </c>
      <c r="I18" t="s">
        <v>99</v>
      </c>
      <c r="J18" t="s">
        <v>18</v>
      </c>
    </row>
    <row r="19" spans="1:10" x14ac:dyDescent="0.25">
      <c r="A19" t="s">
        <v>100</v>
      </c>
      <c r="B19" t="s">
        <v>34</v>
      </c>
      <c r="C19" t="s">
        <v>21</v>
      </c>
      <c r="D19" t="s">
        <v>101</v>
      </c>
      <c r="E19" t="s">
        <v>57</v>
      </c>
      <c r="F19" t="s">
        <v>37</v>
      </c>
      <c r="G19">
        <v>62</v>
      </c>
      <c r="H19" t="s">
        <v>16</v>
      </c>
      <c r="I19" t="s">
        <v>102</v>
      </c>
      <c r="J19" t="s">
        <v>26</v>
      </c>
    </row>
    <row r="20" spans="1:10" x14ac:dyDescent="0.25">
      <c r="A20" t="s">
        <v>103</v>
      </c>
      <c r="B20" t="s">
        <v>60</v>
      </c>
      <c r="C20" t="s">
        <v>41</v>
      </c>
      <c r="D20" t="s">
        <v>104</v>
      </c>
      <c r="E20" t="s">
        <v>105</v>
      </c>
      <c r="F20" t="s">
        <v>37</v>
      </c>
      <c r="G20">
        <v>51</v>
      </c>
      <c r="H20" t="s">
        <v>16</v>
      </c>
      <c r="I20" t="s">
        <v>106</v>
      </c>
      <c r="J20" t="s">
        <v>18</v>
      </c>
    </row>
    <row r="21" spans="1:10" x14ac:dyDescent="0.25">
      <c r="A21" t="s">
        <v>107</v>
      </c>
      <c r="B21" t="s">
        <v>34</v>
      </c>
      <c r="C21" t="s">
        <v>21</v>
      </c>
      <c r="D21" t="s">
        <v>108</v>
      </c>
      <c r="E21" t="s">
        <v>14</v>
      </c>
      <c r="F21" t="s">
        <v>15</v>
      </c>
      <c r="G21">
        <v>43</v>
      </c>
      <c r="H21" t="s">
        <v>16</v>
      </c>
      <c r="I21" t="s">
        <v>109</v>
      </c>
      <c r="J21" t="s">
        <v>32</v>
      </c>
    </row>
    <row r="22" spans="1:10" x14ac:dyDescent="0.25">
      <c r="A22" t="s">
        <v>110</v>
      </c>
      <c r="B22" t="s">
        <v>60</v>
      </c>
      <c r="C22" t="s">
        <v>41</v>
      </c>
      <c r="D22" t="s">
        <v>111</v>
      </c>
      <c r="E22" t="s">
        <v>67</v>
      </c>
      <c r="F22" t="s">
        <v>68</v>
      </c>
      <c r="G22">
        <v>27</v>
      </c>
      <c r="H22" t="s">
        <v>38</v>
      </c>
      <c r="I22" t="s">
        <v>112</v>
      </c>
      <c r="J22" t="s">
        <v>18</v>
      </c>
    </row>
    <row r="23" spans="1:10" x14ac:dyDescent="0.25">
      <c r="A23" t="s">
        <v>113</v>
      </c>
      <c r="B23" t="s">
        <v>86</v>
      </c>
      <c r="C23" t="s">
        <v>21</v>
      </c>
      <c r="D23" t="s">
        <v>114</v>
      </c>
      <c r="E23" t="s">
        <v>67</v>
      </c>
      <c r="F23" t="s">
        <v>68</v>
      </c>
      <c r="G23">
        <v>56</v>
      </c>
      <c r="H23" t="s">
        <v>38</v>
      </c>
      <c r="I23" t="s">
        <v>115</v>
      </c>
      <c r="J23" t="s">
        <v>32</v>
      </c>
    </row>
    <row r="24" spans="1:10" x14ac:dyDescent="0.25">
      <c r="A24" t="s">
        <v>116</v>
      </c>
      <c r="B24" t="s">
        <v>117</v>
      </c>
      <c r="C24" t="s">
        <v>91</v>
      </c>
      <c r="D24" t="s">
        <v>118</v>
      </c>
      <c r="E24" t="s">
        <v>67</v>
      </c>
      <c r="F24" t="s">
        <v>68</v>
      </c>
      <c r="G24">
        <v>28</v>
      </c>
      <c r="H24" t="s">
        <v>16</v>
      </c>
      <c r="I24" t="s">
        <v>119</v>
      </c>
      <c r="J24" t="s">
        <v>53</v>
      </c>
    </row>
    <row r="25" spans="1:10" x14ac:dyDescent="0.25">
      <c r="A25" t="s">
        <v>120</v>
      </c>
      <c r="B25" t="s">
        <v>60</v>
      </c>
      <c r="C25" t="s">
        <v>41</v>
      </c>
      <c r="D25" t="s">
        <v>121</v>
      </c>
      <c r="E25" t="s">
        <v>67</v>
      </c>
      <c r="F25" t="s">
        <v>68</v>
      </c>
      <c r="G25">
        <v>41</v>
      </c>
      <c r="H25" t="s">
        <v>16</v>
      </c>
      <c r="I25" t="s">
        <v>122</v>
      </c>
      <c r="J25" t="s">
        <v>53</v>
      </c>
    </row>
    <row r="26" spans="1:10" x14ac:dyDescent="0.25">
      <c r="A26" t="s">
        <v>123</v>
      </c>
      <c r="B26" t="s">
        <v>117</v>
      </c>
      <c r="C26" t="s">
        <v>75</v>
      </c>
      <c r="D26" t="s">
        <v>124</v>
      </c>
      <c r="E26" t="s">
        <v>77</v>
      </c>
      <c r="F26" t="s">
        <v>78</v>
      </c>
      <c r="G26">
        <v>43</v>
      </c>
      <c r="H26" t="s">
        <v>38</v>
      </c>
      <c r="I26" t="s">
        <v>125</v>
      </c>
      <c r="J26" t="s">
        <v>32</v>
      </c>
    </row>
    <row r="27" spans="1:10" x14ac:dyDescent="0.25">
      <c r="A27" t="s">
        <v>126</v>
      </c>
      <c r="B27" t="s">
        <v>55</v>
      </c>
      <c r="C27" t="s">
        <v>91</v>
      </c>
      <c r="D27" t="s">
        <v>127</v>
      </c>
      <c r="E27" t="s">
        <v>77</v>
      </c>
      <c r="F27" t="s">
        <v>78</v>
      </c>
      <c r="G27">
        <v>56</v>
      </c>
      <c r="H27" t="s">
        <v>16</v>
      </c>
      <c r="I27" t="s">
        <v>128</v>
      </c>
      <c r="J27" t="s">
        <v>18</v>
      </c>
    </row>
    <row r="28" spans="1:10" x14ac:dyDescent="0.25">
      <c r="A28" t="s">
        <v>129</v>
      </c>
      <c r="B28" t="s">
        <v>55</v>
      </c>
      <c r="C28" t="s">
        <v>21</v>
      </c>
      <c r="D28" t="s">
        <v>130</v>
      </c>
      <c r="E28" t="s">
        <v>82</v>
      </c>
      <c r="F28" t="s">
        <v>83</v>
      </c>
      <c r="G28">
        <v>64</v>
      </c>
      <c r="H28" t="s">
        <v>16</v>
      </c>
      <c r="I28" t="s">
        <v>131</v>
      </c>
      <c r="J28" t="s">
        <v>53</v>
      </c>
    </row>
    <row r="29" spans="1:10" x14ac:dyDescent="0.25">
      <c r="A29" t="s">
        <v>132</v>
      </c>
      <c r="B29" t="s">
        <v>20</v>
      </c>
      <c r="C29" t="s">
        <v>133</v>
      </c>
      <c r="D29" t="s">
        <v>134</v>
      </c>
      <c r="E29" t="s">
        <v>82</v>
      </c>
      <c r="F29" t="s">
        <v>83</v>
      </c>
      <c r="G29">
        <v>38</v>
      </c>
      <c r="H29" t="s">
        <v>16</v>
      </c>
      <c r="I29" t="s">
        <v>135</v>
      </c>
      <c r="J29" t="s">
        <v>32</v>
      </c>
    </row>
    <row r="30" spans="1:10" x14ac:dyDescent="0.25">
      <c r="A30" t="s">
        <v>136</v>
      </c>
      <c r="B30" t="s">
        <v>90</v>
      </c>
      <c r="C30" t="s">
        <v>21</v>
      </c>
      <c r="D30" t="s">
        <v>137</v>
      </c>
      <c r="E30" t="s">
        <v>23</v>
      </c>
      <c r="F30" t="s">
        <v>24</v>
      </c>
      <c r="G30">
        <v>30</v>
      </c>
      <c r="H30" t="s">
        <v>16</v>
      </c>
      <c r="I30" t="s">
        <v>138</v>
      </c>
      <c r="J30" t="s">
        <v>32</v>
      </c>
    </row>
    <row r="31" spans="1:10" x14ac:dyDescent="0.25">
      <c r="A31" t="s">
        <v>139</v>
      </c>
      <c r="B31" t="s">
        <v>140</v>
      </c>
      <c r="C31" t="s">
        <v>133</v>
      </c>
      <c r="D31" t="s">
        <v>141</v>
      </c>
      <c r="E31" t="s">
        <v>23</v>
      </c>
      <c r="F31" t="s">
        <v>24</v>
      </c>
      <c r="G31">
        <v>59</v>
      </c>
      <c r="H31" t="s">
        <v>16</v>
      </c>
      <c r="I31" t="s">
        <v>142</v>
      </c>
      <c r="J31" t="s">
        <v>53</v>
      </c>
    </row>
    <row r="32" spans="1:10" x14ac:dyDescent="0.25">
      <c r="A32" t="s">
        <v>143</v>
      </c>
      <c r="B32" t="s">
        <v>140</v>
      </c>
      <c r="C32" t="s">
        <v>12</v>
      </c>
      <c r="D32" t="s">
        <v>144</v>
      </c>
      <c r="E32" t="s">
        <v>62</v>
      </c>
      <c r="F32" t="s">
        <v>63</v>
      </c>
      <c r="G32">
        <v>28</v>
      </c>
      <c r="H32" t="s">
        <v>16</v>
      </c>
      <c r="I32" t="s">
        <v>145</v>
      </c>
      <c r="J32" t="s">
        <v>32</v>
      </c>
    </row>
    <row r="33" spans="1:10" x14ac:dyDescent="0.25">
      <c r="A33" t="s">
        <v>146</v>
      </c>
      <c r="B33" t="s">
        <v>60</v>
      </c>
      <c r="C33" t="s">
        <v>75</v>
      </c>
      <c r="D33" t="s">
        <v>147</v>
      </c>
      <c r="E33" t="s">
        <v>14</v>
      </c>
      <c r="F33" t="s">
        <v>15</v>
      </c>
      <c r="G33">
        <v>33</v>
      </c>
      <c r="H33" t="s">
        <v>38</v>
      </c>
      <c r="I33" t="s">
        <v>148</v>
      </c>
      <c r="J33" t="s">
        <v>53</v>
      </c>
    </row>
    <row r="34" spans="1:10" x14ac:dyDescent="0.25">
      <c r="A34" t="s">
        <v>149</v>
      </c>
      <c r="B34" t="s">
        <v>117</v>
      </c>
      <c r="C34" t="s">
        <v>50</v>
      </c>
      <c r="D34" t="s">
        <v>150</v>
      </c>
      <c r="E34" t="s">
        <v>47</v>
      </c>
      <c r="F34" t="s">
        <v>24</v>
      </c>
      <c r="G34">
        <v>36</v>
      </c>
      <c r="H34" t="s">
        <v>16</v>
      </c>
      <c r="I34" t="s">
        <v>151</v>
      </c>
      <c r="J34" t="s">
        <v>53</v>
      </c>
    </row>
    <row r="35" spans="1:10" x14ac:dyDescent="0.25">
      <c r="A35" t="s">
        <v>152</v>
      </c>
      <c r="B35" t="s">
        <v>90</v>
      </c>
      <c r="C35" t="s">
        <v>41</v>
      </c>
      <c r="D35" t="s">
        <v>153</v>
      </c>
      <c r="E35" t="s">
        <v>23</v>
      </c>
      <c r="F35" t="s">
        <v>24</v>
      </c>
      <c r="G35">
        <v>61</v>
      </c>
      <c r="H35" t="s">
        <v>16</v>
      </c>
      <c r="I35" t="s">
        <v>154</v>
      </c>
      <c r="J35" t="s">
        <v>26</v>
      </c>
    </row>
    <row r="36" spans="1:10" x14ac:dyDescent="0.25">
      <c r="A36" t="s">
        <v>155</v>
      </c>
      <c r="B36" t="s">
        <v>90</v>
      </c>
      <c r="C36" t="s">
        <v>156</v>
      </c>
      <c r="D36" t="s">
        <v>157</v>
      </c>
      <c r="E36" t="s">
        <v>62</v>
      </c>
      <c r="F36" t="s">
        <v>63</v>
      </c>
      <c r="G36">
        <v>42</v>
      </c>
      <c r="H36" t="s">
        <v>16</v>
      </c>
      <c r="I36" t="s">
        <v>158</v>
      </c>
      <c r="J36" t="s">
        <v>53</v>
      </c>
    </row>
    <row r="37" spans="1:10" x14ac:dyDescent="0.25">
      <c r="A37" t="s">
        <v>159</v>
      </c>
      <c r="B37" t="s">
        <v>86</v>
      </c>
      <c r="C37" t="s">
        <v>91</v>
      </c>
      <c r="D37" t="s">
        <v>160</v>
      </c>
      <c r="E37" t="s">
        <v>23</v>
      </c>
      <c r="F37" t="s">
        <v>24</v>
      </c>
      <c r="G37">
        <v>36</v>
      </c>
      <c r="H37" t="s">
        <v>16</v>
      </c>
      <c r="I37" t="s">
        <v>161</v>
      </c>
      <c r="J37" t="s">
        <v>26</v>
      </c>
    </row>
    <row r="38" spans="1:10" x14ac:dyDescent="0.25">
      <c r="A38" t="s">
        <v>162</v>
      </c>
      <c r="B38" t="s">
        <v>74</v>
      </c>
      <c r="C38" t="s">
        <v>28</v>
      </c>
      <c r="D38" t="s">
        <v>163</v>
      </c>
      <c r="E38" t="s">
        <v>105</v>
      </c>
      <c r="F38" t="s">
        <v>37</v>
      </c>
      <c r="G38">
        <v>39</v>
      </c>
      <c r="H38" t="s">
        <v>16</v>
      </c>
      <c r="I38" t="s">
        <v>164</v>
      </c>
      <c r="J38" t="s">
        <v>32</v>
      </c>
    </row>
    <row r="39" spans="1:10" x14ac:dyDescent="0.25">
      <c r="A39" t="s">
        <v>165</v>
      </c>
      <c r="B39" t="s">
        <v>117</v>
      </c>
      <c r="C39" t="s">
        <v>41</v>
      </c>
      <c r="D39" t="s">
        <v>166</v>
      </c>
      <c r="E39" t="s">
        <v>47</v>
      </c>
      <c r="F39" t="s">
        <v>24</v>
      </c>
      <c r="G39">
        <v>46</v>
      </c>
      <c r="H39" t="s">
        <v>38</v>
      </c>
      <c r="I39" t="s">
        <v>167</v>
      </c>
      <c r="J39" t="s">
        <v>32</v>
      </c>
    </row>
    <row r="40" spans="1:10" x14ac:dyDescent="0.25">
      <c r="A40" t="s">
        <v>168</v>
      </c>
      <c r="B40" t="s">
        <v>140</v>
      </c>
      <c r="C40" t="s">
        <v>41</v>
      </c>
      <c r="D40" t="s">
        <v>169</v>
      </c>
      <c r="E40" t="s">
        <v>23</v>
      </c>
      <c r="F40" t="s">
        <v>24</v>
      </c>
      <c r="G40">
        <v>60</v>
      </c>
      <c r="H40" t="s">
        <v>16</v>
      </c>
      <c r="I40" t="s">
        <v>170</v>
      </c>
      <c r="J40" t="s">
        <v>26</v>
      </c>
    </row>
    <row r="41" spans="1:10" x14ac:dyDescent="0.25">
      <c r="A41" t="s">
        <v>171</v>
      </c>
      <c r="B41" t="s">
        <v>55</v>
      </c>
      <c r="C41" t="s">
        <v>75</v>
      </c>
      <c r="D41" t="s">
        <v>172</v>
      </c>
      <c r="E41" t="s">
        <v>82</v>
      </c>
      <c r="F41" t="s">
        <v>83</v>
      </c>
      <c r="G41">
        <v>55</v>
      </c>
      <c r="H41" t="s">
        <v>38</v>
      </c>
      <c r="I41" t="s">
        <v>173</v>
      </c>
      <c r="J41" t="s">
        <v>53</v>
      </c>
    </row>
    <row r="42" spans="1:10" x14ac:dyDescent="0.25">
      <c r="A42" t="s">
        <v>174</v>
      </c>
      <c r="B42" t="s">
        <v>86</v>
      </c>
      <c r="C42" t="s">
        <v>50</v>
      </c>
      <c r="D42" t="s">
        <v>175</v>
      </c>
      <c r="E42" t="s">
        <v>43</v>
      </c>
      <c r="F42" t="s">
        <v>37</v>
      </c>
      <c r="G42">
        <v>48</v>
      </c>
      <c r="H42" t="s">
        <v>38</v>
      </c>
      <c r="I42" t="s">
        <v>176</v>
      </c>
      <c r="J42" t="s">
        <v>18</v>
      </c>
    </row>
    <row r="43" spans="1:10" x14ac:dyDescent="0.25">
      <c r="A43" t="s">
        <v>177</v>
      </c>
      <c r="B43" t="s">
        <v>55</v>
      </c>
      <c r="C43" t="s">
        <v>133</v>
      </c>
      <c r="D43" t="s">
        <v>178</v>
      </c>
      <c r="E43" t="s">
        <v>77</v>
      </c>
      <c r="F43" t="s">
        <v>78</v>
      </c>
      <c r="G43">
        <v>49</v>
      </c>
      <c r="H43" t="s">
        <v>16</v>
      </c>
      <c r="I43" t="s">
        <v>179</v>
      </c>
      <c r="J43" t="s">
        <v>32</v>
      </c>
    </row>
    <row r="44" spans="1:10" x14ac:dyDescent="0.25">
      <c r="A44" t="s">
        <v>180</v>
      </c>
      <c r="B44" t="s">
        <v>140</v>
      </c>
      <c r="C44" t="s">
        <v>21</v>
      </c>
      <c r="D44" t="s">
        <v>181</v>
      </c>
      <c r="E44" t="s">
        <v>47</v>
      </c>
      <c r="F44" t="s">
        <v>24</v>
      </c>
      <c r="G44">
        <v>32</v>
      </c>
      <c r="H44" t="s">
        <v>38</v>
      </c>
      <c r="I44" t="s">
        <v>182</v>
      </c>
      <c r="J44" t="s">
        <v>53</v>
      </c>
    </row>
    <row r="45" spans="1:10" x14ac:dyDescent="0.25">
      <c r="A45" t="s">
        <v>183</v>
      </c>
      <c r="B45" t="s">
        <v>20</v>
      </c>
      <c r="C45" t="s">
        <v>12</v>
      </c>
      <c r="D45" t="s">
        <v>184</v>
      </c>
      <c r="E45" t="s">
        <v>23</v>
      </c>
      <c r="F45" t="s">
        <v>24</v>
      </c>
      <c r="G45">
        <v>35</v>
      </c>
      <c r="H45" t="s">
        <v>16</v>
      </c>
      <c r="I45" t="s">
        <v>185</v>
      </c>
      <c r="J45" t="s">
        <v>32</v>
      </c>
    </row>
    <row r="46" spans="1:10" x14ac:dyDescent="0.25">
      <c r="A46" t="s">
        <v>186</v>
      </c>
      <c r="B46" t="s">
        <v>11</v>
      </c>
      <c r="C46" t="s">
        <v>133</v>
      </c>
      <c r="D46" t="s">
        <v>187</v>
      </c>
      <c r="E46" t="s">
        <v>36</v>
      </c>
      <c r="F46" t="s">
        <v>37</v>
      </c>
      <c r="G46">
        <v>58</v>
      </c>
      <c r="H46" t="s">
        <v>16</v>
      </c>
      <c r="I46" t="s">
        <v>188</v>
      </c>
      <c r="J46" t="s">
        <v>53</v>
      </c>
    </row>
    <row r="47" spans="1:10" x14ac:dyDescent="0.25">
      <c r="A47" t="s">
        <v>189</v>
      </c>
      <c r="B47" t="s">
        <v>34</v>
      </c>
      <c r="C47" t="s">
        <v>75</v>
      </c>
      <c r="D47" t="s">
        <v>190</v>
      </c>
      <c r="E47" t="s">
        <v>43</v>
      </c>
      <c r="F47" t="s">
        <v>37</v>
      </c>
      <c r="G47">
        <v>64</v>
      </c>
      <c r="H47" t="s">
        <v>16</v>
      </c>
      <c r="I47" t="s">
        <v>191</v>
      </c>
      <c r="J47" t="s">
        <v>32</v>
      </c>
    </row>
    <row r="48" spans="1:10" x14ac:dyDescent="0.25">
      <c r="A48" t="s">
        <v>192</v>
      </c>
      <c r="B48" t="s">
        <v>117</v>
      </c>
      <c r="C48" t="s">
        <v>41</v>
      </c>
      <c r="D48" t="s">
        <v>193</v>
      </c>
      <c r="E48" t="s">
        <v>30</v>
      </c>
      <c r="F48" t="s">
        <v>24</v>
      </c>
      <c r="G48">
        <v>58</v>
      </c>
      <c r="H48" t="s">
        <v>16</v>
      </c>
      <c r="I48" t="s">
        <v>52</v>
      </c>
      <c r="J48" t="s">
        <v>32</v>
      </c>
    </row>
    <row r="49" spans="1:10" x14ac:dyDescent="0.25">
      <c r="A49" t="s">
        <v>194</v>
      </c>
      <c r="B49" t="s">
        <v>60</v>
      </c>
      <c r="C49" t="s">
        <v>133</v>
      </c>
      <c r="D49" t="s">
        <v>195</v>
      </c>
      <c r="E49" t="s">
        <v>36</v>
      </c>
      <c r="F49" t="s">
        <v>37</v>
      </c>
      <c r="G49">
        <v>48</v>
      </c>
      <c r="H49" t="s">
        <v>16</v>
      </c>
      <c r="I49" t="s">
        <v>196</v>
      </c>
      <c r="J49" t="s">
        <v>32</v>
      </c>
    </row>
    <row r="50" spans="1:10" x14ac:dyDescent="0.25">
      <c r="A50" t="s">
        <v>197</v>
      </c>
      <c r="B50" t="s">
        <v>20</v>
      </c>
      <c r="C50" t="s">
        <v>12</v>
      </c>
      <c r="D50" t="s">
        <v>198</v>
      </c>
      <c r="E50" t="s">
        <v>77</v>
      </c>
      <c r="F50" t="s">
        <v>78</v>
      </c>
      <c r="G50">
        <v>56</v>
      </c>
      <c r="H50" t="s">
        <v>38</v>
      </c>
      <c r="I50" t="s">
        <v>199</v>
      </c>
      <c r="J50" t="s">
        <v>26</v>
      </c>
    </row>
    <row r="51" spans="1:10" x14ac:dyDescent="0.25">
      <c r="A51" t="s">
        <v>200</v>
      </c>
      <c r="B51" t="s">
        <v>86</v>
      </c>
      <c r="C51" t="s">
        <v>75</v>
      </c>
      <c r="D51" t="s">
        <v>201</v>
      </c>
      <c r="E51" t="s">
        <v>43</v>
      </c>
      <c r="F51" t="s">
        <v>37</v>
      </c>
      <c r="G51">
        <v>63</v>
      </c>
      <c r="H51" t="s">
        <v>38</v>
      </c>
      <c r="I51" t="s">
        <v>202</v>
      </c>
      <c r="J51" t="s">
        <v>32</v>
      </c>
    </row>
    <row r="52" spans="1:10" x14ac:dyDescent="0.25">
      <c r="A52" t="s">
        <v>203</v>
      </c>
      <c r="B52" t="s">
        <v>86</v>
      </c>
      <c r="C52" t="s">
        <v>75</v>
      </c>
      <c r="D52" t="s">
        <v>204</v>
      </c>
      <c r="E52" t="s">
        <v>47</v>
      </c>
      <c r="F52" t="s">
        <v>24</v>
      </c>
      <c r="G52">
        <v>29</v>
      </c>
      <c r="H52" t="s">
        <v>16</v>
      </c>
      <c r="I52" t="s">
        <v>205</v>
      </c>
      <c r="J52" t="s">
        <v>18</v>
      </c>
    </row>
    <row r="53" spans="1:10" x14ac:dyDescent="0.25">
      <c r="A53" t="s">
        <v>206</v>
      </c>
      <c r="B53" t="s">
        <v>55</v>
      </c>
      <c r="C53" t="s">
        <v>50</v>
      </c>
      <c r="D53" t="s">
        <v>207</v>
      </c>
      <c r="E53" t="s">
        <v>82</v>
      </c>
      <c r="F53" t="s">
        <v>83</v>
      </c>
      <c r="G53">
        <v>28</v>
      </c>
      <c r="H53" t="s">
        <v>38</v>
      </c>
      <c r="I53" t="s">
        <v>208</v>
      </c>
      <c r="J53" t="s">
        <v>18</v>
      </c>
    </row>
    <row r="54" spans="1:10" x14ac:dyDescent="0.25">
      <c r="A54" t="s">
        <v>209</v>
      </c>
      <c r="B54" t="s">
        <v>34</v>
      </c>
      <c r="C54" t="s">
        <v>21</v>
      </c>
      <c r="D54" t="s">
        <v>210</v>
      </c>
      <c r="E54" t="s">
        <v>30</v>
      </c>
      <c r="F54" t="s">
        <v>24</v>
      </c>
      <c r="G54">
        <v>23</v>
      </c>
      <c r="H54" t="s">
        <v>16</v>
      </c>
      <c r="I54" t="s">
        <v>211</v>
      </c>
      <c r="J54" t="s">
        <v>18</v>
      </c>
    </row>
    <row r="55" spans="1:10" x14ac:dyDescent="0.25">
      <c r="A55" t="s">
        <v>212</v>
      </c>
      <c r="B55" t="s">
        <v>34</v>
      </c>
      <c r="C55" t="s">
        <v>50</v>
      </c>
      <c r="D55" t="s">
        <v>213</v>
      </c>
      <c r="E55" t="s">
        <v>36</v>
      </c>
      <c r="F55" t="s">
        <v>37</v>
      </c>
      <c r="G55">
        <v>26</v>
      </c>
      <c r="H55" t="s">
        <v>16</v>
      </c>
      <c r="I55" t="s">
        <v>214</v>
      </c>
      <c r="J55" t="s">
        <v>18</v>
      </c>
    </row>
    <row r="56" spans="1:10" x14ac:dyDescent="0.25">
      <c r="A56" t="s">
        <v>215</v>
      </c>
      <c r="B56" t="s">
        <v>20</v>
      </c>
      <c r="C56" t="s">
        <v>91</v>
      </c>
      <c r="D56" t="s">
        <v>216</v>
      </c>
      <c r="E56" t="s">
        <v>82</v>
      </c>
      <c r="F56" t="s">
        <v>83</v>
      </c>
      <c r="G56">
        <v>36</v>
      </c>
      <c r="H56" t="s">
        <v>38</v>
      </c>
      <c r="I56" t="s">
        <v>217</v>
      </c>
      <c r="J56" t="s">
        <v>32</v>
      </c>
    </row>
    <row r="57" spans="1:10" x14ac:dyDescent="0.25">
      <c r="A57" t="s">
        <v>218</v>
      </c>
      <c r="B57" t="s">
        <v>117</v>
      </c>
      <c r="C57" t="s">
        <v>91</v>
      </c>
      <c r="D57" t="s">
        <v>219</v>
      </c>
      <c r="E57" t="s">
        <v>36</v>
      </c>
      <c r="F57" t="s">
        <v>37</v>
      </c>
      <c r="G57">
        <v>35</v>
      </c>
      <c r="H57" t="s">
        <v>16</v>
      </c>
      <c r="I57" t="s">
        <v>220</v>
      </c>
      <c r="J57" t="s">
        <v>32</v>
      </c>
    </row>
    <row r="58" spans="1:10" x14ac:dyDescent="0.25">
      <c r="A58" t="s">
        <v>221</v>
      </c>
      <c r="B58" t="s">
        <v>55</v>
      </c>
      <c r="C58" t="s">
        <v>21</v>
      </c>
      <c r="D58" t="s">
        <v>222</v>
      </c>
      <c r="E58" t="s">
        <v>67</v>
      </c>
      <c r="F58" t="s">
        <v>68</v>
      </c>
      <c r="G58">
        <v>60</v>
      </c>
      <c r="H58" t="s">
        <v>16</v>
      </c>
      <c r="I58" t="s">
        <v>223</v>
      </c>
      <c r="J58" t="s">
        <v>53</v>
      </c>
    </row>
    <row r="59" spans="1:10" x14ac:dyDescent="0.25">
      <c r="A59" t="s">
        <v>224</v>
      </c>
      <c r="B59" t="s">
        <v>55</v>
      </c>
      <c r="C59" t="s">
        <v>28</v>
      </c>
      <c r="D59" t="s">
        <v>225</v>
      </c>
      <c r="E59" t="s">
        <v>67</v>
      </c>
      <c r="F59" t="s">
        <v>68</v>
      </c>
      <c r="G59">
        <v>59</v>
      </c>
      <c r="H59" t="s">
        <v>16</v>
      </c>
      <c r="I59" t="s">
        <v>226</v>
      </c>
      <c r="J59" t="s">
        <v>26</v>
      </c>
    </row>
    <row r="60" spans="1:10" x14ac:dyDescent="0.25">
      <c r="A60" t="s">
        <v>227</v>
      </c>
      <c r="B60" t="s">
        <v>74</v>
      </c>
      <c r="C60" t="s">
        <v>133</v>
      </c>
      <c r="D60" t="s">
        <v>228</v>
      </c>
      <c r="E60" t="s">
        <v>82</v>
      </c>
      <c r="F60" t="s">
        <v>83</v>
      </c>
      <c r="G60">
        <v>37</v>
      </c>
      <c r="H60" t="s">
        <v>38</v>
      </c>
      <c r="I60" t="s">
        <v>229</v>
      </c>
      <c r="J60" t="s">
        <v>53</v>
      </c>
    </row>
    <row r="61" spans="1:10" x14ac:dyDescent="0.25">
      <c r="A61" t="s">
        <v>230</v>
      </c>
      <c r="B61" t="s">
        <v>90</v>
      </c>
      <c r="C61" t="s">
        <v>41</v>
      </c>
      <c r="D61" t="s">
        <v>231</v>
      </c>
      <c r="E61" t="s">
        <v>43</v>
      </c>
      <c r="F61" t="s">
        <v>37</v>
      </c>
      <c r="G61">
        <v>26</v>
      </c>
      <c r="H61" t="s">
        <v>38</v>
      </c>
      <c r="I61" t="s">
        <v>232</v>
      </c>
      <c r="J61" t="s">
        <v>53</v>
      </c>
    </row>
    <row r="62" spans="1:10" x14ac:dyDescent="0.25">
      <c r="A62" t="s">
        <v>233</v>
      </c>
      <c r="B62" t="s">
        <v>90</v>
      </c>
      <c r="C62" t="s">
        <v>41</v>
      </c>
      <c r="D62" t="s">
        <v>234</v>
      </c>
      <c r="E62" t="s">
        <v>77</v>
      </c>
      <c r="F62" t="s">
        <v>78</v>
      </c>
      <c r="G62">
        <v>46</v>
      </c>
      <c r="H62" t="s">
        <v>16</v>
      </c>
      <c r="I62" t="s">
        <v>235</v>
      </c>
      <c r="J62" t="s">
        <v>32</v>
      </c>
    </row>
    <row r="63" spans="1:10" x14ac:dyDescent="0.25">
      <c r="A63" t="s">
        <v>236</v>
      </c>
      <c r="B63" t="s">
        <v>74</v>
      </c>
      <c r="C63" t="s">
        <v>133</v>
      </c>
      <c r="D63" t="s">
        <v>237</v>
      </c>
      <c r="E63" t="s">
        <v>105</v>
      </c>
      <c r="F63" t="s">
        <v>37</v>
      </c>
      <c r="G63">
        <v>56</v>
      </c>
      <c r="H63" t="s">
        <v>38</v>
      </c>
      <c r="I63" t="s">
        <v>238</v>
      </c>
      <c r="J63" t="s">
        <v>53</v>
      </c>
    </row>
    <row r="64" spans="1:10" x14ac:dyDescent="0.25">
      <c r="A64" t="s">
        <v>239</v>
      </c>
      <c r="B64" t="s">
        <v>90</v>
      </c>
      <c r="C64" t="s">
        <v>50</v>
      </c>
      <c r="D64" t="s">
        <v>240</v>
      </c>
      <c r="E64" t="s">
        <v>57</v>
      </c>
      <c r="F64" t="s">
        <v>37</v>
      </c>
      <c r="G64">
        <v>30</v>
      </c>
      <c r="H64" t="s">
        <v>38</v>
      </c>
      <c r="I64" t="s">
        <v>241</v>
      </c>
      <c r="J64" t="s">
        <v>53</v>
      </c>
    </row>
    <row r="65" spans="1:10" x14ac:dyDescent="0.25">
      <c r="A65" t="s">
        <v>242</v>
      </c>
      <c r="B65" t="s">
        <v>74</v>
      </c>
      <c r="C65" t="s">
        <v>21</v>
      </c>
      <c r="D65" t="s">
        <v>243</v>
      </c>
      <c r="E65" t="s">
        <v>57</v>
      </c>
      <c r="F65" t="s">
        <v>37</v>
      </c>
      <c r="G65">
        <v>27</v>
      </c>
      <c r="H65" t="s">
        <v>16</v>
      </c>
      <c r="I65" t="s">
        <v>244</v>
      </c>
      <c r="J65" t="s">
        <v>18</v>
      </c>
    </row>
    <row r="66" spans="1:10" x14ac:dyDescent="0.25">
      <c r="A66" t="s">
        <v>245</v>
      </c>
      <c r="B66" t="s">
        <v>60</v>
      </c>
      <c r="C66" t="s">
        <v>75</v>
      </c>
      <c r="D66" t="s">
        <v>246</v>
      </c>
      <c r="E66" t="s">
        <v>23</v>
      </c>
      <c r="F66" t="s">
        <v>24</v>
      </c>
      <c r="G66">
        <v>62</v>
      </c>
      <c r="H66" t="s">
        <v>38</v>
      </c>
      <c r="I66" t="s">
        <v>247</v>
      </c>
      <c r="J66" t="s">
        <v>53</v>
      </c>
    </row>
    <row r="67" spans="1:10" x14ac:dyDescent="0.25">
      <c r="A67" t="s">
        <v>248</v>
      </c>
      <c r="B67" t="s">
        <v>60</v>
      </c>
      <c r="C67" t="s">
        <v>28</v>
      </c>
      <c r="D67" t="s">
        <v>249</v>
      </c>
      <c r="E67" t="s">
        <v>47</v>
      </c>
      <c r="F67" t="s">
        <v>24</v>
      </c>
      <c r="G67">
        <v>36</v>
      </c>
      <c r="H67" t="s">
        <v>38</v>
      </c>
      <c r="I67" t="s">
        <v>250</v>
      </c>
      <c r="J67" t="s">
        <v>32</v>
      </c>
    </row>
    <row r="68" spans="1:10" x14ac:dyDescent="0.25">
      <c r="A68" t="s">
        <v>251</v>
      </c>
      <c r="B68" t="s">
        <v>34</v>
      </c>
      <c r="C68" t="s">
        <v>28</v>
      </c>
      <c r="D68" t="s">
        <v>252</v>
      </c>
      <c r="E68" t="s">
        <v>30</v>
      </c>
      <c r="F68" t="s">
        <v>24</v>
      </c>
      <c r="G68">
        <v>43</v>
      </c>
      <c r="H68" t="s">
        <v>16</v>
      </c>
      <c r="I68" t="s">
        <v>253</v>
      </c>
      <c r="J68" t="s">
        <v>26</v>
      </c>
    </row>
    <row r="69" spans="1:10" x14ac:dyDescent="0.25">
      <c r="A69" t="s">
        <v>254</v>
      </c>
      <c r="B69" t="s">
        <v>11</v>
      </c>
      <c r="C69" t="s">
        <v>91</v>
      </c>
      <c r="D69" t="s">
        <v>255</v>
      </c>
      <c r="E69" t="s">
        <v>105</v>
      </c>
      <c r="F69" t="s">
        <v>37</v>
      </c>
      <c r="G69">
        <v>21</v>
      </c>
      <c r="H69" t="s">
        <v>38</v>
      </c>
      <c r="I69" t="s">
        <v>256</v>
      </c>
      <c r="J69" t="s">
        <v>26</v>
      </c>
    </row>
    <row r="70" spans="1:10" x14ac:dyDescent="0.25">
      <c r="A70" t="s">
        <v>257</v>
      </c>
      <c r="B70" t="s">
        <v>11</v>
      </c>
      <c r="C70" t="s">
        <v>28</v>
      </c>
      <c r="D70" t="s">
        <v>258</v>
      </c>
      <c r="E70" t="s">
        <v>47</v>
      </c>
      <c r="F70" t="s">
        <v>24</v>
      </c>
      <c r="G70">
        <v>38</v>
      </c>
      <c r="H70" t="s">
        <v>38</v>
      </c>
      <c r="I70" t="s">
        <v>259</v>
      </c>
      <c r="J70" t="s">
        <v>32</v>
      </c>
    </row>
    <row r="71" spans="1:10" x14ac:dyDescent="0.25">
      <c r="A71" t="s">
        <v>260</v>
      </c>
      <c r="B71" t="s">
        <v>55</v>
      </c>
      <c r="C71" t="s">
        <v>91</v>
      </c>
      <c r="D71" t="s">
        <v>261</v>
      </c>
      <c r="E71" t="s">
        <v>62</v>
      </c>
      <c r="F71" t="s">
        <v>63</v>
      </c>
      <c r="G71">
        <v>62</v>
      </c>
      <c r="H71" t="s">
        <v>16</v>
      </c>
      <c r="I71" t="s">
        <v>262</v>
      </c>
      <c r="J71" t="s">
        <v>32</v>
      </c>
    </row>
    <row r="72" spans="1:10" x14ac:dyDescent="0.25">
      <c r="A72" t="s">
        <v>263</v>
      </c>
      <c r="B72" t="s">
        <v>20</v>
      </c>
      <c r="C72" t="s">
        <v>75</v>
      </c>
      <c r="D72" t="s">
        <v>264</v>
      </c>
      <c r="E72" t="s">
        <v>43</v>
      </c>
      <c r="F72" t="s">
        <v>37</v>
      </c>
      <c r="G72">
        <v>25</v>
      </c>
      <c r="H72" t="s">
        <v>16</v>
      </c>
      <c r="I72" t="s">
        <v>265</v>
      </c>
      <c r="J72" t="s">
        <v>32</v>
      </c>
    </row>
    <row r="73" spans="1:10" x14ac:dyDescent="0.25">
      <c r="A73" t="s">
        <v>266</v>
      </c>
      <c r="B73" t="s">
        <v>86</v>
      </c>
      <c r="C73" t="s">
        <v>28</v>
      </c>
      <c r="D73" t="s">
        <v>267</v>
      </c>
      <c r="E73" t="s">
        <v>105</v>
      </c>
      <c r="F73" t="s">
        <v>37</v>
      </c>
      <c r="G73">
        <v>37</v>
      </c>
      <c r="H73" t="s">
        <v>38</v>
      </c>
      <c r="I73" t="s">
        <v>268</v>
      </c>
      <c r="J73" t="s">
        <v>53</v>
      </c>
    </row>
    <row r="74" spans="1:10" x14ac:dyDescent="0.25">
      <c r="A74" t="s">
        <v>269</v>
      </c>
      <c r="B74" t="s">
        <v>11</v>
      </c>
      <c r="C74" t="s">
        <v>50</v>
      </c>
      <c r="D74" t="s">
        <v>270</v>
      </c>
      <c r="E74" t="s">
        <v>36</v>
      </c>
      <c r="F74" t="s">
        <v>37</v>
      </c>
      <c r="G74">
        <v>43</v>
      </c>
      <c r="H74" t="s">
        <v>16</v>
      </c>
      <c r="I74" t="s">
        <v>271</v>
      </c>
      <c r="J74" t="s">
        <v>32</v>
      </c>
    </row>
    <row r="75" spans="1:10" x14ac:dyDescent="0.25">
      <c r="A75" t="s">
        <v>272</v>
      </c>
      <c r="B75" t="s">
        <v>86</v>
      </c>
      <c r="C75" t="s">
        <v>91</v>
      </c>
      <c r="D75" t="s">
        <v>273</v>
      </c>
      <c r="E75" t="s">
        <v>105</v>
      </c>
      <c r="F75" t="s">
        <v>37</v>
      </c>
      <c r="G75">
        <v>23</v>
      </c>
      <c r="H75" t="s">
        <v>38</v>
      </c>
      <c r="I75" t="s">
        <v>274</v>
      </c>
      <c r="J75" t="s">
        <v>53</v>
      </c>
    </row>
    <row r="76" spans="1:10" x14ac:dyDescent="0.25">
      <c r="A76" t="s">
        <v>275</v>
      </c>
      <c r="B76" t="s">
        <v>60</v>
      </c>
      <c r="C76" t="s">
        <v>50</v>
      </c>
      <c r="D76" t="s">
        <v>276</v>
      </c>
      <c r="E76" t="s">
        <v>43</v>
      </c>
      <c r="F76" t="s">
        <v>37</v>
      </c>
      <c r="G76">
        <v>33</v>
      </c>
      <c r="H76" t="s">
        <v>16</v>
      </c>
      <c r="I76" t="s">
        <v>277</v>
      </c>
      <c r="J76" t="s">
        <v>32</v>
      </c>
    </row>
    <row r="77" spans="1:10" x14ac:dyDescent="0.25">
      <c r="A77" t="s">
        <v>278</v>
      </c>
      <c r="B77" t="s">
        <v>90</v>
      </c>
      <c r="C77" t="s">
        <v>21</v>
      </c>
      <c r="D77" t="s">
        <v>279</v>
      </c>
      <c r="E77" t="s">
        <v>36</v>
      </c>
      <c r="F77" t="s">
        <v>37</v>
      </c>
      <c r="G77">
        <v>55</v>
      </c>
      <c r="H77" t="s">
        <v>38</v>
      </c>
      <c r="I77" t="s">
        <v>280</v>
      </c>
      <c r="J77" t="s">
        <v>18</v>
      </c>
    </row>
    <row r="78" spans="1:10" x14ac:dyDescent="0.25">
      <c r="A78" t="s">
        <v>281</v>
      </c>
      <c r="B78" t="s">
        <v>11</v>
      </c>
      <c r="C78" t="s">
        <v>50</v>
      </c>
      <c r="D78" t="s">
        <v>282</v>
      </c>
      <c r="E78" t="s">
        <v>105</v>
      </c>
      <c r="F78" t="s">
        <v>37</v>
      </c>
      <c r="G78">
        <v>56</v>
      </c>
      <c r="H78" t="s">
        <v>38</v>
      </c>
      <c r="I78" t="s">
        <v>283</v>
      </c>
      <c r="J78" t="s">
        <v>32</v>
      </c>
    </row>
    <row r="79" spans="1:10" x14ac:dyDescent="0.25">
      <c r="A79" t="s">
        <v>284</v>
      </c>
      <c r="B79" t="s">
        <v>140</v>
      </c>
      <c r="C79" t="s">
        <v>133</v>
      </c>
      <c r="D79" t="s">
        <v>285</v>
      </c>
      <c r="E79" t="s">
        <v>30</v>
      </c>
      <c r="F79" t="s">
        <v>24</v>
      </c>
      <c r="G79">
        <v>35</v>
      </c>
      <c r="H79" t="s">
        <v>38</v>
      </c>
      <c r="I79" t="s">
        <v>286</v>
      </c>
      <c r="J79" t="s">
        <v>53</v>
      </c>
    </row>
    <row r="80" spans="1:10" x14ac:dyDescent="0.25">
      <c r="A80" t="s">
        <v>287</v>
      </c>
      <c r="B80" t="s">
        <v>20</v>
      </c>
      <c r="C80" t="s">
        <v>133</v>
      </c>
      <c r="D80" t="s">
        <v>288</v>
      </c>
      <c r="E80" t="s">
        <v>82</v>
      </c>
      <c r="F80" t="s">
        <v>83</v>
      </c>
      <c r="G80">
        <v>40</v>
      </c>
      <c r="H80" t="s">
        <v>38</v>
      </c>
      <c r="I80" t="s">
        <v>289</v>
      </c>
      <c r="J80" t="s">
        <v>32</v>
      </c>
    </row>
    <row r="81" spans="1:10" x14ac:dyDescent="0.25">
      <c r="A81" t="s">
        <v>290</v>
      </c>
      <c r="B81" t="s">
        <v>117</v>
      </c>
      <c r="C81" t="s">
        <v>50</v>
      </c>
      <c r="D81" t="s">
        <v>291</v>
      </c>
      <c r="E81" t="s">
        <v>57</v>
      </c>
      <c r="F81" t="s">
        <v>37</v>
      </c>
      <c r="G81">
        <v>55</v>
      </c>
      <c r="H81" t="s">
        <v>38</v>
      </c>
      <c r="I81" t="s">
        <v>292</v>
      </c>
      <c r="J81" t="s">
        <v>26</v>
      </c>
    </row>
    <row r="82" spans="1:10" x14ac:dyDescent="0.25">
      <c r="A82" t="s">
        <v>293</v>
      </c>
      <c r="B82" t="s">
        <v>11</v>
      </c>
      <c r="C82" t="s">
        <v>21</v>
      </c>
      <c r="D82" t="s">
        <v>294</v>
      </c>
      <c r="E82" t="s">
        <v>36</v>
      </c>
      <c r="F82" t="s">
        <v>37</v>
      </c>
      <c r="G82">
        <v>28</v>
      </c>
      <c r="H82" t="s">
        <v>38</v>
      </c>
      <c r="I82" t="s">
        <v>295</v>
      </c>
      <c r="J82" t="s">
        <v>32</v>
      </c>
    </row>
    <row r="83" spans="1:10" x14ac:dyDescent="0.25">
      <c r="A83" t="s">
        <v>296</v>
      </c>
      <c r="B83" t="s">
        <v>140</v>
      </c>
      <c r="C83" t="s">
        <v>12</v>
      </c>
      <c r="D83" t="s">
        <v>297</v>
      </c>
      <c r="E83" t="s">
        <v>82</v>
      </c>
      <c r="F83" t="s">
        <v>83</v>
      </c>
      <c r="G83">
        <v>58</v>
      </c>
      <c r="H83" t="s">
        <v>38</v>
      </c>
      <c r="I83" t="s">
        <v>298</v>
      </c>
      <c r="J83" t="s">
        <v>32</v>
      </c>
    </row>
    <row r="84" spans="1:10" x14ac:dyDescent="0.25">
      <c r="A84" t="s">
        <v>299</v>
      </c>
      <c r="B84" t="s">
        <v>20</v>
      </c>
      <c r="C84" t="s">
        <v>75</v>
      </c>
      <c r="D84" t="s">
        <v>300</v>
      </c>
      <c r="E84" t="s">
        <v>77</v>
      </c>
      <c r="F84" t="s">
        <v>78</v>
      </c>
      <c r="G84">
        <v>48</v>
      </c>
      <c r="H84" t="s">
        <v>38</v>
      </c>
      <c r="I84" t="s">
        <v>301</v>
      </c>
      <c r="J84" t="s">
        <v>53</v>
      </c>
    </row>
    <row r="85" spans="1:10" x14ac:dyDescent="0.25">
      <c r="A85" t="s">
        <v>302</v>
      </c>
      <c r="B85" t="s">
        <v>55</v>
      </c>
      <c r="C85" t="s">
        <v>50</v>
      </c>
      <c r="D85" t="s">
        <v>303</v>
      </c>
      <c r="E85" t="s">
        <v>82</v>
      </c>
      <c r="F85" t="s">
        <v>83</v>
      </c>
      <c r="G85">
        <v>24</v>
      </c>
      <c r="H85" t="s">
        <v>38</v>
      </c>
      <c r="I85" t="s">
        <v>148</v>
      </c>
      <c r="J85" t="s">
        <v>18</v>
      </c>
    </row>
    <row r="86" spans="1:10" x14ac:dyDescent="0.25">
      <c r="A86" t="s">
        <v>304</v>
      </c>
      <c r="B86" t="s">
        <v>74</v>
      </c>
      <c r="C86" t="s">
        <v>28</v>
      </c>
      <c r="D86" t="s">
        <v>305</v>
      </c>
      <c r="E86" t="s">
        <v>47</v>
      </c>
      <c r="F86" t="s">
        <v>24</v>
      </c>
      <c r="G86">
        <v>18</v>
      </c>
      <c r="H86" t="s">
        <v>38</v>
      </c>
      <c r="I86" t="s">
        <v>306</v>
      </c>
      <c r="J86" t="s">
        <v>32</v>
      </c>
    </row>
    <row r="87" spans="1:10" x14ac:dyDescent="0.25">
      <c r="A87" t="s">
        <v>307</v>
      </c>
      <c r="B87" t="s">
        <v>74</v>
      </c>
      <c r="C87" t="s">
        <v>91</v>
      </c>
      <c r="D87" t="s">
        <v>308</v>
      </c>
      <c r="E87" t="s">
        <v>30</v>
      </c>
      <c r="F87" t="s">
        <v>24</v>
      </c>
      <c r="G87">
        <v>34</v>
      </c>
      <c r="H87" t="s">
        <v>16</v>
      </c>
      <c r="I87" t="s">
        <v>309</v>
      </c>
      <c r="J87" t="s">
        <v>32</v>
      </c>
    </row>
    <row r="88" spans="1:10" x14ac:dyDescent="0.25">
      <c r="A88" t="s">
        <v>310</v>
      </c>
      <c r="B88" t="s">
        <v>34</v>
      </c>
      <c r="C88" t="s">
        <v>75</v>
      </c>
      <c r="D88" t="s">
        <v>311</v>
      </c>
      <c r="E88" t="s">
        <v>67</v>
      </c>
      <c r="F88" t="s">
        <v>68</v>
      </c>
      <c r="G88">
        <v>59</v>
      </c>
      <c r="H88" t="s">
        <v>38</v>
      </c>
      <c r="I88" t="s">
        <v>312</v>
      </c>
      <c r="J88" t="s">
        <v>26</v>
      </c>
    </row>
    <row r="89" spans="1:10" x14ac:dyDescent="0.25">
      <c r="A89" t="s">
        <v>313</v>
      </c>
      <c r="B89" t="s">
        <v>55</v>
      </c>
      <c r="C89" t="s">
        <v>133</v>
      </c>
      <c r="D89" t="s">
        <v>314</v>
      </c>
      <c r="E89" t="s">
        <v>14</v>
      </c>
      <c r="F89" t="s">
        <v>15</v>
      </c>
      <c r="G89">
        <v>47</v>
      </c>
      <c r="H89" t="s">
        <v>16</v>
      </c>
      <c r="I89" t="s">
        <v>315</v>
      </c>
      <c r="J89" t="s">
        <v>53</v>
      </c>
    </row>
    <row r="90" spans="1:10" x14ac:dyDescent="0.25">
      <c r="A90" t="s">
        <v>316</v>
      </c>
      <c r="B90" t="s">
        <v>34</v>
      </c>
      <c r="C90" t="s">
        <v>21</v>
      </c>
      <c r="D90" t="s">
        <v>317</v>
      </c>
      <c r="E90" t="s">
        <v>43</v>
      </c>
      <c r="F90" t="s">
        <v>37</v>
      </c>
      <c r="G90">
        <v>45</v>
      </c>
      <c r="H90" t="s">
        <v>16</v>
      </c>
      <c r="I90" t="s">
        <v>318</v>
      </c>
      <c r="J90" t="s">
        <v>53</v>
      </c>
    </row>
    <row r="91" spans="1:10" x14ac:dyDescent="0.25">
      <c r="A91" t="s">
        <v>319</v>
      </c>
      <c r="B91" t="s">
        <v>117</v>
      </c>
      <c r="C91" t="s">
        <v>156</v>
      </c>
      <c r="D91" t="s">
        <v>320</v>
      </c>
      <c r="E91" t="s">
        <v>77</v>
      </c>
      <c r="F91" t="s">
        <v>78</v>
      </c>
      <c r="G91">
        <v>53</v>
      </c>
      <c r="H91" t="s">
        <v>16</v>
      </c>
      <c r="I91" t="s">
        <v>321</v>
      </c>
      <c r="J91" t="s">
        <v>53</v>
      </c>
    </row>
    <row r="92" spans="1:10" x14ac:dyDescent="0.25">
      <c r="A92" t="s">
        <v>322</v>
      </c>
      <c r="B92" t="s">
        <v>140</v>
      </c>
      <c r="C92" t="s">
        <v>12</v>
      </c>
      <c r="D92" t="s">
        <v>323</v>
      </c>
      <c r="E92" t="s">
        <v>23</v>
      </c>
      <c r="F92" t="s">
        <v>24</v>
      </c>
      <c r="G92">
        <v>29</v>
      </c>
      <c r="H92" t="s">
        <v>16</v>
      </c>
      <c r="I92" t="s">
        <v>324</v>
      </c>
      <c r="J92" t="s">
        <v>32</v>
      </c>
    </row>
    <row r="93" spans="1:10" x14ac:dyDescent="0.25">
      <c r="A93" t="s">
        <v>325</v>
      </c>
      <c r="B93" t="s">
        <v>140</v>
      </c>
      <c r="C93" t="s">
        <v>133</v>
      </c>
      <c r="D93" t="s">
        <v>326</v>
      </c>
      <c r="E93" t="s">
        <v>57</v>
      </c>
      <c r="F93" t="s">
        <v>37</v>
      </c>
      <c r="G93">
        <v>29</v>
      </c>
      <c r="H93" t="s">
        <v>38</v>
      </c>
      <c r="I93" t="s">
        <v>327</v>
      </c>
      <c r="J93" t="s">
        <v>18</v>
      </c>
    </row>
    <row r="94" spans="1:10" x14ac:dyDescent="0.25">
      <c r="A94" t="s">
        <v>328</v>
      </c>
      <c r="B94" t="s">
        <v>55</v>
      </c>
      <c r="C94" t="s">
        <v>133</v>
      </c>
      <c r="D94" t="s">
        <v>329</v>
      </c>
      <c r="E94" t="s">
        <v>23</v>
      </c>
      <c r="F94" t="s">
        <v>24</v>
      </c>
      <c r="G94">
        <v>45</v>
      </c>
      <c r="H94" t="s">
        <v>38</v>
      </c>
      <c r="I94" t="s">
        <v>330</v>
      </c>
      <c r="J94" t="s">
        <v>18</v>
      </c>
    </row>
    <row r="95" spans="1:10" x14ac:dyDescent="0.25">
      <c r="A95" t="s">
        <v>331</v>
      </c>
      <c r="B95" t="s">
        <v>55</v>
      </c>
      <c r="C95" t="s">
        <v>50</v>
      </c>
      <c r="D95" t="s">
        <v>332</v>
      </c>
      <c r="E95" t="s">
        <v>47</v>
      </c>
      <c r="F95" t="s">
        <v>24</v>
      </c>
      <c r="G95">
        <v>57</v>
      </c>
      <c r="H95" t="s">
        <v>38</v>
      </c>
      <c r="I95" t="s">
        <v>333</v>
      </c>
      <c r="J95" t="s">
        <v>32</v>
      </c>
    </row>
    <row r="96" spans="1:10" x14ac:dyDescent="0.25">
      <c r="A96" t="s">
        <v>334</v>
      </c>
      <c r="B96" t="s">
        <v>34</v>
      </c>
      <c r="C96" t="s">
        <v>156</v>
      </c>
      <c r="D96" t="s">
        <v>335</v>
      </c>
      <c r="E96" t="s">
        <v>62</v>
      </c>
      <c r="F96" t="s">
        <v>63</v>
      </c>
      <c r="G96">
        <v>42</v>
      </c>
      <c r="H96" t="s">
        <v>16</v>
      </c>
      <c r="I96" t="s">
        <v>336</v>
      </c>
      <c r="J96" t="s">
        <v>18</v>
      </c>
    </row>
    <row r="97" spans="1:10" x14ac:dyDescent="0.25">
      <c r="A97" t="s">
        <v>337</v>
      </c>
      <c r="B97" t="s">
        <v>34</v>
      </c>
      <c r="C97" t="s">
        <v>41</v>
      </c>
      <c r="D97" t="s">
        <v>338</v>
      </c>
      <c r="E97" t="s">
        <v>82</v>
      </c>
      <c r="F97" t="s">
        <v>83</v>
      </c>
      <c r="G97">
        <v>34</v>
      </c>
      <c r="H97" t="s">
        <v>16</v>
      </c>
      <c r="I97" t="s">
        <v>229</v>
      </c>
      <c r="J97" t="s">
        <v>53</v>
      </c>
    </row>
    <row r="98" spans="1:10" x14ac:dyDescent="0.25">
      <c r="A98" t="s">
        <v>339</v>
      </c>
      <c r="B98" t="s">
        <v>90</v>
      </c>
      <c r="C98" t="s">
        <v>21</v>
      </c>
      <c r="D98" t="s">
        <v>340</v>
      </c>
      <c r="E98" t="s">
        <v>82</v>
      </c>
      <c r="F98" t="s">
        <v>83</v>
      </c>
      <c r="G98">
        <v>64</v>
      </c>
      <c r="H98" t="s">
        <v>38</v>
      </c>
      <c r="I98" t="s">
        <v>341</v>
      </c>
      <c r="J98" t="s">
        <v>32</v>
      </c>
    </row>
    <row r="99" spans="1:10" x14ac:dyDescent="0.25">
      <c r="A99" t="s">
        <v>342</v>
      </c>
      <c r="B99" t="s">
        <v>140</v>
      </c>
      <c r="C99" t="s">
        <v>21</v>
      </c>
      <c r="D99" t="s">
        <v>343</v>
      </c>
      <c r="E99" t="s">
        <v>30</v>
      </c>
      <c r="F99" t="s">
        <v>24</v>
      </c>
      <c r="G99">
        <v>35</v>
      </c>
      <c r="H99" t="s">
        <v>16</v>
      </c>
      <c r="I99" t="s">
        <v>344</v>
      </c>
      <c r="J99" t="s">
        <v>53</v>
      </c>
    </row>
    <row r="100" spans="1:10" x14ac:dyDescent="0.25">
      <c r="A100" t="s">
        <v>345</v>
      </c>
      <c r="B100" t="s">
        <v>34</v>
      </c>
      <c r="C100" t="s">
        <v>21</v>
      </c>
      <c r="D100" t="s">
        <v>346</v>
      </c>
      <c r="E100" t="s">
        <v>57</v>
      </c>
      <c r="F100" t="s">
        <v>37</v>
      </c>
      <c r="G100">
        <v>51</v>
      </c>
      <c r="H100" t="s">
        <v>38</v>
      </c>
      <c r="I100" t="s">
        <v>347</v>
      </c>
      <c r="J100" t="s">
        <v>32</v>
      </c>
    </row>
    <row r="101" spans="1:10" x14ac:dyDescent="0.25">
      <c r="A101" t="s">
        <v>348</v>
      </c>
      <c r="B101" t="s">
        <v>34</v>
      </c>
      <c r="C101" t="s">
        <v>133</v>
      </c>
      <c r="D101" t="s">
        <v>349</v>
      </c>
      <c r="E101" t="s">
        <v>14</v>
      </c>
      <c r="F101" t="s">
        <v>15</v>
      </c>
      <c r="G101">
        <v>32</v>
      </c>
      <c r="H101" t="s">
        <v>16</v>
      </c>
      <c r="I101" t="s">
        <v>350</v>
      </c>
      <c r="J101" t="s">
        <v>32</v>
      </c>
    </row>
    <row r="102" spans="1:10" x14ac:dyDescent="0.25">
      <c r="A102" t="s">
        <v>351</v>
      </c>
      <c r="B102" t="s">
        <v>55</v>
      </c>
      <c r="C102" t="s">
        <v>41</v>
      </c>
      <c r="D102" t="s">
        <v>352</v>
      </c>
      <c r="E102" t="s">
        <v>23</v>
      </c>
      <c r="F102" t="s">
        <v>24</v>
      </c>
      <c r="G102">
        <v>58</v>
      </c>
      <c r="H102" t="s">
        <v>16</v>
      </c>
      <c r="I102" t="s">
        <v>353</v>
      </c>
      <c r="J102" t="s">
        <v>32</v>
      </c>
    </row>
    <row r="103" spans="1:10" x14ac:dyDescent="0.25">
      <c r="A103" t="s">
        <v>354</v>
      </c>
      <c r="B103" t="s">
        <v>86</v>
      </c>
      <c r="C103" t="s">
        <v>21</v>
      </c>
      <c r="D103" t="s">
        <v>355</v>
      </c>
      <c r="E103" t="s">
        <v>23</v>
      </c>
      <c r="F103" t="s">
        <v>24</v>
      </c>
      <c r="G103">
        <v>57</v>
      </c>
      <c r="H103" t="s">
        <v>38</v>
      </c>
      <c r="I103" t="s">
        <v>356</v>
      </c>
      <c r="J103" t="s">
        <v>32</v>
      </c>
    </row>
    <row r="104" spans="1:10" x14ac:dyDescent="0.25">
      <c r="A104" t="s">
        <v>357</v>
      </c>
      <c r="B104" t="s">
        <v>140</v>
      </c>
      <c r="C104" t="s">
        <v>12</v>
      </c>
      <c r="D104" t="s">
        <v>358</v>
      </c>
      <c r="E104" t="s">
        <v>82</v>
      </c>
      <c r="F104" t="s">
        <v>83</v>
      </c>
      <c r="G104">
        <v>47</v>
      </c>
      <c r="H104" t="s">
        <v>16</v>
      </c>
      <c r="I104" t="s">
        <v>359</v>
      </c>
      <c r="J104" t="s">
        <v>32</v>
      </c>
    </row>
    <row r="105" spans="1:10" x14ac:dyDescent="0.25">
      <c r="A105" t="s">
        <v>360</v>
      </c>
      <c r="B105" t="s">
        <v>117</v>
      </c>
      <c r="C105" t="s">
        <v>75</v>
      </c>
      <c r="D105" t="s">
        <v>361</v>
      </c>
      <c r="E105" t="s">
        <v>23</v>
      </c>
      <c r="F105" t="s">
        <v>24</v>
      </c>
      <c r="G105">
        <v>59</v>
      </c>
      <c r="H105" t="s">
        <v>16</v>
      </c>
      <c r="I105" t="s">
        <v>362</v>
      </c>
      <c r="J105" t="s">
        <v>32</v>
      </c>
    </row>
    <row r="106" spans="1:10" x14ac:dyDescent="0.25">
      <c r="A106" t="s">
        <v>363</v>
      </c>
      <c r="B106" t="s">
        <v>86</v>
      </c>
      <c r="C106" t="s">
        <v>75</v>
      </c>
      <c r="D106" t="s">
        <v>364</v>
      </c>
      <c r="E106" t="s">
        <v>105</v>
      </c>
      <c r="F106" t="s">
        <v>37</v>
      </c>
      <c r="G106">
        <v>53</v>
      </c>
      <c r="H106" t="s">
        <v>16</v>
      </c>
      <c r="I106" t="s">
        <v>365</v>
      </c>
      <c r="J106" t="s">
        <v>32</v>
      </c>
    </row>
    <row r="107" spans="1:10" x14ac:dyDescent="0.25">
      <c r="A107" t="s">
        <v>366</v>
      </c>
      <c r="B107" t="s">
        <v>90</v>
      </c>
      <c r="C107" t="s">
        <v>41</v>
      </c>
      <c r="D107" t="s">
        <v>367</v>
      </c>
      <c r="E107" t="s">
        <v>62</v>
      </c>
      <c r="F107" t="s">
        <v>63</v>
      </c>
      <c r="G107">
        <v>21</v>
      </c>
      <c r="H107" t="s">
        <v>38</v>
      </c>
      <c r="I107" t="s">
        <v>368</v>
      </c>
      <c r="J107" t="s">
        <v>18</v>
      </c>
    </row>
    <row r="108" spans="1:10" x14ac:dyDescent="0.25">
      <c r="A108" t="s">
        <v>369</v>
      </c>
      <c r="B108" t="s">
        <v>90</v>
      </c>
      <c r="C108" t="s">
        <v>50</v>
      </c>
      <c r="D108" t="s">
        <v>370</v>
      </c>
      <c r="E108" t="s">
        <v>43</v>
      </c>
      <c r="F108" t="s">
        <v>37</v>
      </c>
      <c r="G108">
        <v>33</v>
      </c>
      <c r="H108" t="s">
        <v>38</v>
      </c>
      <c r="I108" t="s">
        <v>371</v>
      </c>
      <c r="J108" t="s">
        <v>18</v>
      </c>
    </row>
    <row r="109" spans="1:10" x14ac:dyDescent="0.25">
      <c r="A109" t="s">
        <v>372</v>
      </c>
      <c r="B109" t="s">
        <v>90</v>
      </c>
      <c r="C109" t="s">
        <v>21</v>
      </c>
      <c r="D109" t="s">
        <v>373</v>
      </c>
      <c r="E109" t="s">
        <v>30</v>
      </c>
      <c r="F109" t="s">
        <v>24</v>
      </c>
      <c r="G109">
        <v>23</v>
      </c>
      <c r="H109" t="s">
        <v>16</v>
      </c>
      <c r="I109" t="s">
        <v>374</v>
      </c>
      <c r="J109" t="s">
        <v>32</v>
      </c>
    </row>
    <row r="110" spans="1:10" x14ac:dyDescent="0.25">
      <c r="A110" t="s">
        <v>375</v>
      </c>
      <c r="B110" t="s">
        <v>140</v>
      </c>
      <c r="C110" t="s">
        <v>41</v>
      </c>
      <c r="D110" t="s">
        <v>376</v>
      </c>
      <c r="E110" t="s">
        <v>23</v>
      </c>
      <c r="F110" t="s">
        <v>24</v>
      </c>
      <c r="G110">
        <v>38</v>
      </c>
      <c r="H110" t="s">
        <v>16</v>
      </c>
      <c r="I110" t="s">
        <v>377</v>
      </c>
      <c r="J110" t="s">
        <v>26</v>
      </c>
    </row>
    <row r="111" spans="1:10" x14ac:dyDescent="0.25">
      <c r="A111" t="s">
        <v>378</v>
      </c>
      <c r="B111" t="s">
        <v>140</v>
      </c>
      <c r="C111" t="s">
        <v>133</v>
      </c>
      <c r="D111" t="s">
        <v>379</v>
      </c>
      <c r="E111" t="s">
        <v>57</v>
      </c>
      <c r="F111" t="s">
        <v>37</v>
      </c>
      <c r="G111">
        <v>19</v>
      </c>
      <c r="H111" t="s">
        <v>16</v>
      </c>
      <c r="I111" t="s">
        <v>380</v>
      </c>
      <c r="J111" t="s">
        <v>53</v>
      </c>
    </row>
    <row r="112" spans="1:10" x14ac:dyDescent="0.25">
      <c r="A112" t="s">
        <v>381</v>
      </c>
      <c r="B112" t="s">
        <v>90</v>
      </c>
      <c r="C112" t="s">
        <v>41</v>
      </c>
      <c r="D112" t="s">
        <v>382</v>
      </c>
      <c r="E112" t="s">
        <v>30</v>
      </c>
      <c r="F112" t="s">
        <v>24</v>
      </c>
      <c r="G112">
        <v>62</v>
      </c>
      <c r="H112" t="s">
        <v>16</v>
      </c>
      <c r="I112" t="s">
        <v>383</v>
      </c>
      <c r="J112" t="s">
        <v>32</v>
      </c>
    </row>
    <row r="113" spans="1:10" x14ac:dyDescent="0.25">
      <c r="A113" t="s">
        <v>384</v>
      </c>
      <c r="B113" t="s">
        <v>140</v>
      </c>
      <c r="C113" t="s">
        <v>41</v>
      </c>
      <c r="D113" t="s">
        <v>385</v>
      </c>
      <c r="E113" t="s">
        <v>36</v>
      </c>
      <c r="F113" t="s">
        <v>37</v>
      </c>
      <c r="G113">
        <v>33</v>
      </c>
      <c r="H113" t="s">
        <v>38</v>
      </c>
      <c r="I113" t="s">
        <v>386</v>
      </c>
      <c r="J113" t="s">
        <v>32</v>
      </c>
    </row>
    <row r="114" spans="1:10" x14ac:dyDescent="0.25">
      <c r="A114" t="s">
        <v>387</v>
      </c>
      <c r="B114" t="s">
        <v>20</v>
      </c>
      <c r="C114" t="s">
        <v>21</v>
      </c>
      <c r="D114" t="s">
        <v>388</v>
      </c>
      <c r="E114" t="s">
        <v>77</v>
      </c>
      <c r="F114" t="s">
        <v>78</v>
      </c>
      <c r="G114">
        <v>36</v>
      </c>
      <c r="H114" t="s">
        <v>16</v>
      </c>
      <c r="I114" t="s">
        <v>389</v>
      </c>
      <c r="J114" t="s">
        <v>32</v>
      </c>
    </row>
    <row r="115" spans="1:10" x14ac:dyDescent="0.25">
      <c r="A115" t="s">
        <v>390</v>
      </c>
      <c r="B115" t="s">
        <v>86</v>
      </c>
      <c r="C115" t="s">
        <v>12</v>
      </c>
      <c r="D115" t="s">
        <v>391</v>
      </c>
      <c r="E115" t="s">
        <v>14</v>
      </c>
      <c r="F115" t="s">
        <v>15</v>
      </c>
      <c r="G115">
        <v>36</v>
      </c>
      <c r="H115" t="s">
        <v>38</v>
      </c>
      <c r="I115" t="s">
        <v>392</v>
      </c>
      <c r="J115" t="s">
        <v>32</v>
      </c>
    </row>
    <row r="116" spans="1:10" x14ac:dyDescent="0.25">
      <c r="A116" t="s">
        <v>393</v>
      </c>
      <c r="B116" t="s">
        <v>86</v>
      </c>
      <c r="C116" t="s">
        <v>28</v>
      </c>
      <c r="D116" t="s">
        <v>394</v>
      </c>
      <c r="E116" t="s">
        <v>47</v>
      </c>
      <c r="F116" t="s">
        <v>24</v>
      </c>
      <c r="G116">
        <v>25</v>
      </c>
      <c r="H116" t="s">
        <v>16</v>
      </c>
      <c r="I116" t="s">
        <v>395</v>
      </c>
      <c r="J116" t="s">
        <v>18</v>
      </c>
    </row>
    <row r="117" spans="1:10" x14ac:dyDescent="0.25">
      <c r="A117" t="s">
        <v>396</v>
      </c>
      <c r="B117" t="s">
        <v>90</v>
      </c>
      <c r="C117" t="s">
        <v>156</v>
      </c>
      <c r="D117" t="s">
        <v>397</v>
      </c>
      <c r="E117" t="s">
        <v>30</v>
      </c>
      <c r="F117" t="s">
        <v>24</v>
      </c>
      <c r="G117">
        <v>52</v>
      </c>
      <c r="H117" t="s">
        <v>16</v>
      </c>
      <c r="I117" t="s">
        <v>398</v>
      </c>
      <c r="J117" t="s">
        <v>32</v>
      </c>
    </row>
    <row r="118" spans="1:10" x14ac:dyDescent="0.25">
      <c r="A118" t="s">
        <v>399</v>
      </c>
      <c r="B118" t="s">
        <v>55</v>
      </c>
      <c r="C118" t="s">
        <v>91</v>
      </c>
      <c r="D118" t="s">
        <v>400</v>
      </c>
      <c r="E118" t="s">
        <v>23</v>
      </c>
      <c r="F118" t="s">
        <v>24</v>
      </c>
      <c r="G118">
        <v>21</v>
      </c>
      <c r="H118" t="s">
        <v>38</v>
      </c>
      <c r="I118" t="s">
        <v>401</v>
      </c>
      <c r="J118" t="s">
        <v>53</v>
      </c>
    </row>
    <row r="119" spans="1:10" x14ac:dyDescent="0.25">
      <c r="A119" t="s">
        <v>402</v>
      </c>
      <c r="B119" t="s">
        <v>117</v>
      </c>
      <c r="C119" t="s">
        <v>41</v>
      </c>
      <c r="D119" t="s">
        <v>403</v>
      </c>
      <c r="E119" t="s">
        <v>43</v>
      </c>
      <c r="F119" t="s">
        <v>37</v>
      </c>
      <c r="G119">
        <v>62</v>
      </c>
      <c r="H119" t="s">
        <v>38</v>
      </c>
      <c r="I119" t="s">
        <v>404</v>
      </c>
      <c r="J119" t="s">
        <v>53</v>
      </c>
    </row>
    <row r="120" spans="1:10" x14ac:dyDescent="0.25">
      <c r="A120" t="s">
        <v>405</v>
      </c>
      <c r="B120" t="s">
        <v>90</v>
      </c>
      <c r="C120" t="s">
        <v>133</v>
      </c>
      <c r="D120" t="s">
        <v>406</v>
      </c>
      <c r="E120" t="s">
        <v>67</v>
      </c>
      <c r="F120" t="s">
        <v>68</v>
      </c>
      <c r="G120">
        <v>34</v>
      </c>
      <c r="H120" t="s">
        <v>38</v>
      </c>
      <c r="I120" t="s">
        <v>407</v>
      </c>
      <c r="J120" t="s">
        <v>32</v>
      </c>
    </row>
    <row r="121" spans="1:10" x14ac:dyDescent="0.25">
      <c r="A121" t="s">
        <v>408</v>
      </c>
      <c r="B121" t="s">
        <v>140</v>
      </c>
      <c r="C121" t="s">
        <v>12</v>
      </c>
      <c r="D121" t="s">
        <v>409</v>
      </c>
      <c r="E121" t="s">
        <v>43</v>
      </c>
      <c r="F121" t="s">
        <v>37</v>
      </c>
      <c r="G121">
        <v>58</v>
      </c>
      <c r="H121" t="s">
        <v>38</v>
      </c>
      <c r="I121" t="s">
        <v>410</v>
      </c>
      <c r="J121" t="s">
        <v>32</v>
      </c>
    </row>
    <row r="122" spans="1:10" x14ac:dyDescent="0.25">
      <c r="A122" t="s">
        <v>411</v>
      </c>
      <c r="B122" t="s">
        <v>117</v>
      </c>
      <c r="C122" t="s">
        <v>21</v>
      </c>
      <c r="D122" t="s">
        <v>412</v>
      </c>
      <c r="E122" t="s">
        <v>23</v>
      </c>
      <c r="F122" t="s">
        <v>24</v>
      </c>
      <c r="G122">
        <v>21</v>
      </c>
      <c r="H122" t="s">
        <v>16</v>
      </c>
      <c r="I122" t="s">
        <v>413</v>
      </c>
      <c r="J122" t="s">
        <v>53</v>
      </c>
    </row>
    <row r="123" spans="1:10" x14ac:dyDescent="0.25">
      <c r="A123" t="s">
        <v>414</v>
      </c>
      <c r="B123" t="s">
        <v>60</v>
      </c>
      <c r="C123" t="s">
        <v>133</v>
      </c>
      <c r="D123" t="s">
        <v>415</v>
      </c>
      <c r="E123" t="s">
        <v>105</v>
      </c>
      <c r="F123" t="s">
        <v>37</v>
      </c>
      <c r="G123">
        <v>59</v>
      </c>
      <c r="H123" t="s">
        <v>38</v>
      </c>
      <c r="I123" t="s">
        <v>416</v>
      </c>
      <c r="J123" t="s">
        <v>53</v>
      </c>
    </row>
    <row r="124" spans="1:10" x14ac:dyDescent="0.25">
      <c r="A124" t="s">
        <v>417</v>
      </c>
      <c r="B124" t="s">
        <v>60</v>
      </c>
      <c r="C124" t="s">
        <v>75</v>
      </c>
      <c r="D124" t="s">
        <v>418</v>
      </c>
      <c r="E124" t="s">
        <v>14</v>
      </c>
      <c r="F124" t="s">
        <v>15</v>
      </c>
      <c r="G124">
        <v>18</v>
      </c>
      <c r="H124" t="s">
        <v>16</v>
      </c>
      <c r="I124" t="s">
        <v>419</v>
      </c>
      <c r="J124" t="s">
        <v>26</v>
      </c>
    </row>
    <row r="125" spans="1:10" x14ac:dyDescent="0.25">
      <c r="A125" t="s">
        <v>420</v>
      </c>
      <c r="B125" t="s">
        <v>90</v>
      </c>
      <c r="C125" t="s">
        <v>50</v>
      </c>
      <c r="D125" t="s">
        <v>421</v>
      </c>
      <c r="E125" t="s">
        <v>57</v>
      </c>
      <c r="F125" t="s">
        <v>37</v>
      </c>
      <c r="G125">
        <v>62</v>
      </c>
      <c r="H125" t="s">
        <v>38</v>
      </c>
      <c r="I125" t="s">
        <v>422</v>
      </c>
      <c r="J125" t="s">
        <v>18</v>
      </c>
    </row>
    <row r="126" spans="1:10" x14ac:dyDescent="0.25">
      <c r="A126" t="s">
        <v>423</v>
      </c>
      <c r="B126" t="s">
        <v>34</v>
      </c>
      <c r="C126" t="s">
        <v>50</v>
      </c>
      <c r="D126" t="s">
        <v>424</v>
      </c>
      <c r="E126" t="s">
        <v>36</v>
      </c>
      <c r="F126" t="s">
        <v>37</v>
      </c>
      <c r="G126">
        <v>47</v>
      </c>
      <c r="H126" t="s">
        <v>38</v>
      </c>
      <c r="I126" t="s">
        <v>425</v>
      </c>
      <c r="J126" t="s">
        <v>26</v>
      </c>
    </row>
    <row r="127" spans="1:10" x14ac:dyDescent="0.25">
      <c r="A127" t="s">
        <v>426</v>
      </c>
      <c r="B127" t="s">
        <v>55</v>
      </c>
      <c r="C127" t="s">
        <v>156</v>
      </c>
      <c r="D127" t="s">
        <v>427</v>
      </c>
      <c r="E127" t="s">
        <v>82</v>
      </c>
      <c r="F127" t="s">
        <v>83</v>
      </c>
      <c r="G127">
        <v>31</v>
      </c>
      <c r="H127" t="s">
        <v>16</v>
      </c>
      <c r="I127" t="s">
        <v>428</v>
      </c>
      <c r="J127" t="s">
        <v>32</v>
      </c>
    </row>
    <row r="128" spans="1:10" x14ac:dyDescent="0.25">
      <c r="A128" t="s">
        <v>429</v>
      </c>
      <c r="B128" t="s">
        <v>90</v>
      </c>
      <c r="C128" t="s">
        <v>75</v>
      </c>
      <c r="D128" t="s">
        <v>430</v>
      </c>
      <c r="E128" t="s">
        <v>14</v>
      </c>
      <c r="F128" t="s">
        <v>15</v>
      </c>
      <c r="G128">
        <v>46</v>
      </c>
      <c r="H128" t="s">
        <v>38</v>
      </c>
      <c r="I128" t="s">
        <v>431</v>
      </c>
      <c r="J128" t="s">
        <v>32</v>
      </c>
    </row>
    <row r="129" spans="1:10" x14ac:dyDescent="0.25">
      <c r="A129" t="s">
        <v>432</v>
      </c>
      <c r="B129" t="s">
        <v>140</v>
      </c>
      <c r="C129" t="s">
        <v>133</v>
      </c>
      <c r="D129" t="s">
        <v>433</v>
      </c>
      <c r="E129" t="s">
        <v>23</v>
      </c>
      <c r="F129" t="s">
        <v>24</v>
      </c>
      <c r="G129">
        <v>59</v>
      </c>
      <c r="H129" t="s">
        <v>38</v>
      </c>
      <c r="I129" t="s">
        <v>434</v>
      </c>
      <c r="J129" t="s">
        <v>53</v>
      </c>
    </row>
    <row r="130" spans="1:10" x14ac:dyDescent="0.25">
      <c r="A130" t="s">
        <v>435</v>
      </c>
      <c r="B130" t="s">
        <v>11</v>
      </c>
      <c r="C130" t="s">
        <v>50</v>
      </c>
      <c r="D130" t="s">
        <v>436</v>
      </c>
      <c r="E130" t="s">
        <v>23</v>
      </c>
      <c r="F130" t="s">
        <v>24</v>
      </c>
      <c r="G130">
        <v>29</v>
      </c>
      <c r="H130" t="s">
        <v>16</v>
      </c>
      <c r="I130" t="s">
        <v>131</v>
      </c>
      <c r="J130" t="s">
        <v>18</v>
      </c>
    </row>
    <row r="131" spans="1:10" x14ac:dyDescent="0.25">
      <c r="A131" t="s">
        <v>437</v>
      </c>
      <c r="B131" t="s">
        <v>55</v>
      </c>
      <c r="C131" t="s">
        <v>41</v>
      </c>
      <c r="D131" t="s">
        <v>438</v>
      </c>
      <c r="E131" t="s">
        <v>14</v>
      </c>
      <c r="F131" t="s">
        <v>15</v>
      </c>
      <c r="G131">
        <v>20</v>
      </c>
      <c r="H131" t="s">
        <v>38</v>
      </c>
      <c r="I131" t="s">
        <v>439</v>
      </c>
      <c r="J131" t="s">
        <v>32</v>
      </c>
    </row>
    <row r="132" spans="1:10" x14ac:dyDescent="0.25">
      <c r="A132" t="s">
        <v>440</v>
      </c>
      <c r="B132" t="s">
        <v>60</v>
      </c>
      <c r="C132" t="s">
        <v>91</v>
      </c>
      <c r="D132" t="s">
        <v>441</v>
      </c>
      <c r="E132" t="s">
        <v>36</v>
      </c>
      <c r="F132" t="s">
        <v>37</v>
      </c>
      <c r="G132">
        <v>39</v>
      </c>
      <c r="H132" t="s">
        <v>16</v>
      </c>
      <c r="I132" t="s">
        <v>442</v>
      </c>
      <c r="J132" t="s">
        <v>32</v>
      </c>
    </row>
    <row r="133" spans="1:10" x14ac:dyDescent="0.25">
      <c r="A133" t="s">
        <v>443</v>
      </c>
      <c r="B133" t="s">
        <v>55</v>
      </c>
      <c r="C133" t="s">
        <v>91</v>
      </c>
      <c r="D133" t="s">
        <v>444</v>
      </c>
      <c r="E133" t="s">
        <v>23</v>
      </c>
      <c r="F133" t="s">
        <v>24</v>
      </c>
      <c r="G133">
        <v>47</v>
      </c>
      <c r="H133" t="s">
        <v>38</v>
      </c>
      <c r="I133" t="s">
        <v>445</v>
      </c>
      <c r="J133" t="s">
        <v>53</v>
      </c>
    </row>
    <row r="134" spans="1:10" x14ac:dyDescent="0.25">
      <c r="A134" t="s">
        <v>446</v>
      </c>
      <c r="B134" t="s">
        <v>86</v>
      </c>
      <c r="C134" t="s">
        <v>41</v>
      </c>
      <c r="D134" t="s">
        <v>447</v>
      </c>
      <c r="E134" t="s">
        <v>57</v>
      </c>
      <c r="F134" t="s">
        <v>37</v>
      </c>
      <c r="G134">
        <v>41</v>
      </c>
      <c r="H134" t="s">
        <v>16</v>
      </c>
      <c r="I134" t="s">
        <v>448</v>
      </c>
      <c r="J134" t="s">
        <v>53</v>
      </c>
    </row>
    <row r="135" spans="1:10" x14ac:dyDescent="0.25">
      <c r="A135" t="s">
        <v>449</v>
      </c>
      <c r="B135" t="s">
        <v>117</v>
      </c>
      <c r="C135" t="s">
        <v>75</v>
      </c>
      <c r="D135" t="s">
        <v>450</v>
      </c>
      <c r="E135" t="s">
        <v>14</v>
      </c>
      <c r="F135" t="s">
        <v>15</v>
      </c>
      <c r="G135">
        <v>57</v>
      </c>
      <c r="H135" t="s">
        <v>38</v>
      </c>
      <c r="I135" t="s">
        <v>451</v>
      </c>
      <c r="J135" t="s">
        <v>53</v>
      </c>
    </row>
    <row r="136" spans="1:10" x14ac:dyDescent="0.25">
      <c r="A136" t="s">
        <v>452</v>
      </c>
      <c r="B136" t="s">
        <v>86</v>
      </c>
      <c r="C136" t="s">
        <v>50</v>
      </c>
      <c r="D136" t="s">
        <v>453</v>
      </c>
      <c r="E136" t="s">
        <v>30</v>
      </c>
      <c r="F136" t="s">
        <v>24</v>
      </c>
      <c r="G136">
        <v>43</v>
      </c>
      <c r="H136" t="s">
        <v>16</v>
      </c>
      <c r="I136" t="s">
        <v>454</v>
      </c>
      <c r="J136" t="s">
        <v>32</v>
      </c>
    </row>
    <row r="137" spans="1:10" x14ac:dyDescent="0.25">
      <c r="A137" t="s">
        <v>455</v>
      </c>
      <c r="B137" t="s">
        <v>55</v>
      </c>
      <c r="C137" t="s">
        <v>50</v>
      </c>
      <c r="D137" t="s">
        <v>456</v>
      </c>
      <c r="E137" t="s">
        <v>36</v>
      </c>
      <c r="F137" t="s">
        <v>37</v>
      </c>
      <c r="G137">
        <v>36</v>
      </c>
      <c r="H137" t="s">
        <v>38</v>
      </c>
      <c r="I137" t="s">
        <v>457</v>
      </c>
      <c r="J137" t="s">
        <v>32</v>
      </c>
    </row>
    <row r="138" spans="1:10" x14ac:dyDescent="0.25">
      <c r="A138" t="s">
        <v>458</v>
      </c>
      <c r="B138" t="s">
        <v>117</v>
      </c>
      <c r="C138" t="s">
        <v>50</v>
      </c>
      <c r="D138" t="s">
        <v>459</v>
      </c>
      <c r="E138" t="s">
        <v>14</v>
      </c>
      <c r="F138" t="s">
        <v>15</v>
      </c>
      <c r="G138">
        <v>25</v>
      </c>
      <c r="H138" t="s">
        <v>38</v>
      </c>
      <c r="I138" t="s">
        <v>460</v>
      </c>
      <c r="J138" t="s">
        <v>26</v>
      </c>
    </row>
    <row r="139" spans="1:10" x14ac:dyDescent="0.25">
      <c r="A139" t="s">
        <v>461</v>
      </c>
      <c r="B139" t="s">
        <v>140</v>
      </c>
      <c r="C139" t="s">
        <v>133</v>
      </c>
      <c r="D139" t="s">
        <v>462</v>
      </c>
      <c r="E139" t="s">
        <v>62</v>
      </c>
      <c r="F139" t="s">
        <v>63</v>
      </c>
      <c r="G139">
        <v>34</v>
      </c>
      <c r="H139" t="s">
        <v>38</v>
      </c>
      <c r="I139" t="s">
        <v>359</v>
      </c>
      <c r="J139" t="s">
        <v>53</v>
      </c>
    </row>
    <row r="140" spans="1:10" x14ac:dyDescent="0.25">
      <c r="A140" t="s">
        <v>463</v>
      </c>
      <c r="B140" t="s">
        <v>90</v>
      </c>
      <c r="C140" t="s">
        <v>133</v>
      </c>
      <c r="D140" t="s">
        <v>464</v>
      </c>
      <c r="E140" t="s">
        <v>82</v>
      </c>
      <c r="F140" t="s">
        <v>83</v>
      </c>
      <c r="G140">
        <v>64</v>
      </c>
      <c r="H140" t="s">
        <v>16</v>
      </c>
      <c r="I140" t="s">
        <v>460</v>
      </c>
      <c r="J140" t="s">
        <v>26</v>
      </c>
    </row>
    <row r="141" spans="1:10" x14ac:dyDescent="0.25">
      <c r="A141" t="s">
        <v>465</v>
      </c>
      <c r="B141" t="s">
        <v>60</v>
      </c>
      <c r="C141" t="s">
        <v>133</v>
      </c>
      <c r="D141" t="s">
        <v>466</v>
      </c>
      <c r="E141" t="s">
        <v>82</v>
      </c>
      <c r="F141" t="s">
        <v>83</v>
      </c>
      <c r="G141">
        <v>35</v>
      </c>
      <c r="H141" t="s">
        <v>16</v>
      </c>
      <c r="I141" t="s">
        <v>467</v>
      </c>
      <c r="J141" t="s">
        <v>32</v>
      </c>
    </row>
    <row r="142" spans="1:10" x14ac:dyDescent="0.25">
      <c r="A142" t="s">
        <v>468</v>
      </c>
      <c r="B142" t="s">
        <v>74</v>
      </c>
      <c r="C142" t="s">
        <v>75</v>
      </c>
      <c r="D142" t="s">
        <v>469</v>
      </c>
      <c r="E142" t="s">
        <v>105</v>
      </c>
      <c r="F142" t="s">
        <v>37</v>
      </c>
      <c r="G142">
        <v>62</v>
      </c>
      <c r="H142" t="s">
        <v>38</v>
      </c>
      <c r="I142" t="s">
        <v>470</v>
      </c>
      <c r="J142" t="s">
        <v>32</v>
      </c>
    </row>
    <row r="143" spans="1:10" x14ac:dyDescent="0.25">
      <c r="A143" t="s">
        <v>471</v>
      </c>
      <c r="B143" t="s">
        <v>20</v>
      </c>
      <c r="C143" t="s">
        <v>133</v>
      </c>
      <c r="D143" t="s">
        <v>472</v>
      </c>
      <c r="E143" t="s">
        <v>30</v>
      </c>
      <c r="F143" t="s">
        <v>24</v>
      </c>
      <c r="G143">
        <v>24</v>
      </c>
      <c r="H143" t="s">
        <v>16</v>
      </c>
      <c r="I143" t="s">
        <v>473</v>
      </c>
      <c r="J143" t="s">
        <v>53</v>
      </c>
    </row>
    <row r="144" spans="1:10" x14ac:dyDescent="0.25">
      <c r="A144" t="s">
        <v>474</v>
      </c>
      <c r="B144" t="s">
        <v>20</v>
      </c>
      <c r="C144" t="s">
        <v>50</v>
      </c>
      <c r="D144" t="s">
        <v>475</v>
      </c>
      <c r="E144" t="s">
        <v>23</v>
      </c>
      <c r="F144" t="s">
        <v>24</v>
      </c>
      <c r="G144">
        <v>56</v>
      </c>
      <c r="H144" t="s">
        <v>16</v>
      </c>
      <c r="I144" t="s">
        <v>476</v>
      </c>
      <c r="J144" t="s">
        <v>53</v>
      </c>
    </row>
    <row r="145" spans="1:10" x14ac:dyDescent="0.25">
      <c r="A145" t="s">
        <v>477</v>
      </c>
      <c r="B145" t="s">
        <v>55</v>
      </c>
      <c r="C145" t="s">
        <v>156</v>
      </c>
      <c r="D145" t="s">
        <v>478</v>
      </c>
      <c r="E145" t="s">
        <v>14</v>
      </c>
      <c r="F145" t="s">
        <v>15</v>
      </c>
      <c r="G145">
        <v>62</v>
      </c>
      <c r="H145" t="s">
        <v>16</v>
      </c>
      <c r="I145" t="s">
        <v>479</v>
      </c>
      <c r="J145" t="s">
        <v>32</v>
      </c>
    </row>
    <row r="146" spans="1:10" x14ac:dyDescent="0.25">
      <c r="A146" t="s">
        <v>480</v>
      </c>
      <c r="B146" t="s">
        <v>74</v>
      </c>
      <c r="C146" t="s">
        <v>156</v>
      </c>
      <c r="D146" t="s">
        <v>481</v>
      </c>
      <c r="E146" t="s">
        <v>43</v>
      </c>
      <c r="F146" t="s">
        <v>37</v>
      </c>
      <c r="G146">
        <v>32</v>
      </c>
      <c r="H146" t="s">
        <v>16</v>
      </c>
      <c r="I146" t="s">
        <v>482</v>
      </c>
      <c r="J146" t="s">
        <v>32</v>
      </c>
    </row>
    <row r="147" spans="1:10" x14ac:dyDescent="0.25">
      <c r="A147" t="s">
        <v>483</v>
      </c>
      <c r="B147" t="s">
        <v>90</v>
      </c>
      <c r="C147" t="s">
        <v>133</v>
      </c>
      <c r="D147" t="s">
        <v>484</v>
      </c>
      <c r="E147" t="s">
        <v>82</v>
      </c>
      <c r="F147" t="s">
        <v>83</v>
      </c>
      <c r="G147">
        <v>63</v>
      </c>
      <c r="H147" t="s">
        <v>16</v>
      </c>
      <c r="I147" t="s">
        <v>485</v>
      </c>
      <c r="J147" t="s">
        <v>53</v>
      </c>
    </row>
    <row r="148" spans="1:10" x14ac:dyDescent="0.25">
      <c r="A148" t="s">
        <v>486</v>
      </c>
      <c r="B148" t="s">
        <v>90</v>
      </c>
      <c r="C148" t="s">
        <v>91</v>
      </c>
      <c r="D148" t="s">
        <v>487</v>
      </c>
      <c r="E148" t="s">
        <v>62</v>
      </c>
      <c r="F148" t="s">
        <v>63</v>
      </c>
      <c r="G148">
        <v>35</v>
      </c>
      <c r="H148" t="s">
        <v>16</v>
      </c>
      <c r="I148" t="s">
        <v>488</v>
      </c>
      <c r="J148" t="s">
        <v>32</v>
      </c>
    </row>
    <row r="149" spans="1:10" x14ac:dyDescent="0.25">
      <c r="A149" t="s">
        <v>489</v>
      </c>
      <c r="B149" t="s">
        <v>20</v>
      </c>
      <c r="C149" t="s">
        <v>50</v>
      </c>
      <c r="D149" t="s">
        <v>490</v>
      </c>
      <c r="E149" t="s">
        <v>43</v>
      </c>
      <c r="F149" t="s">
        <v>37</v>
      </c>
      <c r="G149">
        <v>40</v>
      </c>
      <c r="H149" t="s">
        <v>16</v>
      </c>
      <c r="I149" t="s">
        <v>491</v>
      </c>
      <c r="J149" t="s">
        <v>18</v>
      </c>
    </row>
    <row r="150" spans="1:10" x14ac:dyDescent="0.25">
      <c r="A150" t="s">
        <v>492</v>
      </c>
      <c r="B150" t="s">
        <v>55</v>
      </c>
      <c r="C150" t="s">
        <v>156</v>
      </c>
      <c r="D150" t="s">
        <v>493</v>
      </c>
      <c r="E150" t="s">
        <v>30</v>
      </c>
      <c r="F150" t="s">
        <v>24</v>
      </c>
      <c r="G150">
        <v>27</v>
      </c>
      <c r="H150" t="s">
        <v>16</v>
      </c>
      <c r="I150" t="s">
        <v>494</v>
      </c>
      <c r="J150" t="s">
        <v>32</v>
      </c>
    </row>
    <row r="151" spans="1:10" x14ac:dyDescent="0.25">
      <c r="A151" t="s">
        <v>495</v>
      </c>
      <c r="B151" t="s">
        <v>117</v>
      </c>
      <c r="C151" t="s">
        <v>28</v>
      </c>
      <c r="D151" t="s">
        <v>496</v>
      </c>
      <c r="E151" t="s">
        <v>77</v>
      </c>
      <c r="F151" t="s">
        <v>78</v>
      </c>
      <c r="G151">
        <v>21</v>
      </c>
      <c r="H151" t="s">
        <v>16</v>
      </c>
      <c r="I151" t="s">
        <v>497</v>
      </c>
      <c r="J151" t="s">
        <v>32</v>
      </c>
    </row>
    <row r="152" spans="1:10" x14ac:dyDescent="0.25">
      <c r="A152" t="s">
        <v>498</v>
      </c>
      <c r="B152" t="s">
        <v>34</v>
      </c>
      <c r="C152" t="s">
        <v>12</v>
      </c>
      <c r="D152" t="s">
        <v>499</v>
      </c>
      <c r="E152" t="s">
        <v>36</v>
      </c>
      <c r="F152" t="s">
        <v>37</v>
      </c>
      <c r="G152">
        <v>59</v>
      </c>
      <c r="H152" t="s">
        <v>38</v>
      </c>
      <c r="I152" t="s">
        <v>500</v>
      </c>
      <c r="J152" t="s">
        <v>53</v>
      </c>
    </row>
    <row r="153" spans="1:10" x14ac:dyDescent="0.25">
      <c r="A153" t="s">
        <v>501</v>
      </c>
      <c r="B153" t="s">
        <v>20</v>
      </c>
      <c r="C153" t="s">
        <v>91</v>
      </c>
      <c r="D153" t="s">
        <v>502</v>
      </c>
      <c r="E153" t="s">
        <v>57</v>
      </c>
      <c r="F153" t="s">
        <v>37</v>
      </c>
      <c r="G153">
        <v>55</v>
      </c>
      <c r="H153" t="s">
        <v>38</v>
      </c>
      <c r="I153" t="s">
        <v>503</v>
      </c>
      <c r="J153" t="s">
        <v>53</v>
      </c>
    </row>
    <row r="154" spans="1:10" x14ac:dyDescent="0.25">
      <c r="A154" t="s">
        <v>504</v>
      </c>
      <c r="B154" t="s">
        <v>86</v>
      </c>
      <c r="C154" t="s">
        <v>156</v>
      </c>
      <c r="D154" t="s">
        <v>505</v>
      </c>
      <c r="E154" t="s">
        <v>62</v>
      </c>
      <c r="F154" t="s">
        <v>63</v>
      </c>
      <c r="G154">
        <v>55</v>
      </c>
      <c r="H154" t="s">
        <v>38</v>
      </c>
      <c r="I154" t="s">
        <v>292</v>
      </c>
      <c r="J154" t="s">
        <v>53</v>
      </c>
    </row>
    <row r="155" spans="1:10" x14ac:dyDescent="0.25">
      <c r="A155" t="s">
        <v>506</v>
      </c>
      <c r="B155" t="s">
        <v>140</v>
      </c>
      <c r="C155" t="s">
        <v>41</v>
      </c>
      <c r="D155" t="s">
        <v>507</v>
      </c>
      <c r="E155" t="s">
        <v>57</v>
      </c>
      <c r="F155" t="s">
        <v>37</v>
      </c>
      <c r="G155">
        <v>35</v>
      </c>
      <c r="H155" t="s">
        <v>16</v>
      </c>
      <c r="I155" t="s">
        <v>445</v>
      </c>
      <c r="J155" t="s">
        <v>53</v>
      </c>
    </row>
    <row r="156" spans="1:10" x14ac:dyDescent="0.25">
      <c r="A156" t="s">
        <v>508</v>
      </c>
      <c r="B156" t="s">
        <v>86</v>
      </c>
      <c r="C156" t="s">
        <v>41</v>
      </c>
      <c r="D156" t="s">
        <v>509</v>
      </c>
      <c r="E156" t="s">
        <v>47</v>
      </c>
      <c r="F156" t="s">
        <v>24</v>
      </c>
      <c r="G156">
        <v>25</v>
      </c>
      <c r="H156" t="s">
        <v>38</v>
      </c>
      <c r="I156" t="s">
        <v>510</v>
      </c>
      <c r="J156" t="s">
        <v>32</v>
      </c>
    </row>
    <row r="157" spans="1:10" x14ac:dyDescent="0.25">
      <c r="A157" t="s">
        <v>511</v>
      </c>
      <c r="B157" t="s">
        <v>20</v>
      </c>
      <c r="C157" t="s">
        <v>21</v>
      </c>
      <c r="D157" t="s">
        <v>512</v>
      </c>
      <c r="E157" t="s">
        <v>57</v>
      </c>
      <c r="F157" t="s">
        <v>37</v>
      </c>
      <c r="G157">
        <v>20</v>
      </c>
      <c r="H157" t="s">
        <v>38</v>
      </c>
      <c r="I157" t="s">
        <v>513</v>
      </c>
      <c r="J157" t="s">
        <v>32</v>
      </c>
    </row>
    <row r="158" spans="1:10" x14ac:dyDescent="0.25">
      <c r="A158" t="s">
        <v>514</v>
      </c>
      <c r="B158" t="s">
        <v>34</v>
      </c>
      <c r="C158" t="s">
        <v>50</v>
      </c>
      <c r="D158" t="s">
        <v>515</v>
      </c>
      <c r="E158" t="s">
        <v>62</v>
      </c>
      <c r="F158" t="s">
        <v>63</v>
      </c>
      <c r="G158">
        <v>61</v>
      </c>
      <c r="H158" t="s">
        <v>38</v>
      </c>
      <c r="I158" t="s">
        <v>516</v>
      </c>
      <c r="J158" t="s">
        <v>53</v>
      </c>
    </row>
    <row r="159" spans="1:10" x14ac:dyDescent="0.25">
      <c r="A159" t="s">
        <v>517</v>
      </c>
      <c r="B159" t="s">
        <v>60</v>
      </c>
      <c r="C159" t="s">
        <v>91</v>
      </c>
      <c r="D159" t="s">
        <v>518</v>
      </c>
      <c r="E159" t="s">
        <v>82</v>
      </c>
      <c r="F159" t="s">
        <v>83</v>
      </c>
      <c r="G159">
        <v>34</v>
      </c>
      <c r="H159" t="s">
        <v>38</v>
      </c>
      <c r="I159" t="s">
        <v>519</v>
      </c>
      <c r="J159" t="s">
        <v>18</v>
      </c>
    </row>
    <row r="160" spans="1:10" x14ac:dyDescent="0.25">
      <c r="A160" t="s">
        <v>520</v>
      </c>
      <c r="B160" t="s">
        <v>140</v>
      </c>
      <c r="C160" t="s">
        <v>41</v>
      </c>
      <c r="D160" t="s">
        <v>521</v>
      </c>
      <c r="E160" t="s">
        <v>105</v>
      </c>
      <c r="F160" t="s">
        <v>37</v>
      </c>
      <c r="G160">
        <v>59</v>
      </c>
      <c r="H160" t="s">
        <v>16</v>
      </c>
      <c r="I160" t="s">
        <v>522</v>
      </c>
      <c r="J160" t="s">
        <v>53</v>
      </c>
    </row>
    <row r="161" spans="1:10" x14ac:dyDescent="0.25">
      <c r="A161" t="s">
        <v>523</v>
      </c>
      <c r="B161" t="s">
        <v>55</v>
      </c>
      <c r="C161" t="s">
        <v>156</v>
      </c>
      <c r="D161" t="s">
        <v>524</v>
      </c>
      <c r="E161" t="s">
        <v>47</v>
      </c>
      <c r="F161" t="s">
        <v>24</v>
      </c>
      <c r="G161">
        <v>47</v>
      </c>
      <c r="H161" t="s">
        <v>16</v>
      </c>
      <c r="I161" t="s">
        <v>31</v>
      </c>
      <c r="J161" t="s">
        <v>53</v>
      </c>
    </row>
    <row r="162" spans="1:10" x14ac:dyDescent="0.25">
      <c r="A162" t="s">
        <v>525</v>
      </c>
      <c r="B162" t="s">
        <v>86</v>
      </c>
      <c r="C162" t="s">
        <v>21</v>
      </c>
      <c r="D162" t="s">
        <v>526</v>
      </c>
      <c r="E162" t="s">
        <v>47</v>
      </c>
      <c r="F162" t="s">
        <v>24</v>
      </c>
      <c r="G162">
        <v>36</v>
      </c>
      <c r="H162" t="s">
        <v>38</v>
      </c>
      <c r="I162" t="s">
        <v>527</v>
      </c>
      <c r="J162" t="s">
        <v>32</v>
      </c>
    </row>
    <row r="163" spans="1:10" x14ac:dyDescent="0.25">
      <c r="A163" t="s">
        <v>528</v>
      </c>
      <c r="B163" t="s">
        <v>60</v>
      </c>
      <c r="C163" t="s">
        <v>50</v>
      </c>
      <c r="D163" t="s">
        <v>529</v>
      </c>
      <c r="E163" t="s">
        <v>57</v>
      </c>
      <c r="F163" t="s">
        <v>37</v>
      </c>
      <c r="G163">
        <v>51</v>
      </c>
      <c r="H163" t="s">
        <v>38</v>
      </c>
      <c r="I163" t="s">
        <v>268</v>
      </c>
      <c r="J163" t="s">
        <v>18</v>
      </c>
    </row>
    <row r="164" spans="1:10" x14ac:dyDescent="0.25">
      <c r="A164" t="s">
        <v>530</v>
      </c>
      <c r="B164" t="s">
        <v>60</v>
      </c>
      <c r="C164" t="s">
        <v>156</v>
      </c>
      <c r="D164" t="s">
        <v>531</v>
      </c>
      <c r="E164" t="s">
        <v>30</v>
      </c>
      <c r="F164" t="s">
        <v>24</v>
      </c>
      <c r="G164">
        <v>50</v>
      </c>
      <c r="H164" t="s">
        <v>16</v>
      </c>
      <c r="I164" t="s">
        <v>532</v>
      </c>
      <c r="J164" t="s">
        <v>53</v>
      </c>
    </row>
    <row r="165" spans="1:10" x14ac:dyDescent="0.25">
      <c r="A165" t="s">
        <v>533</v>
      </c>
      <c r="B165" t="s">
        <v>60</v>
      </c>
      <c r="C165" t="s">
        <v>41</v>
      </c>
      <c r="D165" t="s">
        <v>534</v>
      </c>
      <c r="E165" t="s">
        <v>36</v>
      </c>
      <c r="F165" t="s">
        <v>37</v>
      </c>
      <c r="G165">
        <v>41</v>
      </c>
      <c r="H165" t="s">
        <v>38</v>
      </c>
      <c r="I165" t="s">
        <v>535</v>
      </c>
      <c r="J165" t="s">
        <v>26</v>
      </c>
    </row>
    <row r="166" spans="1:10" x14ac:dyDescent="0.25">
      <c r="A166" t="s">
        <v>536</v>
      </c>
      <c r="B166" t="s">
        <v>20</v>
      </c>
      <c r="C166" t="s">
        <v>28</v>
      </c>
      <c r="D166" t="s">
        <v>537</v>
      </c>
      <c r="E166" t="s">
        <v>67</v>
      </c>
      <c r="F166" t="s">
        <v>68</v>
      </c>
      <c r="G166">
        <v>54</v>
      </c>
      <c r="H166" t="s">
        <v>16</v>
      </c>
      <c r="I166" t="s">
        <v>538</v>
      </c>
      <c r="J166" t="s">
        <v>32</v>
      </c>
    </row>
    <row r="167" spans="1:10" x14ac:dyDescent="0.25">
      <c r="A167" t="s">
        <v>539</v>
      </c>
      <c r="B167" t="s">
        <v>140</v>
      </c>
      <c r="C167" t="s">
        <v>12</v>
      </c>
      <c r="D167" t="s">
        <v>540</v>
      </c>
      <c r="E167" t="s">
        <v>82</v>
      </c>
      <c r="F167" t="s">
        <v>83</v>
      </c>
      <c r="G167">
        <v>20</v>
      </c>
      <c r="H167" t="s">
        <v>16</v>
      </c>
      <c r="I167" t="s">
        <v>541</v>
      </c>
      <c r="J167" t="s">
        <v>53</v>
      </c>
    </row>
    <row r="168" spans="1:10" x14ac:dyDescent="0.25">
      <c r="A168" t="s">
        <v>542</v>
      </c>
      <c r="B168" t="s">
        <v>140</v>
      </c>
      <c r="C168" t="s">
        <v>50</v>
      </c>
      <c r="D168" t="s">
        <v>543</v>
      </c>
      <c r="E168" t="s">
        <v>14</v>
      </c>
      <c r="F168" t="s">
        <v>15</v>
      </c>
      <c r="G168">
        <v>25</v>
      </c>
      <c r="H168" t="s">
        <v>16</v>
      </c>
      <c r="I168" t="s">
        <v>544</v>
      </c>
      <c r="J168" t="s">
        <v>53</v>
      </c>
    </row>
    <row r="169" spans="1:10" x14ac:dyDescent="0.25">
      <c r="A169" t="s">
        <v>545</v>
      </c>
      <c r="B169" t="s">
        <v>74</v>
      </c>
      <c r="C169" t="s">
        <v>21</v>
      </c>
      <c r="D169" t="s">
        <v>546</v>
      </c>
      <c r="E169" t="s">
        <v>14</v>
      </c>
      <c r="F169" t="s">
        <v>15</v>
      </c>
      <c r="G169">
        <v>46</v>
      </c>
      <c r="H169" t="s">
        <v>38</v>
      </c>
      <c r="I169" t="s">
        <v>547</v>
      </c>
      <c r="J169" t="s">
        <v>32</v>
      </c>
    </row>
    <row r="170" spans="1:10" x14ac:dyDescent="0.25">
      <c r="A170" t="s">
        <v>548</v>
      </c>
      <c r="B170" t="s">
        <v>90</v>
      </c>
      <c r="C170" t="s">
        <v>91</v>
      </c>
      <c r="D170" t="s">
        <v>549</v>
      </c>
      <c r="E170" t="s">
        <v>67</v>
      </c>
      <c r="F170" t="s">
        <v>68</v>
      </c>
      <c r="G170">
        <v>19</v>
      </c>
      <c r="H170" t="s">
        <v>38</v>
      </c>
      <c r="I170" t="s">
        <v>550</v>
      </c>
      <c r="J170" t="s">
        <v>32</v>
      </c>
    </row>
    <row r="171" spans="1:10" x14ac:dyDescent="0.25">
      <c r="A171" t="s">
        <v>551</v>
      </c>
      <c r="B171" t="s">
        <v>55</v>
      </c>
      <c r="C171" t="s">
        <v>21</v>
      </c>
      <c r="D171" t="s">
        <v>552</v>
      </c>
      <c r="E171" t="s">
        <v>82</v>
      </c>
      <c r="F171" t="s">
        <v>83</v>
      </c>
      <c r="G171">
        <v>28</v>
      </c>
      <c r="H171" t="s">
        <v>16</v>
      </c>
      <c r="I171" t="s">
        <v>553</v>
      </c>
      <c r="J171" t="s">
        <v>32</v>
      </c>
    </row>
    <row r="172" spans="1:10" x14ac:dyDescent="0.25">
      <c r="A172" t="s">
        <v>554</v>
      </c>
      <c r="B172" t="s">
        <v>90</v>
      </c>
      <c r="C172" t="s">
        <v>156</v>
      </c>
      <c r="D172" t="s">
        <v>555</v>
      </c>
      <c r="E172" t="s">
        <v>47</v>
      </c>
      <c r="F172" t="s">
        <v>24</v>
      </c>
      <c r="G172">
        <v>61</v>
      </c>
      <c r="H172" t="s">
        <v>38</v>
      </c>
      <c r="I172" t="s">
        <v>556</v>
      </c>
      <c r="J172" t="s">
        <v>32</v>
      </c>
    </row>
    <row r="173" spans="1:10" x14ac:dyDescent="0.25">
      <c r="A173" t="s">
        <v>557</v>
      </c>
      <c r="B173" t="s">
        <v>55</v>
      </c>
      <c r="C173" t="s">
        <v>133</v>
      </c>
      <c r="D173" t="s">
        <v>558</v>
      </c>
      <c r="E173" t="s">
        <v>77</v>
      </c>
      <c r="F173" t="s">
        <v>78</v>
      </c>
      <c r="G173">
        <v>40</v>
      </c>
      <c r="H173" t="s">
        <v>38</v>
      </c>
      <c r="I173" t="s">
        <v>559</v>
      </c>
      <c r="J173" t="s">
        <v>32</v>
      </c>
    </row>
    <row r="174" spans="1:10" x14ac:dyDescent="0.25">
      <c r="A174" t="s">
        <v>560</v>
      </c>
      <c r="B174" t="s">
        <v>11</v>
      </c>
      <c r="C174" t="s">
        <v>50</v>
      </c>
      <c r="D174" t="s">
        <v>561</v>
      </c>
      <c r="E174" t="s">
        <v>30</v>
      </c>
      <c r="F174" t="s">
        <v>24</v>
      </c>
      <c r="G174">
        <v>50</v>
      </c>
      <c r="H174" t="s">
        <v>38</v>
      </c>
      <c r="I174" t="s">
        <v>562</v>
      </c>
      <c r="J174" t="s">
        <v>32</v>
      </c>
    </row>
    <row r="175" spans="1:10" x14ac:dyDescent="0.25">
      <c r="A175" t="s">
        <v>563</v>
      </c>
      <c r="B175" t="s">
        <v>11</v>
      </c>
      <c r="C175" t="s">
        <v>41</v>
      </c>
      <c r="D175" t="s">
        <v>564</v>
      </c>
      <c r="E175" t="s">
        <v>47</v>
      </c>
      <c r="F175" t="s">
        <v>24</v>
      </c>
      <c r="G175">
        <v>37</v>
      </c>
      <c r="H175" t="s">
        <v>16</v>
      </c>
      <c r="I175" t="s">
        <v>565</v>
      </c>
      <c r="J175" t="s">
        <v>32</v>
      </c>
    </row>
    <row r="176" spans="1:10" x14ac:dyDescent="0.25">
      <c r="A176" t="s">
        <v>566</v>
      </c>
      <c r="B176" t="s">
        <v>86</v>
      </c>
      <c r="C176" t="s">
        <v>21</v>
      </c>
      <c r="D176" t="s">
        <v>567</v>
      </c>
      <c r="E176" t="s">
        <v>77</v>
      </c>
      <c r="F176" t="s">
        <v>78</v>
      </c>
      <c r="G176">
        <v>65</v>
      </c>
      <c r="H176" t="s">
        <v>38</v>
      </c>
      <c r="I176" t="s">
        <v>568</v>
      </c>
      <c r="J176" t="s">
        <v>32</v>
      </c>
    </row>
    <row r="177" spans="1:10" x14ac:dyDescent="0.25">
      <c r="A177" t="s">
        <v>569</v>
      </c>
      <c r="B177" t="s">
        <v>34</v>
      </c>
      <c r="C177" t="s">
        <v>28</v>
      </c>
      <c r="D177" t="s">
        <v>570</v>
      </c>
      <c r="E177" t="s">
        <v>57</v>
      </c>
      <c r="F177" t="s">
        <v>37</v>
      </c>
      <c r="G177">
        <v>22</v>
      </c>
      <c r="H177" t="s">
        <v>38</v>
      </c>
      <c r="I177" t="s">
        <v>571</v>
      </c>
      <c r="J177" t="s">
        <v>32</v>
      </c>
    </row>
    <row r="178" spans="1:10" x14ac:dyDescent="0.25">
      <c r="A178" t="s">
        <v>572</v>
      </c>
      <c r="B178" t="s">
        <v>74</v>
      </c>
      <c r="C178" t="s">
        <v>50</v>
      </c>
      <c r="D178" t="s">
        <v>573</v>
      </c>
      <c r="E178" t="s">
        <v>67</v>
      </c>
      <c r="F178" t="s">
        <v>68</v>
      </c>
      <c r="G178">
        <v>55</v>
      </c>
      <c r="H178" t="s">
        <v>16</v>
      </c>
      <c r="I178" t="s">
        <v>574</v>
      </c>
      <c r="J178" t="s">
        <v>32</v>
      </c>
    </row>
    <row r="179" spans="1:10" x14ac:dyDescent="0.25">
      <c r="A179" t="s">
        <v>575</v>
      </c>
      <c r="B179" t="s">
        <v>60</v>
      </c>
      <c r="C179" t="s">
        <v>91</v>
      </c>
      <c r="D179" t="s">
        <v>576</v>
      </c>
      <c r="E179" t="s">
        <v>57</v>
      </c>
      <c r="F179" t="s">
        <v>37</v>
      </c>
      <c r="G179">
        <v>30</v>
      </c>
      <c r="H179" t="s">
        <v>38</v>
      </c>
      <c r="I179" t="s">
        <v>577</v>
      </c>
      <c r="J179" t="s">
        <v>53</v>
      </c>
    </row>
    <row r="180" spans="1:10" x14ac:dyDescent="0.25">
      <c r="A180" t="s">
        <v>578</v>
      </c>
      <c r="B180" t="s">
        <v>117</v>
      </c>
      <c r="C180" t="s">
        <v>75</v>
      </c>
      <c r="D180" t="s">
        <v>579</v>
      </c>
      <c r="E180" t="s">
        <v>43</v>
      </c>
      <c r="F180" t="s">
        <v>37</v>
      </c>
      <c r="G180">
        <v>46</v>
      </c>
      <c r="H180" t="s">
        <v>16</v>
      </c>
      <c r="I180" t="s">
        <v>580</v>
      </c>
      <c r="J180" t="s">
        <v>32</v>
      </c>
    </row>
    <row r="181" spans="1:10" x14ac:dyDescent="0.25">
      <c r="A181" t="s">
        <v>581</v>
      </c>
      <c r="B181" t="s">
        <v>55</v>
      </c>
      <c r="C181" t="s">
        <v>21</v>
      </c>
      <c r="D181" t="s">
        <v>582</v>
      </c>
      <c r="E181" t="s">
        <v>62</v>
      </c>
      <c r="F181" t="s">
        <v>63</v>
      </c>
      <c r="G181">
        <v>43</v>
      </c>
      <c r="H181" t="s">
        <v>16</v>
      </c>
      <c r="I181" t="s">
        <v>583</v>
      </c>
      <c r="J181" t="s">
        <v>26</v>
      </c>
    </row>
    <row r="182" spans="1:10" x14ac:dyDescent="0.25">
      <c r="A182" t="s">
        <v>584</v>
      </c>
      <c r="B182" t="s">
        <v>90</v>
      </c>
      <c r="C182" t="s">
        <v>12</v>
      </c>
      <c r="D182" t="s">
        <v>585</v>
      </c>
      <c r="E182" t="s">
        <v>14</v>
      </c>
      <c r="F182" t="s">
        <v>15</v>
      </c>
      <c r="G182">
        <v>21</v>
      </c>
      <c r="H182" t="s">
        <v>38</v>
      </c>
      <c r="I182" t="s">
        <v>586</v>
      </c>
      <c r="J182" t="s">
        <v>32</v>
      </c>
    </row>
    <row r="183" spans="1:10" x14ac:dyDescent="0.25">
      <c r="A183" t="s">
        <v>587</v>
      </c>
      <c r="B183" t="s">
        <v>117</v>
      </c>
      <c r="C183" t="s">
        <v>12</v>
      </c>
      <c r="D183" t="s">
        <v>588</v>
      </c>
      <c r="E183" t="s">
        <v>105</v>
      </c>
      <c r="F183" t="s">
        <v>37</v>
      </c>
      <c r="G183">
        <v>41</v>
      </c>
      <c r="H183" t="s">
        <v>38</v>
      </c>
      <c r="I183" t="s">
        <v>589</v>
      </c>
      <c r="J183" t="s">
        <v>32</v>
      </c>
    </row>
    <row r="184" spans="1:10" x14ac:dyDescent="0.25">
      <c r="A184" t="s">
        <v>590</v>
      </c>
      <c r="B184" t="s">
        <v>140</v>
      </c>
      <c r="C184" t="s">
        <v>50</v>
      </c>
      <c r="D184" t="s">
        <v>591</v>
      </c>
      <c r="E184" t="s">
        <v>67</v>
      </c>
      <c r="F184" t="s">
        <v>68</v>
      </c>
      <c r="G184">
        <v>60</v>
      </c>
      <c r="H184" t="s">
        <v>16</v>
      </c>
      <c r="I184" t="s">
        <v>226</v>
      </c>
      <c r="J184" t="s">
        <v>18</v>
      </c>
    </row>
    <row r="185" spans="1:10" x14ac:dyDescent="0.25">
      <c r="A185" t="s">
        <v>592</v>
      </c>
      <c r="B185" t="s">
        <v>34</v>
      </c>
      <c r="C185" t="s">
        <v>156</v>
      </c>
      <c r="D185" t="s">
        <v>593</v>
      </c>
      <c r="E185" t="s">
        <v>47</v>
      </c>
      <c r="F185" t="s">
        <v>24</v>
      </c>
      <c r="G185">
        <v>28</v>
      </c>
      <c r="H185" t="s">
        <v>16</v>
      </c>
      <c r="I185" t="s">
        <v>491</v>
      </c>
      <c r="J185" t="s">
        <v>32</v>
      </c>
    </row>
    <row r="186" spans="1:10" x14ac:dyDescent="0.25">
      <c r="A186" t="s">
        <v>594</v>
      </c>
      <c r="B186" t="s">
        <v>11</v>
      </c>
      <c r="C186" t="s">
        <v>91</v>
      </c>
      <c r="D186" t="s">
        <v>595</v>
      </c>
      <c r="E186" t="s">
        <v>23</v>
      </c>
      <c r="F186" t="s">
        <v>24</v>
      </c>
      <c r="G186">
        <v>21</v>
      </c>
      <c r="H186" t="s">
        <v>16</v>
      </c>
      <c r="I186" t="s">
        <v>596</v>
      </c>
      <c r="J186" t="s">
        <v>26</v>
      </c>
    </row>
    <row r="187" spans="1:10" x14ac:dyDescent="0.25">
      <c r="A187" t="s">
        <v>597</v>
      </c>
      <c r="B187" t="s">
        <v>11</v>
      </c>
      <c r="C187" t="s">
        <v>133</v>
      </c>
      <c r="D187" t="s">
        <v>598</v>
      </c>
      <c r="E187" t="s">
        <v>14</v>
      </c>
      <c r="F187" t="s">
        <v>15</v>
      </c>
      <c r="G187">
        <v>33</v>
      </c>
      <c r="H187" t="s">
        <v>38</v>
      </c>
      <c r="I187" t="s">
        <v>599</v>
      </c>
      <c r="J187" t="s">
        <v>53</v>
      </c>
    </row>
    <row r="188" spans="1:10" x14ac:dyDescent="0.25">
      <c r="A188" t="s">
        <v>600</v>
      </c>
      <c r="B188" t="s">
        <v>55</v>
      </c>
      <c r="C188" t="s">
        <v>91</v>
      </c>
      <c r="D188" t="s">
        <v>601</v>
      </c>
      <c r="E188" t="s">
        <v>23</v>
      </c>
      <c r="F188" t="s">
        <v>24</v>
      </c>
      <c r="G188">
        <v>61</v>
      </c>
      <c r="H188" t="s">
        <v>16</v>
      </c>
      <c r="I188" t="s">
        <v>602</v>
      </c>
      <c r="J188" t="s">
        <v>32</v>
      </c>
    </row>
    <row r="189" spans="1:10" x14ac:dyDescent="0.25">
      <c r="A189" t="s">
        <v>603</v>
      </c>
      <c r="B189" t="s">
        <v>20</v>
      </c>
      <c r="C189" t="s">
        <v>133</v>
      </c>
      <c r="D189" t="s">
        <v>604</v>
      </c>
      <c r="E189" t="s">
        <v>105</v>
      </c>
      <c r="F189" t="s">
        <v>37</v>
      </c>
      <c r="G189">
        <v>34</v>
      </c>
      <c r="H189" t="s">
        <v>38</v>
      </c>
      <c r="I189" t="s">
        <v>428</v>
      </c>
      <c r="J189" t="s">
        <v>32</v>
      </c>
    </row>
    <row r="190" spans="1:10" x14ac:dyDescent="0.25">
      <c r="A190" t="s">
        <v>605</v>
      </c>
      <c r="B190" t="s">
        <v>11</v>
      </c>
      <c r="C190" t="s">
        <v>12</v>
      </c>
      <c r="D190" t="s">
        <v>606</v>
      </c>
      <c r="E190" t="s">
        <v>82</v>
      </c>
      <c r="F190" t="s">
        <v>83</v>
      </c>
      <c r="G190">
        <v>35</v>
      </c>
      <c r="H190" t="s">
        <v>16</v>
      </c>
      <c r="I190" t="s">
        <v>607</v>
      </c>
      <c r="J190" t="s">
        <v>53</v>
      </c>
    </row>
    <row r="191" spans="1:10" x14ac:dyDescent="0.25">
      <c r="A191" t="s">
        <v>608</v>
      </c>
      <c r="B191" t="s">
        <v>140</v>
      </c>
      <c r="C191" t="s">
        <v>91</v>
      </c>
      <c r="D191" t="s">
        <v>609</v>
      </c>
      <c r="E191" t="s">
        <v>36</v>
      </c>
      <c r="F191" t="s">
        <v>37</v>
      </c>
      <c r="G191">
        <v>59</v>
      </c>
      <c r="H191" t="s">
        <v>16</v>
      </c>
      <c r="I191" t="s">
        <v>610</v>
      </c>
      <c r="J191" t="s">
        <v>53</v>
      </c>
    </row>
    <row r="192" spans="1:10" x14ac:dyDescent="0.25">
      <c r="A192" t="s">
        <v>611</v>
      </c>
      <c r="B192" t="s">
        <v>117</v>
      </c>
      <c r="C192" t="s">
        <v>41</v>
      </c>
      <c r="D192" t="s">
        <v>612</v>
      </c>
      <c r="E192" t="s">
        <v>30</v>
      </c>
      <c r="F192" t="s">
        <v>24</v>
      </c>
      <c r="G192">
        <v>30</v>
      </c>
      <c r="H192" t="s">
        <v>38</v>
      </c>
      <c r="I192" t="s">
        <v>613</v>
      </c>
      <c r="J192" t="s">
        <v>32</v>
      </c>
    </row>
    <row r="193" spans="1:10" x14ac:dyDescent="0.25">
      <c r="A193" t="s">
        <v>614</v>
      </c>
      <c r="B193" t="s">
        <v>90</v>
      </c>
      <c r="C193" t="s">
        <v>133</v>
      </c>
      <c r="D193" t="s">
        <v>615</v>
      </c>
      <c r="E193" t="s">
        <v>23</v>
      </c>
      <c r="F193" t="s">
        <v>24</v>
      </c>
      <c r="G193">
        <v>52</v>
      </c>
      <c r="H193" t="s">
        <v>16</v>
      </c>
      <c r="I193" t="s">
        <v>616</v>
      </c>
      <c r="J193" t="s">
        <v>32</v>
      </c>
    </row>
    <row r="194" spans="1:10" x14ac:dyDescent="0.25">
      <c r="A194" t="s">
        <v>617</v>
      </c>
      <c r="B194" t="s">
        <v>34</v>
      </c>
      <c r="C194" t="s">
        <v>75</v>
      </c>
      <c r="D194" t="s">
        <v>618</v>
      </c>
      <c r="E194" t="s">
        <v>30</v>
      </c>
      <c r="F194" t="s">
        <v>24</v>
      </c>
      <c r="G194">
        <v>27</v>
      </c>
      <c r="H194" t="s">
        <v>16</v>
      </c>
      <c r="I194" t="s">
        <v>619</v>
      </c>
      <c r="J194" t="s">
        <v>32</v>
      </c>
    </row>
    <row r="195" spans="1:10" x14ac:dyDescent="0.25">
      <c r="A195" t="s">
        <v>620</v>
      </c>
      <c r="B195" t="s">
        <v>117</v>
      </c>
      <c r="C195" t="s">
        <v>50</v>
      </c>
      <c r="D195" t="s">
        <v>621</v>
      </c>
      <c r="E195" t="s">
        <v>62</v>
      </c>
      <c r="F195" t="s">
        <v>63</v>
      </c>
      <c r="G195">
        <v>38</v>
      </c>
      <c r="H195" t="s">
        <v>38</v>
      </c>
      <c r="I195" t="s">
        <v>622</v>
      </c>
      <c r="J195" t="s">
        <v>53</v>
      </c>
    </row>
    <row r="196" spans="1:10" x14ac:dyDescent="0.25">
      <c r="A196" t="s">
        <v>623</v>
      </c>
      <c r="B196" t="s">
        <v>140</v>
      </c>
      <c r="C196" t="s">
        <v>28</v>
      </c>
      <c r="D196" t="s">
        <v>624</v>
      </c>
      <c r="E196" t="s">
        <v>77</v>
      </c>
      <c r="F196" t="s">
        <v>78</v>
      </c>
      <c r="G196">
        <v>20</v>
      </c>
      <c r="H196" t="s">
        <v>38</v>
      </c>
      <c r="I196" t="s">
        <v>625</v>
      </c>
      <c r="J196" t="s">
        <v>53</v>
      </c>
    </row>
    <row r="197" spans="1:10" x14ac:dyDescent="0.25">
      <c r="A197" t="s">
        <v>626</v>
      </c>
      <c r="B197" t="s">
        <v>140</v>
      </c>
      <c r="C197" t="s">
        <v>50</v>
      </c>
      <c r="D197" t="s">
        <v>627</v>
      </c>
      <c r="E197" t="s">
        <v>14</v>
      </c>
      <c r="F197" t="s">
        <v>15</v>
      </c>
      <c r="G197">
        <v>19</v>
      </c>
      <c r="H197" t="s">
        <v>16</v>
      </c>
      <c r="I197" t="s">
        <v>628</v>
      </c>
      <c r="J197" t="s">
        <v>32</v>
      </c>
    </row>
    <row r="198" spans="1:10" x14ac:dyDescent="0.25">
      <c r="A198" t="s">
        <v>629</v>
      </c>
      <c r="B198" t="s">
        <v>34</v>
      </c>
      <c r="C198" t="s">
        <v>156</v>
      </c>
      <c r="D198" t="s">
        <v>630</v>
      </c>
      <c r="E198" t="s">
        <v>30</v>
      </c>
      <c r="F198" t="s">
        <v>24</v>
      </c>
      <c r="G198">
        <v>41</v>
      </c>
      <c r="H198" t="s">
        <v>38</v>
      </c>
      <c r="I198" t="s">
        <v>315</v>
      </c>
      <c r="J198" t="s">
        <v>53</v>
      </c>
    </row>
    <row r="199" spans="1:10" x14ac:dyDescent="0.25">
      <c r="A199" t="s">
        <v>631</v>
      </c>
      <c r="B199" t="s">
        <v>20</v>
      </c>
      <c r="C199" t="s">
        <v>75</v>
      </c>
      <c r="D199" t="s">
        <v>632</v>
      </c>
      <c r="E199" t="s">
        <v>36</v>
      </c>
      <c r="F199" t="s">
        <v>37</v>
      </c>
      <c r="G199">
        <v>58</v>
      </c>
      <c r="H199" t="s">
        <v>16</v>
      </c>
      <c r="I199" t="s">
        <v>633</v>
      </c>
      <c r="J199" t="s">
        <v>32</v>
      </c>
    </row>
    <row r="200" spans="1:10" x14ac:dyDescent="0.25">
      <c r="A200" t="s">
        <v>634</v>
      </c>
      <c r="B200" t="s">
        <v>55</v>
      </c>
      <c r="C200" t="s">
        <v>91</v>
      </c>
      <c r="D200" t="s">
        <v>635</v>
      </c>
      <c r="E200" t="s">
        <v>43</v>
      </c>
      <c r="F200" t="s">
        <v>37</v>
      </c>
      <c r="G200">
        <v>47</v>
      </c>
      <c r="H200" t="s">
        <v>16</v>
      </c>
      <c r="I200" t="s">
        <v>636</v>
      </c>
      <c r="J200" t="s">
        <v>53</v>
      </c>
    </row>
    <row r="201" spans="1:10" x14ac:dyDescent="0.25">
      <c r="A201" t="s">
        <v>637</v>
      </c>
      <c r="B201" t="s">
        <v>60</v>
      </c>
      <c r="C201" t="s">
        <v>133</v>
      </c>
      <c r="D201" t="s">
        <v>638</v>
      </c>
      <c r="E201" t="s">
        <v>105</v>
      </c>
      <c r="F201" t="s">
        <v>37</v>
      </c>
      <c r="G201">
        <v>64</v>
      </c>
      <c r="H201" t="s">
        <v>16</v>
      </c>
      <c r="I201" t="s">
        <v>176</v>
      </c>
      <c r="J201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55"/>
  <sheetViews>
    <sheetView zoomScaleNormal="100" workbookViewId="0">
      <pane ySplit="1" topLeftCell="A2" activePane="bottomLeft" state="frozen"/>
      <selection activeCell="C1" sqref="C1"/>
      <selection pane="bottomLeft" activeCell="C5" sqref="C5"/>
    </sheetView>
  </sheetViews>
  <sheetFormatPr defaultColWidth="8.7109375" defaultRowHeight="15" x14ac:dyDescent="0.25"/>
  <cols>
    <col min="1" max="1" width="14.140625" bestFit="1" customWidth="1"/>
    <col min="2" max="2" width="18.140625" bestFit="1" customWidth="1"/>
    <col min="3" max="3" width="16.7109375" bestFit="1" customWidth="1"/>
    <col min="4" max="4" width="15.42578125" bestFit="1" customWidth="1"/>
    <col min="5" max="5" width="22" bestFit="1" customWidth="1"/>
    <col min="6" max="6" width="15.7109375" bestFit="1" customWidth="1"/>
    <col min="7" max="7" width="13.5703125" bestFit="1" customWidth="1"/>
    <col min="8" max="8" width="18.7109375" bestFit="1" customWidth="1"/>
    <col min="9" max="9" width="16.140625" bestFit="1" customWidth="1"/>
    <col min="10" max="10" width="16.7109375" bestFit="1" customWidth="1"/>
    <col min="11" max="11" width="23" bestFit="1" customWidth="1"/>
    <col min="12" max="12" width="16" customWidth="1"/>
    <col min="13" max="13" width="9" customWidth="1"/>
  </cols>
  <sheetData>
    <row r="1" spans="1:13" x14ac:dyDescent="0.25">
      <c r="A1" s="1" t="s">
        <v>639</v>
      </c>
      <c r="B1" s="1" t="s">
        <v>0</v>
      </c>
      <c r="C1" s="1" t="s">
        <v>640</v>
      </c>
      <c r="D1" s="1" t="s">
        <v>641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</row>
    <row r="2" spans="1:13" x14ac:dyDescent="0.25">
      <c r="A2" t="s">
        <v>651</v>
      </c>
      <c r="B2" t="s">
        <v>10</v>
      </c>
      <c r="C2" t="s">
        <v>652</v>
      </c>
      <c r="D2" t="s">
        <v>653</v>
      </c>
      <c r="E2" t="s">
        <v>654</v>
      </c>
      <c r="F2">
        <v>39.99</v>
      </c>
      <c r="G2">
        <v>1</v>
      </c>
      <c r="H2">
        <v>0</v>
      </c>
      <c r="I2">
        <v>39.99</v>
      </c>
      <c r="J2">
        <v>39.99</v>
      </c>
      <c r="K2" t="s">
        <v>655</v>
      </c>
      <c r="L2" t="s">
        <v>656</v>
      </c>
      <c r="M2">
        <v>4</v>
      </c>
    </row>
    <row r="3" spans="1:13" x14ac:dyDescent="0.25">
      <c r="A3" t="s">
        <v>657</v>
      </c>
      <c r="B3" t="s">
        <v>10</v>
      </c>
      <c r="C3" t="s">
        <v>658</v>
      </c>
      <c r="D3" t="s">
        <v>659</v>
      </c>
      <c r="E3" t="s">
        <v>660</v>
      </c>
      <c r="F3">
        <v>19.989999999999998</v>
      </c>
      <c r="G3">
        <v>2</v>
      </c>
      <c r="H3">
        <v>0</v>
      </c>
      <c r="I3">
        <v>19.989999999999998</v>
      </c>
      <c r="J3">
        <v>39.979999999999997</v>
      </c>
      <c r="K3" t="s">
        <v>661</v>
      </c>
      <c r="L3" t="s">
        <v>656</v>
      </c>
      <c r="M3">
        <v>5</v>
      </c>
    </row>
    <row r="4" spans="1:13" x14ac:dyDescent="0.25">
      <c r="A4" t="s">
        <v>662</v>
      </c>
      <c r="B4" t="s">
        <v>10</v>
      </c>
      <c r="C4" t="s">
        <v>663</v>
      </c>
      <c r="D4" t="s">
        <v>659</v>
      </c>
      <c r="E4" t="s">
        <v>664</v>
      </c>
      <c r="F4">
        <v>24.99</v>
      </c>
      <c r="G4">
        <v>2</v>
      </c>
      <c r="H4">
        <v>15</v>
      </c>
      <c r="I4">
        <v>21.24</v>
      </c>
      <c r="J4">
        <v>42.48</v>
      </c>
      <c r="K4" t="s">
        <v>661</v>
      </c>
      <c r="L4" t="s">
        <v>656</v>
      </c>
      <c r="M4">
        <v>5</v>
      </c>
    </row>
    <row r="5" spans="1:13" x14ac:dyDescent="0.25">
      <c r="A5" t="s">
        <v>665</v>
      </c>
      <c r="B5" t="s">
        <v>10</v>
      </c>
      <c r="C5" t="s">
        <v>666</v>
      </c>
      <c r="D5" t="s">
        <v>667</v>
      </c>
      <c r="E5" t="s">
        <v>668</v>
      </c>
      <c r="F5">
        <v>64.989999999999995</v>
      </c>
      <c r="G5">
        <v>3</v>
      </c>
      <c r="H5">
        <v>0</v>
      </c>
      <c r="I5">
        <v>64.989999999999995</v>
      </c>
      <c r="J5">
        <v>194.97</v>
      </c>
      <c r="K5" t="s">
        <v>669</v>
      </c>
      <c r="L5" t="s">
        <v>656</v>
      </c>
    </row>
    <row r="6" spans="1:13" x14ac:dyDescent="0.25">
      <c r="A6" t="s">
        <v>670</v>
      </c>
      <c r="B6" t="s">
        <v>10</v>
      </c>
      <c r="C6" t="s">
        <v>671</v>
      </c>
      <c r="D6" t="s">
        <v>672</v>
      </c>
      <c r="E6" t="s">
        <v>673</v>
      </c>
      <c r="F6">
        <v>24.99</v>
      </c>
      <c r="G6">
        <v>4</v>
      </c>
      <c r="H6">
        <v>0</v>
      </c>
      <c r="I6">
        <v>24.99</v>
      </c>
      <c r="J6">
        <v>99.96</v>
      </c>
      <c r="K6" t="s">
        <v>669</v>
      </c>
      <c r="L6" t="s">
        <v>656</v>
      </c>
      <c r="M6">
        <v>4</v>
      </c>
    </row>
    <row r="7" spans="1:13" x14ac:dyDescent="0.25">
      <c r="A7" t="s">
        <v>674</v>
      </c>
      <c r="B7" t="s">
        <v>10</v>
      </c>
      <c r="C7" t="s">
        <v>106</v>
      </c>
      <c r="D7" t="s">
        <v>667</v>
      </c>
      <c r="E7" t="s">
        <v>668</v>
      </c>
      <c r="F7">
        <v>64.989999999999995</v>
      </c>
      <c r="G7">
        <v>2</v>
      </c>
      <c r="H7">
        <v>5</v>
      </c>
      <c r="I7">
        <v>61.74</v>
      </c>
      <c r="J7">
        <v>123.48</v>
      </c>
      <c r="K7" t="s">
        <v>675</v>
      </c>
      <c r="L7" t="s">
        <v>656</v>
      </c>
      <c r="M7">
        <v>5</v>
      </c>
    </row>
    <row r="8" spans="1:13" x14ac:dyDescent="0.25">
      <c r="A8" t="s">
        <v>676</v>
      </c>
      <c r="B8" t="s">
        <v>19</v>
      </c>
      <c r="C8" t="s">
        <v>677</v>
      </c>
      <c r="D8" t="s">
        <v>667</v>
      </c>
      <c r="E8" t="s">
        <v>668</v>
      </c>
      <c r="F8">
        <v>64.989999999999995</v>
      </c>
      <c r="G8">
        <v>1</v>
      </c>
      <c r="H8">
        <v>15</v>
      </c>
      <c r="I8">
        <v>55.24</v>
      </c>
      <c r="J8">
        <v>55.24</v>
      </c>
      <c r="K8" t="s">
        <v>655</v>
      </c>
      <c r="L8" t="s">
        <v>656</v>
      </c>
    </row>
    <row r="9" spans="1:13" x14ac:dyDescent="0.25">
      <c r="A9" t="s">
        <v>678</v>
      </c>
      <c r="B9" t="s">
        <v>27</v>
      </c>
      <c r="C9" t="s">
        <v>679</v>
      </c>
      <c r="D9" t="s">
        <v>680</v>
      </c>
      <c r="E9" t="s">
        <v>681</v>
      </c>
      <c r="F9">
        <v>19.989999999999998</v>
      </c>
      <c r="G9">
        <v>3</v>
      </c>
      <c r="H9">
        <v>0</v>
      </c>
      <c r="I9">
        <v>19.989999999999998</v>
      </c>
      <c r="J9">
        <v>59.97</v>
      </c>
      <c r="K9" t="s">
        <v>682</v>
      </c>
      <c r="L9" t="s">
        <v>656</v>
      </c>
      <c r="M9">
        <v>5</v>
      </c>
    </row>
    <row r="10" spans="1:13" x14ac:dyDescent="0.25">
      <c r="A10" t="s">
        <v>683</v>
      </c>
      <c r="B10" t="s">
        <v>27</v>
      </c>
      <c r="C10" t="s">
        <v>460</v>
      </c>
      <c r="D10" t="s">
        <v>684</v>
      </c>
      <c r="E10" t="s">
        <v>685</v>
      </c>
      <c r="F10">
        <v>49.99</v>
      </c>
      <c r="G10">
        <v>4</v>
      </c>
      <c r="H10">
        <v>5</v>
      </c>
      <c r="I10">
        <v>47.49</v>
      </c>
      <c r="J10">
        <v>189.96</v>
      </c>
      <c r="K10" t="s">
        <v>675</v>
      </c>
      <c r="L10" t="s">
        <v>656</v>
      </c>
    </row>
    <row r="11" spans="1:13" x14ac:dyDescent="0.25">
      <c r="A11" t="s">
        <v>686</v>
      </c>
      <c r="B11" t="s">
        <v>27</v>
      </c>
      <c r="C11" t="s">
        <v>687</v>
      </c>
      <c r="D11" t="s">
        <v>680</v>
      </c>
      <c r="E11" t="s">
        <v>688</v>
      </c>
      <c r="F11">
        <v>29.99</v>
      </c>
      <c r="G11">
        <v>3</v>
      </c>
      <c r="H11">
        <v>15</v>
      </c>
      <c r="I11">
        <v>25.49</v>
      </c>
      <c r="J11">
        <v>76.47</v>
      </c>
      <c r="K11" t="s">
        <v>675</v>
      </c>
      <c r="L11" t="s">
        <v>656</v>
      </c>
      <c r="M11">
        <v>4</v>
      </c>
    </row>
    <row r="12" spans="1:13" x14ac:dyDescent="0.25">
      <c r="A12" t="s">
        <v>689</v>
      </c>
      <c r="B12" t="s">
        <v>27</v>
      </c>
      <c r="C12" t="s">
        <v>690</v>
      </c>
      <c r="D12" t="s">
        <v>680</v>
      </c>
      <c r="E12" t="s">
        <v>681</v>
      </c>
      <c r="F12">
        <v>19.989999999999998</v>
      </c>
      <c r="G12">
        <v>3</v>
      </c>
      <c r="H12">
        <v>0</v>
      </c>
      <c r="I12">
        <v>19.989999999999998</v>
      </c>
      <c r="J12">
        <v>59.97</v>
      </c>
      <c r="K12" t="s">
        <v>675</v>
      </c>
      <c r="L12" t="s">
        <v>656</v>
      </c>
      <c r="M12">
        <v>5</v>
      </c>
    </row>
    <row r="13" spans="1:13" x14ac:dyDescent="0.25">
      <c r="A13" t="s">
        <v>691</v>
      </c>
      <c r="B13" t="s">
        <v>27</v>
      </c>
      <c r="C13" t="s">
        <v>692</v>
      </c>
      <c r="D13" t="s">
        <v>659</v>
      </c>
      <c r="E13" t="s">
        <v>664</v>
      </c>
      <c r="F13">
        <v>24.99</v>
      </c>
      <c r="G13">
        <v>1</v>
      </c>
      <c r="H13">
        <v>10</v>
      </c>
      <c r="I13">
        <v>22.49</v>
      </c>
      <c r="J13">
        <v>22.49</v>
      </c>
      <c r="K13" t="s">
        <v>655</v>
      </c>
      <c r="L13" t="s">
        <v>693</v>
      </c>
      <c r="M13">
        <v>3</v>
      </c>
    </row>
    <row r="14" spans="1:13" x14ac:dyDescent="0.25">
      <c r="A14" t="s">
        <v>694</v>
      </c>
      <c r="B14" t="s">
        <v>27</v>
      </c>
      <c r="C14" t="s">
        <v>695</v>
      </c>
      <c r="D14" t="s">
        <v>667</v>
      </c>
      <c r="E14" t="s">
        <v>696</v>
      </c>
      <c r="F14">
        <v>59.99</v>
      </c>
      <c r="G14">
        <v>4</v>
      </c>
      <c r="H14">
        <v>0</v>
      </c>
      <c r="I14">
        <v>59.99</v>
      </c>
      <c r="J14">
        <v>239.96</v>
      </c>
      <c r="K14" t="s">
        <v>675</v>
      </c>
      <c r="L14" t="s">
        <v>656</v>
      </c>
      <c r="M14">
        <v>5</v>
      </c>
    </row>
    <row r="15" spans="1:13" x14ac:dyDescent="0.25">
      <c r="A15" t="s">
        <v>697</v>
      </c>
      <c r="B15" t="s">
        <v>27</v>
      </c>
      <c r="C15" t="s">
        <v>698</v>
      </c>
      <c r="D15" t="s">
        <v>667</v>
      </c>
      <c r="E15" t="s">
        <v>699</v>
      </c>
      <c r="F15">
        <v>89.99</v>
      </c>
      <c r="G15">
        <v>1</v>
      </c>
      <c r="H15">
        <v>5</v>
      </c>
      <c r="I15">
        <v>85.49</v>
      </c>
      <c r="J15">
        <v>85.49</v>
      </c>
      <c r="K15" t="s">
        <v>661</v>
      </c>
      <c r="L15" t="s">
        <v>656</v>
      </c>
      <c r="M15">
        <v>5</v>
      </c>
    </row>
    <row r="16" spans="1:13" x14ac:dyDescent="0.25">
      <c r="A16" t="s">
        <v>700</v>
      </c>
      <c r="B16" t="s">
        <v>27</v>
      </c>
      <c r="C16" t="s">
        <v>701</v>
      </c>
      <c r="D16" t="s">
        <v>684</v>
      </c>
      <c r="E16" t="s">
        <v>702</v>
      </c>
      <c r="F16">
        <v>199.99</v>
      </c>
      <c r="G16">
        <v>3</v>
      </c>
      <c r="H16">
        <v>10</v>
      </c>
      <c r="I16">
        <v>179.99</v>
      </c>
      <c r="J16">
        <v>539.97</v>
      </c>
      <c r="K16" t="s">
        <v>669</v>
      </c>
      <c r="L16" t="s">
        <v>656</v>
      </c>
    </row>
    <row r="17" spans="1:13" x14ac:dyDescent="0.25">
      <c r="A17" t="s">
        <v>703</v>
      </c>
      <c r="B17" t="s">
        <v>27</v>
      </c>
      <c r="C17" t="s">
        <v>704</v>
      </c>
      <c r="D17" t="s">
        <v>684</v>
      </c>
      <c r="E17" t="s">
        <v>705</v>
      </c>
      <c r="F17">
        <v>79.989999999999995</v>
      </c>
      <c r="G17">
        <v>1</v>
      </c>
      <c r="H17">
        <v>5</v>
      </c>
      <c r="I17">
        <v>75.989999999999995</v>
      </c>
      <c r="J17">
        <v>75.989999999999995</v>
      </c>
      <c r="K17" t="s">
        <v>655</v>
      </c>
      <c r="L17" t="s">
        <v>656</v>
      </c>
      <c r="M17">
        <v>5</v>
      </c>
    </row>
    <row r="18" spans="1:13" x14ac:dyDescent="0.25">
      <c r="A18" t="s">
        <v>706</v>
      </c>
      <c r="B18" t="s">
        <v>27</v>
      </c>
      <c r="C18" t="s">
        <v>707</v>
      </c>
      <c r="D18" t="s">
        <v>680</v>
      </c>
      <c r="E18" t="s">
        <v>708</v>
      </c>
      <c r="F18">
        <v>24.99</v>
      </c>
      <c r="G18">
        <v>3</v>
      </c>
      <c r="H18">
        <v>20</v>
      </c>
      <c r="I18">
        <v>19.989999999999998</v>
      </c>
      <c r="J18">
        <v>59.97</v>
      </c>
      <c r="K18" t="s">
        <v>661</v>
      </c>
      <c r="L18" t="s">
        <v>656</v>
      </c>
    </row>
    <row r="19" spans="1:13" x14ac:dyDescent="0.25">
      <c r="A19" t="s">
        <v>709</v>
      </c>
      <c r="B19" t="s">
        <v>27</v>
      </c>
      <c r="C19" t="s">
        <v>241</v>
      </c>
      <c r="D19" t="s">
        <v>710</v>
      </c>
      <c r="E19" t="s">
        <v>711</v>
      </c>
      <c r="F19">
        <v>14.99</v>
      </c>
      <c r="G19">
        <v>3</v>
      </c>
      <c r="H19">
        <v>5</v>
      </c>
      <c r="I19">
        <v>14.24</v>
      </c>
      <c r="J19">
        <v>42.72</v>
      </c>
      <c r="K19" t="s">
        <v>669</v>
      </c>
      <c r="L19" t="s">
        <v>656</v>
      </c>
      <c r="M19">
        <v>4</v>
      </c>
    </row>
    <row r="20" spans="1:13" x14ac:dyDescent="0.25">
      <c r="A20" t="s">
        <v>712</v>
      </c>
      <c r="B20" t="s">
        <v>33</v>
      </c>
      <c r="C20" t="s">
        <v>713</v>
      </c>
      <c r="D20" t="s">
        <v>667</v>
      </c>
      <c r="E20" t="s">
        <v>714</v>
      </c>
      <c r="F20">
        <v>44.99</v>
      </c>
      <c r="G20">
        <v>1</v>
      </c>
      <c r="H20">
        <v>20</v>
      </c>
      <c r="I20">
        <v>35.99</v>
      </c>
      <c r="J20">
        <v>35.99</v>
      </c>
      <c r="K20" t="s">
        <v>655</v>
      </c>
      <c r="L20" t="s">
        <v>656</v>
      </c>
      <c r="M20">
        <v>5</v>
      </c>
    </row>
    <row r="21" spans="1:13" x14ac:dyDescent="0.25">
      <c r="A21" t="s">
        <v>715</v>
      </c>
      <c r="B21" t="s">
        <v>33</v>
      </c>
      <c r="C21" t="s">
        <v>716</v>
      </c>
      <c r="D21" t="s">
        <v>667</v>
      </c>
      <c r="E21" t="s">
        <v>696</v>
      </c>
      <c r="F21">
        <v>59.99</v>
      </c>
      <c r="G21">
        <v>2</v>
      </c>
      <c r="H21">
        <v>0</v>
      </c>
      <c r="I21">
        <v>59.99</v>
      </c>
      <c r="J21">
        <v>119.98</v>
      </c>
      <c r="K21" t="s">
        <v>682</v>
      </c>
      <c r="L21" t="s">
        <v>656</v>
      </c>
      <c r="M21">
        <v>5</v>
      </c>
    </row>
    <row r="22" spans="1:13" x14ac:dyDescent="0.25">
      <c r="A22" t="s">
        <v>717</v>
      </c>
      <c r="B22" t="s">
        <v>33</v>
      </c>
      <c r="C22" t="s">
        <v>718</v>
      </c>
      <c r="D22" t="s">
        <v>667</v>
      </c>
      <c r="E22" t="s">
        <v>714</v>
      </c>
      <c r="F22">
        <v>44.99</v>
      </c>
      <c r="G22">
        <v>4</v>
      </c>
      <c r="H22">
        <v>15</v>
      </c>
      <c r="I22">
        <v>38.24</v>
      </c>
      <c r="J22">
        <v>152.96</v>
      </c>
      <c r="K22" t="s">
        <v>669</v>
      </c>
      <c r="L22" t="s">
        <v>656</v>
      </c>
      <c r="M22">
        <v>5</v>
      </c>
    </row>
    <row r="23" spans="1:13" x14ac:dyDescent="0.25">
      <c r="A23" t="s">
        <v>719</v>
      </c>
      <c r="B23" t="s">
        <v>33</v>
      </c>
      <c r="C23" t="s">
        <v>720</v>
      </c>
      <c r="D23" t="s">
        <v>710</v>
      </c>
      <c r="E23" t="s">
        <v>721</v>
      </c>
      <c r="F23">
        <v>24.99</v>
      </c>
      <c r="G23">
        <v>4</v>
      </c>
      <c r="H23">
        <v>0</v>
      </c>
      <c r="I23">
        <v>24.99</v>
      </c>
      <c r="J23">
        <v>99.96</v>
      </c>
      <c r="K23" t="s">
        <v>669</v>
      </c>
      <c r="L23" t="s">
        <v>656</v>
      </c>
      <c r="M23">
        <v>1</v>
      </c>
    </row>
    <row r="24" spans="1:13" x14ac:dyDescent="0.25">
      <c r="A24" t="s">
        <v>722</v>
      </c>
      <c r="B24" t="s">
        <v>33</v>
      </c>
      <c r="C24" t="s">
        <v>723</v>
      </c>
      <c r="D24" t="s">
        <v>672</v>
      </c>
      <c r="E24" t="s">
        <v>724</v>
      </c>
      <c r="F24">
        <v>89.99</v>
      </c>
      <c r="G24">
        <v>2</v>
      </c>
      <c r="H24">
        <v>10</v>
      </c>
      <c r="I24">
        <v>80.989999999999995</v>
      </c>
      <c r="J24">
        <v>161.97999999999999</v>
      </c>
      <c r="K24" t="s">
        <v>675</v>
      </c>
      <c r="L24" t="s">
        <v>656</v>
      </c>
      <c r="M24">
        <v>4</v>
      </c>
    </row>
    <row r="25" spans="1:13" x14ac:dyDescent="0.25">
      <c r="A25" t="s">
        <v>725</v>
      </c>
      <c r="B25" t="s">
        <v>33</v>
      </c>
      <c r="C25" t="s">
        <v>726</v>
      </c>
      <c r="D25" t="s">
        <v>653</v>
      </c>
      <c r="E25" t="s">
        <v>727</v>
      </c>
      <c r="F25">
        <v>14.99</v>
      </c>
      <c r="G25">
        <v>1</v>
      </c>
      <c r="H25">
        <v>10</v>
      </c>
      <c r="I25">
        <v>13.49</v>
      </c>
      <c r="J25">
        <v>13.49</v>
      </c>
      <c r="K25" t="s">
        <v>669</v>
      </c>
      <c r="L25" t="s">
        <v>656</v>
      </c>
      <c r="M25">
        <v>5</v>
      </c>
    </row>
    <row r="26" spans="1:13" x14ac:dyDescent="0.25">
      <c r="A26" t="s">
        <v>728</v>
      </c>
      <c r="B26" t="s">
        <v>33</v>
      </c>
      <c r="C26" t="s">
        <v>729</v>
      </c>
      <c r="D26" t="s">
        <v>710</v>
      </c>
      <c r="E26" t="s">
        <v>730</v>
      </c>
      <c r="F26">
        <v>39.99</v>
      </c>
      <c r="G26">
        <v>4</v>
      </c>
      <c r="H26">
        <v>10</v>
      </c>
      <c r="I26">
        <v>35.99</v>
      </c>
      <c r="J26">
        <v>143.96</v>
      </c>
      <c r="K26" t="s">
        <v>661</v>
      </c>
      <c r="L26" t="s">
        <v>656</v>
      </c>
    </row>
    <row r="27" spans="1:13" x14ac:dyDescent="0.25">
      <c r="A27" t="s">
        <v>731</v>
      </c>
      <c r="B27" t="s">
        <v>33</v>
      </c>
      <c r="C27" t="s">
        <v>732</v>
      </c>
      <c r="D27" t="s">
        <v>710</v>
      </c>
      <c r="E27" t="s">
        <v>721</v>
      </c>
      <c r="F27">
        <v>24.99</v>
      </c>
      <c r="G27">
        <v>2</v>
      </c>
      <c r="H27">
        <v>15</v>
      </c>
      <c r="I27">
        <v>21.24</v>
      </c>
      <c r="J27">
        <v>42.48</v>
      </c>
      <c r="K27" t="s">
        <v>661</v>
      </c>
      <c r="L27" t="s">
        <v>656</v>
      </c>
      <c r="M27">
        <v>4</v>
      </c>
    </row>
    <row r="28" spans="1:13" x14ac:dyDescent="0.25">
      <c r="A28" t="s">
        <v>733</v>
      </c>
      <c r="B28" t="s">
        <v>33</v>
      </c>
      <c r="C28" t="s">
        <v>734</v>
      </c>
      <c r="D28" t="s">
        <v>672</v>
      </c>
      <c r="E28" t="s">
        <v>735</v>
      </c>
      <c r="F28">
        <v>44.99</v>
      </c>
      <c r="G28">
        <v>2</v>
      </c>
      <c r="H28">
        <v>5</v>
      </c>
      <c r="I28">
        <v>42.74</v>
      </c>
      <c r="J28">
        <v>85.48</v>
      </c>
      <c r="K28" t="s">
        <v>675</v>
      </c>
      <c r="L28" t="s">
        <v>656</v>
      </c>
      <c r="M28">
        <v>3</v>
      </c>
    </row>
    <row r="29" spans="1:13" x14ac:dyDescent="0.25">
      <c r="A29" t="s">
        <v>736</v>
      </c>
      <c r="B29" t="s">
        <v>33</v>
      </c>
      <c r="C29" t="s">
        <v>695</v>
      </c>
      <c r="D29" t="s">
        <v>672</v>
      </c>
      <c r="E29" t="s">
        <v>735</v>
      </c>
      <c r="F29">
        <v>44.99</v>
      </c>
      <c r="G29">
        <v>1</v>
      </c>
      <c r="H29">
        <v>0</v>
      </c>
      <c r="I29">
        <v>44.99</v>
      </c>
      <c r="J29">
        <v>44.99</v>
      </c>
      <c r="K29" t="s">
        <v>682</v>
      </c>
      <c r="L29" t="s">
        <v>656</v>
      </c>
      <c r="M29">
        <v>5</v>
      </c>
    </row>
    <row r="30" spans="1:13" x14ac:dyDescent="0.25">
      <c r="A30" t="s">
        <v>737</v>
      </c>
      <c r="B30" t="s">
        <v>33</v>
      </c>
      <c r="C30" t="s">
        <v>738</v>
      </c>
      <c r="D30" t="s">
        <v>710</v>
      </c>
      <c r="E30" t="s">
        <v>730</v>
      </c>
      <c r="F30">
        <v>39.99</v>
      </c>
      <c r="G30">
        <v>3</v>
      </c>
      <c r="H30">
        <v>20</v>
      </c>
      <c r="I30">
        <v>31.99</v>
      </c>
      <c r="J30">
        <v>95.97</v>
      </c>
      <c r="K30" t="s">
        <v>669</v>
      </c>
      <c r="L30" t="s">
        <v>739</v>
      </c>
    </row>
    <row r="31" spans="1:13" x14ac:dyDescent="0.25">
      <c r="A31" t="s">
        <v>740</v>
      </c>
      <c r="B31" t="s">
        <v>33</v>
      </c>
      <c r="C31" t="s">
        <v>741</v>
      </c>
      <c r="D31" t="s">
        <v>684</v>
      </c>
      <c r="E31" t="s">
        <v>702</v>
      </c>
      <c r="F31">
        <v>199.99</v>
      </c>
      <c r="G31">
        <v>4</v>
      </c>
      <c r="H31">
        <v>20</v>
      </c>
      <c r="I31">
        <v>159.99</v>
      </c>
      <c r="J31">
        <v>639.96</v>
      </c>
      <c r="K31" t="s">
        <v>675</v>
      </c>
      <c r="L31" t="s">
        <v>656</v>
      </c>
      <c r="M31">
        <v>5</v>
      </c>
    </row>
    <row r="32" spans="1:13" x14ac:dyDescent="0.25">
      <c r="A32" t="s">
        <v>742</v>
      </c>
      <c r="B32" t="s">
        <v>33</v>
      </c>
      <c r="C32" t="s">
        <v>401</v>
      </c>
      <c r="D32" t="s">
        <v>659</v>
      </c>
      <c r="E32" t="s">
        <v>660</v>
      </c>
      <c r="F32">
        <v>19.989999999999998</v>
      </c>
      <c r="G32">
        <v>4</v>
      </c>
      <c r="H32">
        <v>0</v>
      </c>
      <c r="I32">
        <v>19.989999999999998</v>
      </c>
      <c r="J32">
        <v>79.959999999999994</v>
      </c>
      <c r="K32" t="s">
        <v>682</v>
      </c>
      <c r="L32" t="s">
        <v>656</v>
      </c>
      <c r="M32">
        <v>5</v>
      </c>
    </row>
    <row r="33" spans="1:13" x14ac:dyDescent="0.25">
      <c r="A33" t="s">
        <v>743</v>
      </c>
      <c r="B33" t="s">
        <v>40</v>
      </c>
      <c r="C33" t="s">
        <v>93</v>
      </c>
      <c r="D33" t="s">
        <v>710</v>
      </c>
      <c r="E33" t="s">
        <v>744</v>
      </c>
      <c r="F33">
        <v>29.99</v>
      </c>
      <c r="G33">
        <v>3</v>
      </c>
      <c r="H33">
        <v>20</v>
      </c>
      <c r="I33">
        <v>23.99</v>
      </c>
      <c r="J33">
        <v>71.97</v>
      </c>
      <c r="K33" t="s">
        <v>661</v>
      </c>
      <c r="L33" t="s">
        <v>656</v>
      </c>
    </row>
    <row r="34" spans="1:13" x14ac:dyDescent="0.25">
      <c r="A34" t="s">
        <v>745</v>
      </c>
      <c r="B34" t="s">
        <v>40</v>
      </c>
      <c r="C34" t="s">
        <v>746</v>
      </c>
      <c r="D34" t="s">
        <v>672</v>
      </c>
      <c r="E34" t="s">
        <v>724</v>
      </c>
      <c r="F34">
        <v>89.99</v>
      </c>
      <c r="G34">
        <v>1</v>
      </c>
      <c r="H34">
        <v>0</v>
      </c>
      <c r="I34">
        <v>89.99</v>
      </c>
      <c r="J34">
        <v>89.99</v>
      </c>
      <c r="K34" t="s">
        <v>675</v>
      </c>
      <c r="L34" t="s">
        <v>656</v>
      </c>
      <c r="M34">
        <v>5</v>
      </c>
    </row>
    <row r="35" spans="1:13" x14ac:dyDescent="0.25">
      <c r="A35" t="s">
        <v>747</v>
      </c>
      <c r="B35" t="s">
        <v>40</v>
      </c>
      <c r="C35" t="s">
        <v>748</v>
      </c>
      <c r="D35" t="s">
        <v>680</v>
      </c>
      <c r="E35" t="s">
        <v>749</v>
      </c>
      <c r="F35">
        <v>14.99</v>
      </c>
      <c r="G35">
        <v>2</v>
      </c>
      <c r="H35">
        <v>0</v>
      </c>
      <c r="I35">
        <v>14.99</v>
      </c>
      <c r="J35">
        <v>29.98</v>
      </c>
      <c r="K35" t="s">
        <v>669</v>
      </c>
      <c r="L35" t="s">
        <v>656</v>
      </c>
      <c r="M35">
        <v>3</v>
      </c>
    </row>
    <row r="36" spans="1:13" x14ac:dyDescent="0.25">
      <c r="A36" t="s">
        <v>750</v>
      </c>
      <c r="B36" t="s">
        <v>40</v>
      </c>
      <c r="C36" t="s">
        <v>751</v>
      </c>
      <c r="D36" t="s">
        <v>653</v>
      </c>
      <c r="E36" t="s">
        <v>727</v>
      </c>
      <c r="F36">
        <v>14.99</v>
      </c>
      <c r="G36">
        <v>1</v>
      </c>
      <c r="H36">
        <v>15</v>
      </c>
      <c r="I36">
        <v>12.74</v>
      </c>
      <c r="J36">
        <v>12.74</v>
      </c>
      <c r="K36" t="s">
        <v>675</v>
      </c>
      <c r="L36" t="s">
        <v>656</v>
      </c>
      <c r="M36">
        <v>5</v>
      </c>
    </row>
    <row r="37" spans="1:13" x14ac:dyDescent="0.25">
      <c r="A37" t="s">
        <v>752</v>
      </c>
      <c r="B37" t="s">
        <v>40</v>
      </c>
      <c r="C37" t="s">
        <v>753</v>
      </c>
      <c r="D37" t="s">
        <v>710</v>
      </c>
      <c r="E37" t="s">
        <v>744</v>
      </c>
      <c r="F37">
        <v>29.99</v>
      </c>
      <c r="G37">
        <v>1</v>
      </c>
      <c r="H37">
        <v>20</v>
      </c>
      <c r="I37">
        <v>23.99</v>
      </c>
      <c r="J37">
        <v>23.99</v>
      </c>
      <c r="K37" t="s">
        <v>655</v>
      </c>
      <c r="L37" t="s">
        <v>656</v>
      </c>
      <c r="M37">
        <v>3</v>
      </c>
    </row>
    <row r="38" spans="1:13" x14ac:dyDescent="0.25">
      <c r="A38" t="s">
        <v>754</v>
      </c>
      <c r="B38" t="s">
        <v>40</v>
      </c>
      <c r="C38" t="s">
        <v>755</v>
      </c>
      <c r="D38" t="s">
        <v>667</v>
      </c>
      <c r="E38" t="s">
        <v>699</v>
      </c>
      <c r="F38">
        <v>89.99</v>
      </c>
      <c r="G38">
        <v>2</v>
      </c>
      <c r="H38">
        <v>20</v>
      </c>
      <c r="I38">
        <v>71.989999999999995</v>
      </c>
      <c r="J38">
        <v>143.97999999999999</v>
      </c>
      <c r="K38" t="s">
        <v>682</v>
      </c>
      <c r="L38" t="s">
        <v>656</v>
      </c>
      <c r="M38">
        <v>5</v>
      </c>
    </row>
    <row r="39" spans="1:13" x14ac:dyDescent="0.25">
      <c r="A39" t="s">
        <v>756</v>
      </c>
      <c r="B39" t="s">
        <v>40</v>
      </c>
      <c r="C39" t="s">
        <v>757</v>
      </c>
      <c r="D39" t="s">
        <v>684</v>
      </c>
      <c r="E39" t="s">
        <v>685</v>
      </c>
      <c r="F39">
        <v>49.99</v>
      </c>
      <c r="G39">
        <v>1</v>
      </c>
      <c r="H39">
        <v>15</v>
      </c>
      <c r="I39">
        <v>42.49</v>
      </c>
      <c r="J39">
        <v>42.49</v>
      </c>
      <c r="K39" t="s">
        <v>661</v>
      </c>
      <c r="L39" t="s">
        <v>656</v>
      </c>
    </row>
    <row r="40" spans="1:13" x14ac:dyDescent="0.25">
      <c r="A40" t="s">
        <v>758</v>
      </c>
      <c r="B40" t="s">
        <v>40</v>
      </c>
      <c r="C40" t="s">
        <v>759</v>
      </c>
      <c r="D40" t="s">
        <v>684</v>
      </c>
      <c r="E40" t="s">
        <v>705</v>
      </c>
      <c r="F40">
        <v>79.989999999999995</v>
      </c>
      <c r="G40">
        <v>3</v>
      </c>
      <c r="H40">
        <v>5</v>
      </c>
      <c r="I40">
        <v>75.989999999999995</v>
      </c>
      <c r="J40">
        <v>227.97</v>
      </c>
      <c r="K40" t="s">
        <v>661</v>
      </c>
      <c r="L40" t="s">
        <v>656</v>
      </c>
      <c r="M40">
        <v>5</v>
      </c>
    </row>
    <row r="41" spans="1:13" x14ac:dyDescent="0.25">
      <c r="A41" t="s">
        <v>760</v>
      </c>
      <c r="B41" t="s">
        <v>40</v>
      </c>
      <c r="C41" t="s">
        <v>761</v>
      </c>
      <c r="D41" t="s">
        <v>659</v>
      </c>
      <c r="E41" t="s">
        <v>762</v>
      </c>
      <c r="F41">
        <v>49.99</v>
      </c>
      <c r="G41">
        <v>3</v>
      </c>
      <c r="H41">
        <v>20</v>
      </c>
      <c r="I41">
        <v>39.99</v>
      </c>
      <c r="J41">
        <v>119.97</v>
      </c>
      <c r="K41" t="s">
        <v>675</v>
      </c>
      <c r="L41" t="s">
        <v>656</v>
      </c>
    </row>
    <row r="42" spans="1:13" x14ac:dyDescent="0.25">
      <c r="A42" t="s">
        <v>763</v>
      </c>
      <c r="B42" t="s">
        <v>45</v>
      </c>
      <c r="C42" t="s">
        <v>764</v>
      </c>
      <c r="D42" t="s">
        <v>680</v>
      </c>
      <c r="E42" t="s">
        <v>681</v>
      </c>
      <c r="F42">
        <v>19.989999999999998</v>
      </c>
      <c r="G42">
        <v>1</v>
      </c>
      <c r="H42">
        <v>15</v>
      </c>
      <c r="I42">
        <v>16.989999999999998</v>
      </c>
      <c r="J42">
        <v>16.989999999999998</v>
      </c>
      <c r="K42" t="s">
        <v>682</v>
      </c>
      <c r="L42" t="s">
        <v>656</v>
      </c>
      <c r="M42">
        <v>4</v>
      </c>
    </row>
    <row r="43" spans="1:13" x14ac:dyDescent="0.25">
      <c r="A43" t="s">
        <v>765</v>
      </c>
      <c r="B43" t="s">
        <v>45</v>
      </c>
      <c r="C43" t="s">
        <v>766</v>
      </c>
      <c r="D43" t="s">
        <v>672</v>
      </c>
      <c r="E43" t="s">
        <v>673</v>
      </c>
      <c r="F43">
        <v>24.99</v>
      </c>
      <c r="G43">
        <v>4</v>
      </c>
      <c r="H43">
        <v>0</v>
      </c>
      <c r="I43">
        <v>24.99</v>
      </c>
      <c r="J43">
        <v>99.96</v>
      </c>
      <c r="K43" t="s">
        <v>669</v>
      </c>
      <c r="L43" t="s">
        <v>656</v>
      </c>
    </row>
    <row r="44" spans="1:13" x14ac:dyDescent="0.25">
      <c r="A44" t="s">
        <v>767</v>
      </c>
      <c r="B44" t="s">
        <v>45</v>
      </c>
      <c r="C44" t="s">
        <v>768</v>
      </c>
      <c r="D44" t="s">
        <v>653</v>
      </c>
      <c r="E44" t="s">
        <v>769</v>
      </c>
      <c r="F44">
        <v>49.99</v>
      </c>
      <c r="G44">
        <v>1</v>
      </c>
      <c r="H44">
        <v>0</v>
      </c>
      <c r="I44">
        <v>49.99</v>
      </c>
      <c r="J44">
        <v>49.99</v>
      </c>
      <c r="K44" t="s">
        <v>661</v>
      </c>
      <c r="L44" t="s">
        <v>656</v>
      </c>
      <c r="M44">
        <v>4</v>
      </c>
    </row>
    <row r="45" spans="1:13" x14ac:dyDescent="0.25">
      <c r="A45" t="s">
        <v>770</v>
      </c>
      <c r="B45" t="s">
        <v>45</v>
      </c>
      <c r="C45" t="s">
        <v>771</v>
      </c>
      <c r="D45" t="s">
        <v>653</v>
      </c>
      <c r="E45" t="s">
        <v>654</v>
      </c>
      <c r="F45">
        <v>39.99</v>
      </c>
      <c r="G45">
        <v>4</v>
      </c>
      <c r="H45">
        <v>15</v>
      </c>
      <c r="I45">
        <v>33.99</v>
      </c>
      <c r="J45">
        <v>135.96</v>
      </c>
      <c r="K45" t="s">
        <v>682</v>
      </c>
      <c r="L45" t="s">
        <v>656</v>
      </c>
      <c r="M45">
        <v>5</v>
      </c>
    </row>
    <row r="46" spans="1:13" x14ac:dyDescent="0.25">
      <c r="A46" t="s">
        <v>772</v>
      </c>
      <c r="B46" t="s">
        <v>45</v>
      </c>
      <c r="C46" t="s">
        <v>773</v>
      </c>
      <c r="D46" t="s">
        <v>680</v>
      </c>
      <c r="E46" t="s">
        <v>749</v>
      </c>
      <c r="F46">
        <v>14.99</v>
      </c>
      <c r="G46">
        <v>2</v>
      </c>
      <c r="H46">
        <v>15</v>
      </c>
      <c r="I46">
        <v>12.74</v>
      </c>
      <c r="J46">
        <v>25.48</v>
      </c>
      <c r="K46" t="s">
        <v>669</v>
      </c>
      <c r="L46" t="s">
        <v>656</v>
      </c>
      <c r="M46">
        <v>5</v>
      </c>
    </row>
    <row r="47" spans="1:13" x14ac:dyDescent="0.25">
      <c r="A47" t="s">
        <v>774</v>
      </c>
      <c r="B47" t="s">
        <v>45</v>
      </c>
      <c r="C47" t="s">
        <v>775</v>
      </c>
      <c r="D47" t="s">
        <v>667</v>
      </c>
      <c r="E47" t="s">
        <v>699</v>
      </c>
      <c r="F47">
        <v>89.99</v>
      </c>
      <c r="G47">
        <v>1</v>
      </c>
      <c r="H47">
        <v>15</v>
      </c>
      <c r="I47">
        <v>76.489999999999995</v>
      </c>
      <c r="J47">
        <v>76.489999999999995</v>
      </c>
      <c r="K47" t="s">
        <v>682</v>
      </c>
      <c r="L47" t="s">
        <v>739</v>
      </c>
      <c r="M47">
        <v>5</v>
      </c>
    </row>
    <row r="48" spans="1:13" x14ac:dyDescent="0.25">
      <c r="A48" t="s">
        <v>776</v>
      </c>
      <c r="B48" t="s">
        <v>45</v>
      </c>
      <c r="C48" t="s">
        <v>777</v>
      </c>
      <c r="D48" t="s">
        <v>659</v>
      </c>
      <c r="E48" t="s">
        <v>660</v>
      </c>
      <c r="F48">
        <v>19.989999999999998</v>
      </c>
      <c r="G48">
        <v>4</v>
      </c>
      <c r="H48">
        <v>0</v>
      </c>
      <c r="I48">
        <v>19.989999999999998</v>
      </c>
      <c r="J48">
        <v>79.959999999999994</v>
      </c>
      <c r="K48" t="s">
        <v>682</v>
      </c>
      <c r="L48" t="s">
        <v>656</v>
      </c>
      <c r="M48">
        <v>5</v>
      </c>
    </row>
    <row r="49" spans="1:13" x14ac:dyDescent="0.25">
      <c r="A49" t="s">
        <v>778</v>
      </c>
      <c r="B49" t="s">
        <v>45</v>
      </c>
      <c r="C49" t="s">
        <v>779</v>
      </c>
      <c r="D49" t="s">
        <v>667</v>
      </c>
      <c r="E49" t="s">
        <v>696</v>
      </c>
      <c r="F49">
        <v>59.99</v>
      </c>
      <c r="G49">
        <v>4</v>
      </c>
      <c r="H49">
        <v>0</v>
      </c>
      <c r="I49">
        <v>59.99</v>
      </c>
      <c r="J49">
        <v>239.96</v>
      </c>
      <c r="K49" t="s">
        <v>675</v>
      </c>
      <c r="L49" t="s">
        <v>656</v>
      </c>
      <c r="M49">
        <v>3</v>
      </c>
    </row>
    <row r="50" spans="1:13" x14ac:dyDescent="0.25">
      <c r="A50" t="s">
        <v>780</v>
      </c>
      <c r="B50" t="s">
        <v>45</v>
      </c>
      <c r="C50" t="s">
        <v>781</v>
      </c>
      <c r="D50" t="s">
        <v>680</v>
      </c>
      <c r="E50" t="s">
        <v>688</v>
      </c>
      <c r="F50">
        <v>29.99</v>
      </c>
      <c r="G50">
        <v>4</v>
      </c>
      <c r="H50">
        <v>0</v>
      </c>
      <c r="I50">
        <v>29.99</v>
      </c>
      <c r="J50">
        <v>119.96</v>
      </c>
      <c r="K50" t="s">
        <v>655</v>
      </c>
      <c r="L50" t="s">
        <v>656</v>
      </c>
      <c r="M50">
        <v>3</v>
      </c>
    </row>
    <row r="51" spans="1:13" x14ac:dyDescent="0.25">
      <c r="A51" t="s">
        <v>782</v>
      </c>
      <c r="B51" t="s">
        <v>45</v>
      </c>
      <c r="C51" t="s">
        <v>734</v>
      </c>
      <c r="D51" t="s">
        <v>667</v>
      </c>
      <c r="E51" t="s">
        <v>714</v>
      </c>
      <c r="F51">
        <v>44.99</v>
      </c>
      <c r="G51">
        <v>2</v>
      </c>
      <c r="H51">
        <v>0</v>
      </c>
      <c r="I51">
        <v>44.99</v>
      </c>
      <c r="J51">
        <v>89.98</v>
      </c>
      <c r="K51" t="s">
        <v>682</v>
      </c>
      <c r="L51" t="s">
        <v>656</v>
      </c>
    </row>
    <row r="52" spans="1:13" x14ac:dyDescent="0.25">
      <c r="A52" t="s">
        <v>783</v>
      </c>
      <c r="B52" t="s">
        <v>45</v>
      </c>
      <c r="C52" t="s">
        <v>784</v>
      </c>
      <c r="D52" t="s">
        <v>667</v>
      </c>
      <c r="E52" t="s">
        <v>699</v>
      </c>
      <c r="F52">
        <v>89.99</v>
      </c>
      <c r="G52">
        <v>1</v>
      </c>
      <c r="H52">
        <v>0</v>
      </c>
      <c r="I52">
        <v>89.99</v>
      </c>
      <c r="J52">
        <v>89.99</v>
      </c>
      <c r="K52" t="s">
        <v>669</v>
      </c>
      <c r="L52" t="s">
        <v>785</v>
      </c>
    </row>
    <row r="53" spans="1:13" x14ac:dyDescent="0.25">
      <c r="A53" t="s">
        <v>786</v>
      </c>
      <c r="B53" t="s">
        <v>45</v>
      </c>
      <c r="C53" t="s">
        <v>787</v>
      </c>
      <c r="D53" t="s">
        <v>680</v>
      </c>
      <c r="E53" t="s">
        <v>749</v>
      </c>
      <c r="F53">
        <v>14.99</v>
      </c>
      <c r="G53">
        <v>2</v>
      </c>
      <c r="H53">
        <v>5</v>
      </c>
      <c r="I53">
        <v>14.24</v>
      </c>
      <c r="J53">
        <v>28.48</v>
      </c>
      <c r="K53" t="s">
        <v>661</v>
      </c>
      <c r="L53" t="s">
        <v>788</v>
      </c>
      <c r="M53">
        <v>5</v>
      </c>
    </row>
    <row r="54" spans="1:13" x14ac:dyDescent="0.25">
      <c r="A54" t="s">
        <v>789</v>
      </c>
      <c r="B54" t="s">
        <v>45</v>
      </c>
      <c r="C54" t="s">
        <v>790</v>
      </c>
      <c r="D54" t="s">
        <v>710</v>
      </c>
      <c r="E54" t="s">
        <v>744</v>
      </c>
      <c r="F54">
        <v>29.99</v>
      </c>
      <c r="G54">
        <v>2</v>
      </c>
      <c r="H54">
        <v>10</v>
      </c>
      <c r="I54">
        <v>26.99</v>
      </c>
      <c r="J54">
        <v>53.98</v>
      </c>
      <c r="K54" t="s">
        <v>655</v>
      </c>
      <c r="L54" t="s">
        <v>656</v>
      </c>
    </row>
    <row r="55" spans="1:13" x14ac:dyDescent="0.25">
      <c r="A55" t="s">
        <v>791</v>
      </c>
      <c r="B55" t="s">
        <v>49</v>
      </c>
      <c r="C55" t="s">
        <v>792</v>
      </c>
      <c r="D55" t="s">
        <v>680</v>
      </c>
      <c r="E55" t="s">
        <v>708</v>
      </c>
      <c r="F55">
        <v>24.99</v>
      </c>
      <c r="G55">
        <v>2</v>
      </c>
      <c r="H55">
        <v>0</v>
      </c>
      <c r="I55">
        <v>24.99</v>
      </c>
      <c r="J55">
        <v>49.98</v>
      </c>
      <c r="K55" t="s">
        <v>661</v>
      </c>
      <c r="L55" t="s">
        <v>656</v>
      </c>
    </row>
    <row r="56" spans="1:13" x14ac:dyDescent="0.25">
      <c r="A56" t="s">
        <v>793</v>
      </c>
      <c r="B56" t="s">
        <v>49</v>
      </c>
      <c r="C56" t="s">
        <v>794</v>
      </c>
      <c r="D56" t="s">
        <v>680</v>
      </c>
      <c r="E56" t="s">
        <v>681</v>
      </c>
      <c r="F56">
        <v>19.989999999999998</v>
      </c>
      <c r="G56">
        <v>2</v>
      </c>
      <c r="H56">
        <v>0</v>
      </c>
      <c r="I56">
        <v>19.989999999999998</v>
      </c>
      <c r="J56">
        <v>39.979999999999997</v>
      </c>
      <c r="K56" t="s">
        <v>682</v>
      </c>
      <c r="L56" t="s">
        <v>656</v>
      </c>
      <c r="M56">
        <v>5</v>
      </c>
    </row>
    <row r="57" spans="1:13" x14ac:dyDescent="0.25">
      <c r="A57" t="s">
        <v>795</v>
      </c>
      <c r="B57" t="s">
        <v>49</v>
      </c>
      <c r="C57" t="s">
        <v>796</v>
      </c>
      <c r="D57" t="s">
        <v>680</v>
      </c>
      <c r="E57" t="s">
        <v>708</v>
      </c>
      <c r="F57">
        <v>24.99</v>
      </c>
      <c r="G57">
        <v>3</v>
      </c>
      <c r="H57">
        <v>20</v>
      </c>
      <c r="I57">
        <v>19.989999999999998</v>
      </c>
      <c r="J57">
        <v>59.97</v>
      </c>
      <c r="K57" t="s">
        <v>675</v>
      </c>
      <c r="L57" t="s">
        <v>656</v>
      </c>
    </row>
    <row r="58" spans="1:13" x14ac:dyDescent="0.25">
      <c r="A58" t="s">
        <v>797</v>
      </c>
      <c r="B58" t="s">
        <v>49</v>
      </c>
      <c r="C58" t="s">
        <v>798</v>
      </c>
      <c r="D58" t="s">
        <v>672</v>
      </c>
      <c r="E58" t="s">
        <v>735</v>
      </c>
      <c r="F58">
        <v>44.99</v>
      </c>
      <c r="G58">
        <v>4</v>
      </c>
      <c r="H58">
        <v>20</v>
      </c>
      <c r="I58">
        <v>35.99</v>
      </c>
      <c r="J58">
        <v>143.96</v>
      </c>
      <c r="K58" t="s">
        <v>675</v>
      </c>
      <c r="L58" t="s">
        <v>656</v>
      </c>
    </row>
    <row r="59" spans="1:13" x14ac:dyDescent="0.25">
      <c r="A59" t="s">
        <v>799</v>
      </c>
      <c r="B59" t="s">
        <v>49</v>
      </c>
      <c r="C59" t="s">
        <v>800</v>
      </c>
      <c r="D59" t="s">
        <v>667</v>
      </c>
      <c r="E59" t="s">
        <v>699</v>
      </c>
      <c r="F59">
        <v>89.99</v>
      </c>
      <c r="G59">
        <v>4</v>
      </c>
      <c r="H59">
        <v>0</v>
      </c>
      <c r="I59">
        <v>89.99</v>
      </c>
      <c r="J59">
        <v>359.96</v>
      </c>
      <c r="K59" t="s">
        <v>682</v>
      </c>
      <c r="L59" t="s">
        <v>788</v>
      </c>
      <c r="M59">
        <v>5</v>
      </c>
    </row>
    <row r="60" spans="1:13" x14ac:dyDescent="0.25">
      <c r="A60" t="s">
        <v>801</v>
      </c>
      <c r="B60" t="s">
        <v>49</v>
      </c>
      <c r="C60" t="s">
        <v>802</v>
      </c>
      <c r="D60" t="s">
        <v>672</v>
      </c>
      <c r="E60" t="s">
        <v>803</v>
      </c>
      <c r="F60">
        <v>69.989999999999995</v>
      </c>
      <c r="G60">
        <v>2</v>
      </c>
      <c r="H60">
        <v>20</v>
      </c>
      <c r="I60">
        <v>55.99</v>
      </c>
      <c r="J60">
        <v>111.98</v>
      </c>
      <c r="K60" t="s">
        <v>669</v>
      </c>
      <c r="L60" t="s">
        <v>656</v>
      </c>
    </row>
    <row r="61" spans="1:13" x14ac:dyDescent="0.25">
      <c r="A61" t="s">
        <v>804</v>
      </c>
      <c r="B61" t="s">
        <v>49</v>
      </c>
      <c r="C61" t="s">
        <v>805</v>
      </c>
      <c r="D61" t="s">
        <v>653</v>
      </c>
      <c r="E61" t="s">
        <v>727</v>
      </c>
      <c r="F61">
        <v>14.99</v>
      </c>
      <c r="G61">
        <v>1</v>
      </c>
      <c r="H61">
        <v>10</v>
      </c>
      <c r="I61">
        <v>13.49</v>
      </c>
      <c r="J61">
        <v>13.49</v>
      </c>
      <c r="K61" t="s">
        <v>661</v>
      </c>
      <c r="L61" t="s">
        <v>656</v>
      </c>
      <c r="M61">
        <v>5</v>
      </c>
    </row>
    <row r="62" spans="1:13" x14ac:dyDescent="0.25">
      <c r="A62" t="s">
        <v>806</v>
      </c>
      <c r="B62" t="s">
        <v>49</v>
      </c>
      <c r="C62" t="s">
        <v>807</v>
      </c>
      <c r="D62" t="s">
        <v>710</v>
      </c>
      <c r="E62" t="s">
        <v>721</v>
      </c>
      <c r="F62">
        <v>24.99</v>
      </c>
      <c r="G62">
        <v>4</v>
      </c>
      <c r="H62">
        <v>15</v>
      </c>
      <c r="I62">
        <v>21.24</v>
      </c>
      <c r="J62">
        <v>84.96</v>
      </c>
      <c r="K62" t="s">
        <v>669</v>
      </c>
      <c r="L62" t="s">
        <v>656</v>
      </c>
    </row>
    <row r="63" spans="1:13" x14ac:dyDescent="0.25">
      <c r="A63" t="s">
        <v>808</v>
      </c>
      <c r="B63" t="s">
        <v>49</v>
      </c>
      <c r="C63" t="s">
        <v>809</v>
      </c>
      <c r="D63" t="s">
        <v>680</v>
      </c>
      <c r="E63" t="s">
        <v>749</v>
      </c>
      <c r="F63">
        <v>14.99</v>
      </c>
      <c r="G63">
        <v>2</v>
      </c>
      <c r="H63">
        <v>20</v>
      </c>
      <c r="I63">
        <v>11.99</v>
      </c>
      <c r="J63">
        <v>23.98</v>
      </c>
      <c r="K63" t="s">
        <v>682</v>
      </c>
      <c r="L63" t="s">
        <v>656</v>
      </c>
      <c r="M63">
        <v>4</v>
      </c>
    </row>
    <row r="64" spans="1:13" x14ac:dyDescent="0.25">
      <c r="A64" t="s">
        <v>810</v>
      </c>
      <c r="B64" t="s">
        <v>49</v>
      </c>
      <c r="C64" t="s">
        <v>811</v>
      </c>
      <c r="D64" t="s">
        <v>710</v>
      </c>
      <c r="E64" t="s">
        <v>744</v>
      </c>
      <c r="F64">
        <v>29.99</v>
      </c>
      <c r="G64">
        <v>2</v>
      </c>
      <c r="H64">
        <v>0</v>
      </c>
      <c r="I64">
        <v>29.99</v>
      </c>
      <c r="J64">
        <v>59.98</v>
      </c>
      <c r="K64" t="s">
        <v>682</v>
      </c>
      <c r="L64" t="s">
        <v>656</v>
      </c>
      <c r="M64">
        <v>5</v>
      </c>
    </row>
    <row r="65" spans="1:13" x14ac:dyDescent="0.25">
      <c r="A65" t="s">
        <v>812</v>
      </c>
      <c r="B65" t="s">
        <v>49</v>
      </c>
      <c r="C65" t="s">
        <v>813</v>
      </c>
      <c r="D65" t="s">
        <v>659</v>
      </c>
      <c r="E65" t="s">
        <v>660</v>
      </c>
      <c r="F65">
        <v>19.989999999999998</v>
      </c>
      <c r="G65">
        <v>2</v>
      </c>
      <c r="H65">
        <v>10</v>
      </c>
      <c r="I65">
        <v>17.989999999999998</v>
      </c>
      <c r="J65">
        <v>35.979999999999997</v>
      </c>
      <c r="K65" t="s">
        <v>669</v>
      </c>
      <c r="L65" t="s">
        <v>656</v>
      </c>
      <c r="M65">
        <v>3</v>
      </c>
    </row>
    <row r="66" spans="1:13" x14ac:dyDescent="0.25">
      <c r="A66" t="s">
        <v>814</v>
      </c>
      <c r="B66" t="s">
        <v>54</v>
      </c>
      <c r="C66" t="s">
        <v>362</v>
      </c>
      <c r="D66" t="s">
        <v>684</v>
      </c>
      <c r="E66" t="s">
        <v>815</v>
      </c>
      <c r="F66">
        <v>34.99</v>
      </c>
      <c r="G66">
        <v>3</v>
      </c>
      <c r="H66">
        <v>15</v>
      </c>
      <c r="I66">
        <v>29.74</v>
      </c>
      <c r="J66">
        <v>89.22</v>
      </c>
      <c r="K66" t="s">
        <v>669</v>
      </c>
      <c r="L66" t="s">
        <v>656</v>
      </c>
    </row>
    <row r="67" spans="1:13" x14ac:dyDescent="0.25">
      <c r="A67" t="s">
        <v>816</v>
      </c>
      <c r="B67" t="s">
        <v>54</v>
      </c>
      <c r="C67" t="s">
        <v>817</v>
      </c>
      <c r="D67" t="s">
        <v>684</v>
      </c>
      <c r="E67" t="s">
        <v>702</v>
      </c>
      <c r="F67">
        <v>199.99</v>
      </c>
      <c r="G67">
        <v>4</v>
      </c>
      <c r="H67">
        <v>0</v>
      </c>
      <c r="I67">
        <v>199.99</v>
      </c>
      <c r="J67">
        <v>799.96</v>
      </c>
      <c r="K67" t="s">
        <v>661</v>
      </c>
      <c r="L67" t="s">
        <v>656</v>
      </c>
      <c r="M67">
        <v>5</v>
      </c>
    </row>
    <row r="68" spans="1:13" x14ac:dyDescent="0.25">
      <c r="A68" t="s">
        <v>818</v>
      </c>
      <c r="B68" t="s">
        <v>54</v>
      </c>
      <c r="C68" t="s">
        <v>819</v>
      </c>
      <c r="D68" t="s">
        <v>659</v>
      </c>
      <c r="E68" t="s">
        <v>820</v>
      </c>
      <c r="F68">
        <v>39.99</v>
      </c>
      <c r="G68">
        <v>4</v>
      </c>
      <c r="H68">
        <v>5</v>
      </c>
      <c r="I68">
        <v>37.99</v>
      </c>
      <c r="J68">
        <v>151.96</v>
      </c>
      <c r="K68" t="s">
        <v>655</v>
      </c>
      <c r="L68" t="s">
        <v>656</v>
      </c>
      <c r="M68">
        <v>5</v>
      </c>
    </row>
    <row r="69" spans="1:13" x14ac:dyDescent="0.25">
      <c r="A69" t="s">
        <v>821</v>
      </c>
      <c r="B69" t="s">
        <v>54</v>
      </c>
      <c r="C69" t="s">
        <v>301</v>
      </c>
      <c r="D69" t="s">
        <v>667</v>
      </c>
      <c r="E69" t="s">
        <v>668</v>
      </c>
      <c r="F69">
        <v>64.989999999999995</v>
      </c>
      <c r="G69">
        <v>3</v>
      </c>
      <c r="H69">
        <v>0</v>
      </c>
      <c r="I69">
        <v>64.989999999999995</v>
      </c>
      <c r="J69">
        <v>194.97</v>
      </c>
      <c r="K69" t="s">
        <v>655</v>
      </c>
      <c r="L69" t="s">
        <v>656</v>
      </c>
      <c r="M69">
        <v>5</v>
      </c>
    </row>
    <row r="70" spans="1:13" x14ac:dyDescent="0.25">
      <c r="A70" t="s">
        <v>822</v>
      </c>
      <c r="B70" t="s">
        <v>54</v>
      </c>
      <c r="C70" t="s">
        <v>599</v>
      </c>
      <c r="D70" t="s">
        <v>659</v>
      </c>
      <c r="E70" t="s">
        <v>820</v>
      </c>
      <c r="F70">
        <v>39.99</v>
      </c>
      <c r="G70">
        <v>4</v>
      </c>
      <c r="H70">
        <v>0</v>
      </c>
      <c r="I70">
        <v>39.99</v>
      </c>
      <c r="J70">
        <v>159.96</v>
      </c>
      <c r="K70" t="s">
        <v>682</v>
      </c>
      <c r="L70" t="s">
        <v>656</v>
      </c>
      <c r="M70">
        <v>4</v>
      </c>
    </row>
    <row r="71" spans="1:13" x14ac:dyDescent="0.25">
      <c r="A71" t="s">
        <v>823</v>
      </c>
      <c r="B71" t="s">
        <v>54</v>
      </c>
      <c r="C71" t="s">
        <v>824</v>
      </c>
      <c r="D71" t="s">
        <v>653</v>
      </c>
      <c r="E71" t="s">
        <v>654</v>
      </c>
      <c r="F71">
        <v>39.99</v>
      </c>
      <c r="G71">
        <v>3</v>
      </c>
      <c r="H71">
        <v>5</v>
      </c>
      <c r="I71">
        <v>37.99</v>
      </c>
      <c r="J71">
        <v>113.97</v>
      </c>
      <c r="K71" t="s">
        <v>669</v>
      </c>
      <c r="L71" t="s">
        <v>656</v>
      </c>
    </row>
    <row r="72" spans="1:13" x14ac:dyDescent="0.25">
      <c r="A72" t="s">
        <v>825</v>
      </c>
      <c r="B72" t="s">
        <v>54</v>
      </c>
      <c r="C72" t="s">
        <v>826</v>
      </c>
      <c r="D72" t="s">
        <v>653</v>
      </c>
      <c r="E72" t="s">
        <v>827</v>
      </c>
      <c r="F72">
        <v>29.99</v>
      </c>
      <c r="G72">
        <v>3</v>
      </c>
      <c r="H72">
        <v>0</v>
      </c>
      <c r="I72">
        <v>29.99</v>
      </c>
      <c r="J72">
        <v>89.97</v>
      </c>
      <c r="K72" t="s">
        <v>675</v>
      </c>
      <c r="L72" t="s">
        <v>656</v>
      </c>
      <c r="M72">
        <v>5</v>
      </c>
    </row>
    <row r="73" spans="1:13" x14ac:dyDescent="0.25">
      <c r="A73" t="s">
        <v>828</v>
      </c>
      <c r="B73" t="s">
        <v>54</v>
      </c>
      <c r="C73" t="s">
        <v>751</v>
      </c>
      <c r="D73" t="s">
        <v>653</v>
      </c>
      <c r="E73" t="s">
        <v>827</v>
      </c>
      <c r="F73">
        <v>29.99</v>
      </c>
      <c r="G73">
        <v>3</v>
      </c>
      <c r="H73">
        <v>0</v>
      </c>
      <c r="I73">
        <v>29.99</v>
      </c>
      <c r="J73">
        <v>89.97</v>
      </c>
      <c r="K73" t="s">
        <v>675</v>
      </c>
      <c r="L73" t="s">
        <v>656</v>
      </c>
    </row>
    <row r="74" spans="1:13" x14ac:dyDescent="0.25">
      <c r="A74" t="s">
        <v>829</v>
      </c>
      <c r="B74" t="s">
        <v>59</v>
      </c>
      <c r="C74" t="s">
        <v>830</v>
      </c>
      <c r="D74" t="s">
        <v>659</v>
      </c>
      <c r="E74" t="s">
        <v>664</v>
      </c>
      <c r="F74">
        <v>24.99</v>
      </c>
      <c r="G74">
        <v>1</v>
      </c>
      <c r="H74">
        <v>15</v>
      </c>
      <c r="I74">
        <v>21.24</v>
      </c>
      <c r="J74">
        <v>21.24</v>
      </c>
      <c r="K74" t="s">
        <v>682</v>
      </c>
      <c r="L74" t="s">
        <v>656</v>
      </c>
      <c r="M74">
        <v>4</v>
      </c>
    </row>
    <row r="75" spans="1:13" x14ac:dyDescent="0.25">
      <c r="A75" t="s">
        <v>831</v>
      </c>
      <c r="B75" t="s">
        <v>59</v>
      </c>
      <c r="C75" t="s">
        <v>832</v>
      </c>
      <c r="D75" t="s">
        <v>710</v>
      </c>
      <c r="E75" t="s">
        <v>711</v>
      </c>
      <c r="F75">
        <v>14.99</v>
      </c>
      <c r="G75">
        <v>4</v>
      </c>
      <c r="H75">
        <v>20</v>
      </c>
      <c r="I75">
        <v>11.99</v>
      </c>
      <c r="J75">
        <v>47.96</v>
      </c>
      <c r="K75" t="s">
        <v>661</v>
      </c>
      <c r="L75" t="s">
        <v>656</v>
      </c>
      <c r="M75">
        <v>4</v>
      </c>
    </row>
    <row r="76" spans="1:13" x14ac:dyDescent="0.25">
      <c r="A76" t="s">
        <v>833</v>
      </c>
      <c r="B76" t="s">
        <v>59</v>
      </c>
      <c r="C76" t="s">
        <v>834</v>
      </c>
      <c r="D76" t="s">
        <v>659</v>
      </c>
      <c r="E76" t="s">
        <v>660</v>
      </c>
      <c r="F76">
        <v>19.989999999999998</v>
      </c>
      <c r="G76">
        <v>1</v>
      </c>
      <c r="H76">
        <v>15</v>
      </c>
      <c r="I76">
        <v>16.989999999999998</v>
      </c>
      <c r="J76">
        <v>16.989999999999998</v>
      </c>
      <c r="K76" t="s">
        <v>675</v>
      </c>
      <c r="L76" t="s">
        <v>656</v>
      </c>
      <c r="M76">
        <v>4</v>
      </c>
    </row>
    <row r="77" spans="1:13" x14ac:dyDescent="0.25">
      <c r="A77" t="s">
        <v>835</v>
      </c>
      <c r="B77" t="s">
        <v>59</v>
      </c>
      <c r="C77" t="s">
        <v>836</v>
      </c>
      <c r="D77" t="s">
        <v>659</v>
      </c>
      <c r="E77" t="s">
        <v>820</v>
      </c>
      <c r="F77">
        <v>39.99</v>
      </c>
      <c r="G77">
        <v>4</v>
      </c>
      <c r="H77">
        <v>20</v>
      </c>
      <c r="I77">
        <v>31.99</v>
      </c>
      <c r="J77">
        <v>127.96</v>
      </c>
      <c r="K77" t="s">
        <v>675</v>
      </c>
      <c r="L77" t="s">
        <v>788</v>
      </c>
      <c r="M77">
        <v>5</v>
      </c>
    </row>
    <row r="78" spans="1:13" x14ac:dyDescent="0.25">
      <c r="A78" t="s">
        <v>837</v>
      </c>
      <c r="B78" t="s">
        <v>59</v>
      </c>
      <c r="C78" t="s">
        <v>838</v>
      </c>
      <c r="D78" t="s">
        <v>667</v>
      </c>
      <c r="E78" t="s">
        <v>668</v>
      </c>
      <c r="F78">
        <v>64.989999999999995</v>
      </c>
      <c r="G78">
        <v>1</v>
      </c>
      <c r="H78">
        <v>0</v>
      </c>
      <c r="I78">
        <v>64.989999999999995</v>
      </c>
      <c r="J78">
        <v>64.989999999999995</v>
      </c>
      <c r="K78" t="s">
        <v>655</v>
      </c>
      <c r="L78" t="s">
        <v>785</v>
      </c>
      <c r="M78">
        <v>4</v>
      </c>
    </row>
    <row r="79" spans="1:13" x14ac:dyDescent="0.25">
      <c r="A79" t="s">
        <v>839</v>
      </c>
      <c r="B79" t="s">
        <v>59</v>
      </c>
      <c r="C79" t="s">
        <v>840</v>
      </c>
      <c r="D79" t="s">
        <v>710</v>
      </c>
      <c r="E79" t="s">
        <v>721</v>
      </c>
      <c r="F79">
        <v>24.99</v>
      </c>
      <c r="G79">
        <v>2</v>
      </c>
      <c r="H79">
        <v>0</v>
      </c>
      <c r="I79">
        <v>24.99</v>
      </c>
      <c r="J79">
        <v>49.98</v>
      </c>
      <c r="K79" t="s">
        <v>675</v>
      </c>
      <c r="L79" t="s">
        <v>656</v>
      </c>
      <c r="M79">
        <v>5</v>
      </c>
    </row>
    <row r="80" spans="1:13" x14ac:dyDescent="0.25">
      <c r="A80" t="s">
        <v>841</v>
      </c>
      <c r="B80" t="s">
        <v>59</v>
      </c>
      <c r="C80" t="s">
        <v>787</v>
      </c>
      <c r="D80" t="s">
        <v>659</v>
      </c>
      <c r="E80" t="s">
        <v>762</v>
      </c>
      <c r="F80">
        <v>49.99</v>
      </c>
      <c r="G80">
        <v>3</v>
      </c>
      <c r="H80">
        <v>0</v>
      </c>
      <c r="I80">
        <v>49.99</v>
      </c>
      <c r="J80">
        <v>149.97</v>
      </c>
      <c r="K80" t="s">
        <v>661</v>
      </c>
      <c r="L80" t="s">
        <v>656</v>
      </c>
      <c r="M80">
        <v>5</v>
      </c>
    </row>
    <row r="81" spans="1:13" x14ac:dyDescent="0.25">
      <c r="A81" t="s">
        <v>842</v>
      </c>
      <c r="B81" t="s">
        <v>59</v>
      </c>
      <c r="C81" t="s">
        <v>843</v>
      </c>
      <c r="D81" t="s">
        <v>684</v>
      </c>
      <c r="E81" t="s">
        <v>815</v>
      </c>
      <c r="F81">
        <v>34.99</v>
      </c>
      <c r="G81">
        <v>2</v>
      </c>
      <c r="H81">
        <v>0</v>
      </c>
      <c r="I81">
        <v>34.99</v>
      </c>
      <c r="J81">
        <v>69.98</v>
      </c>
      <c r="K81" t="s">
        <v>655</v>
      </c>
      <c r="L81" t="s">
        <v>656</v>
      </c>
      <c r="M81">
        <v>3</v>
      </c>
    </row>
    <row r="82" spans="1:13" x14ac:dyDescent="0.25">
      <c r="A82" t="s">
        <v>844</v>
      </c>
      <c r="B82" t="s">
        <v>59</v>
      </c>
      <c r="C82" t="s">
        <v>845</v>
      </c>
      <c r="D82" t="s">
        <v>667</v>
      </c>
      <c r="E82" t="s">
        <v>696</v>
      </c>
      <c r="F82">
        <v>59.99</v>
      </c>
      <c r="G82">
        <v>1</v>
      </c>
      <c r="H82">
        <v>15</v>
      </c>
      <c r="I82">
        <v>50.99</v>
      </c>
      <c r="J82">
        <v>50.99</v>
      </c>
      <c r="K82" t="s">
        <v>661</v>
      </c>
      <c r="L82" t="s">
        <v>656</v>
      </c>
      <c r="M82">
        <v>4</v>
      </c>
    </row>
    <row r="83" spans="1:13" x14ac:dyDescent="0.25">
      <c r="A83" t="s">
        <v>846</v>
      </c>
      <c r="B83" t="s">
        <v>59</v>
      </c>
      <c r="C83" t="s">
        <v>847</v>
      </c>
      <c r="D83" t="s">
        <v>710</v>
      </c>
      <c r="E83" t="s">
        <v>721</v>
      </c>
      <c r="F83">
        <v>24.99</v>
      </c>
      <c r="G83">
        <v>3</v>
      </c>
      <c r="H83">
        <v>20</v>
      </c>
      <c r="I83">
        <v>19.989999999999998</v>
      </c>
      <c r="J83">
        <v>59.97</v>
      </c>
      <c r="K83" t="s">
        <v>675</v>
      </c>
      <c r="L83" t="s">
        <v>656</v>
      </c>
      <c r="M83">
        <v>5</v>
      </c>
    </row>
    <row r="84" spans="1:13" x14ac:dyDescent="0.25">
      <c r="A84" t="s">
        <v>848</v>
      </c>
      <c r="B84" t="s">
        <v>59</v>
      </c>
      <c r="C84" t="s">
        <v>522</v>
      </c>
      <c r="D84" t="s">
        <v>667</v>
      </c>
      <c r="E84" t="s">
        <v>699</v>
      </c>
      <c r="F84">
        <v>89.99</v>
      </c>
      <c r="G84">
        <v>3</v>
      </c>
      <c r="H84">
        <v>5</v>
      </c>
      <c r="I84">
        <v>85.49</v>
      </c>
      <c r="J84">
        <v>256.47000000000003</v>
      </c>
      <c r="K84" t="s">
        <v>675</v>
      </c>
      <c r="L84" t="s">
        <v>656</v>
      </c>
      <c r="M84">
        <v>5</v>
      </c>
    </row>
    <row r="85" spans="1:13" x14ac:dyDescent="0.25">
      <c r="A85" t="s">
        <v>849</v>
      </c>
      <c r="B85" t="s">
        <v>59</v>
      </c>
      <c r="C85" t="s">
        <v>850</v>
      </c>
      <c r="D85" t="s">
        <v>672</v>
      </c>
      <c r="E85" t="s">
        <v>724</v>
      </c>
      <c r="F85">
        <v>89.99</v>
      </c>
      <c r="G85">
        <v>3</v>
      </c>
      <c r="H85">
        <v>5</v>
      </c>
      <c r="I85">
        <v>85.49</v>
      </c>
      <c r="J85">
        <v>256.47000000000003</v>
      </c>
      <c r="K85" t="s">
        <v>655</v>
      </c>
      <c r="L85" t="s">
        <v>656</v>
      </c>
      <c r="M85">
        <v>5</v>
      </c>
    </row>
    <row r="86" spans="1:13" x14ac:dyDescent="0.25">
      <c r="A86" t="s">
        <v>851</v>
      </c>
      <c r="B86" t="s">
        <v>59</v>
      </c>
      <c r="C86" t="s">
        <v>852</v>
      </c>
      <c r="D86" t="s">
        <v>653</v>
      </c>
      <c r="E86" t="s">
        <v>654</v>
      </c>
      <c r="F86">
        <v>39.99</v>
      </c>
      <c r="G86">
        <v>4</v>
      </c>
      <c r="H86">
        <v>0</v>
      </c>
      <c r="I86">
        <v>39.99</v>
      </c>
      <c r="J86">
        <v>159.96</v>
      </c>
      <c r="K86" t="s">
        <v>669</v>
      </c>
      <c r="L86" t="s">
        <v>656</v>
      </c>
    </row>
    <row r="87" spans="1:13" x14ac:dyDescent="0.25">
      <c r="A87" t="s">
        <v>853</v>
      </c>
      <c r="B87" t="s">
        <v>59</v>
      </c>
      <c r="C87" t="s">
        <v>854</v>
      </c>
      <c r="D87" t="s">
        <v>684</v>
      </c>
      <c r="E87" t="s">
        <v>702</v>
      </c>
      <c r="F87">
        <v>199.99</v>
      </c>
      <c r="G87">
        <v>4</v>
      </c>
      <c r="H87">
        <v>10</v>
      </c>
      <c r="I87">
        <v>179.99</v>
      </c>
      <c r="J87">
        <v>719.96</v>
      </c>
      <c r="K87" t="s">
        <v>682</v>
      </c>
      <c r="L87" t="s">
        <v>656</v>
      </c>
      <c r="M87">
        <v>4</v>
      </c>
    </row>
    <row r="88" spans="1:13" x14ac:dyDescent="0.25">
      <c r="A88" t="s">
        <v>855</v>
      </c>
      <c r="B88" t="s">
        <v>65</v>
      </c>
      <c r="C88" t="s">
        <v>856</v>
      </c>
      <c r="D88" t="s">
        <v>653</v>
      </c>
      <c r="E88" t="s">
        <v>827</v>
      </c>
      <c r="F88">
        <v>29.99</v>
      </c>
      <c r="G88">
        <v>1</v>
      </c>
      <c r="H88">
        <v>20</v>
      </c>
      <c r="I88">
        <v>23.99</v>
      </c>
      <c r="J88">
        <v>23.99</v>
      </c>
      <c r="K88" t="s">
        <v>682</v>
      </c>
      <c r="L88" t="s">
        <v>656</v>
      </c>
      <c r="M88">
        <v>5</v>
      </c>
    </row>
    <row r="89" spans="1:13" x14ac:dyDescent="0.25">
      <c r="A89" t="s">
        <v>857</v>
      </c>
      <c r="B89" t="s">
        <v>65</v>
      </c>
      <c r="C89" t="s">
        <v>858</v>
      </c>
      <c r="D89" t="s">
        <v>667</v>
      </c>
      <c r="E89" t="s">
        <v>699</v>
      </c>
      <c r="F89">
        <v>89.99</v>
      </c>
      <c r="G89">
        <v>3</v>
      </c>
      <c r="H89">
        <v>0</v>
      </c>
      <c r="I89">
        <v>89.99</v>
      </c>
      <c r="J89">
        <v>269.97000000000003</v>
      </c>
      <c r="K89" t="s">
        <v>655</v>
      </c>
      <c r="L89" t="s">
        <v>656</v>
      </c>
      <c r="M89">
        <v>3</v>
      </c>
    </row>
    <row r="90" spans="1:13" x14ac:dyDescent="0.25">
      <c r="A90" t="s">
        <v>859</v>
      </c>
      <c r="B90" t="s">
        <v>65</v>
      </c>
      <c r="C90" t="s">
        <v>860</v>
      </c>
      <c r="D90" t="s">
        <v>684</v>
      </c>
      <c r="E90" t="s">
        <v>685</v>
      </c>
      <c r="F90">
        <v>49.99</v>
      </c>
      <c r="G90">
        <v>2</v>
      </c>
      <c r="H90">
        <v>5</v>
      </c>
      <c r="I90">
        <v>47.49</v>
      </c>
      <c r="J90">
        <v>94.98</v>
      </c>
      <c r="K90" t="s">
        <v>675</v>
      </c>
      <c r="L90" t="s">
        <v>656</v>
      </c>
      <c r="M90">
        <v>2</v>
      </c>
    </row>
    <row r="91" spans="1:13" x14ac:dyDescent="0.25">
      <c r="A91" t="s">
        <v>861</v>
      </c>
      <c r="B91" t="s">
        <v>65</v>
      </c>
      <c r="C91" t="s">
        <v>862</v>
      </c>
      <c r="D91" t="s">
        <v>710</v>
      </c>
      <c r="E91" t="s">
        <v>744</v>
      </c>
      <c r="F91">
        <v>29.99</v>
      </c>
      <c r="G91">
        <v>3</v>
      </c>
      <c r="H91">
        <v>0</v>
      </c>
      <c r="I91">
        <v>29.99</v>
      </c>
      <c r="J91">
        <v>89.97</v>
      </c>
      <c r="K91" t="s">
        <v>655</v>
      </c>
      <c r="L91" t="s">
        <v>656</v>
      </c>
      <c r="M91">
        <v>3</v>
      </c>
    </row>
    <row r="92" spans="1:13" x14ac:dyDescent="0.25">
      <c r="A92" t="s">
        <v>863</v>
      </c>
      <c r="B92" t="s">
        <v>65</v>
      </c>
      <c r="C92" t="s">
        <v>864</v>
      </c>
      <c r="D92" t="s">
        <v>659</v>
      </c>
      <c r="E92" t="s">
        <v>660</v>
      </c>
      <c r="F92">
        <v>19.989999999999998</v>
      </c>
      <c r="G92">
        <v>2</v>
      </c>
      <c r="H92">
        <v>5</v>
      </c>
      <c r="I92">
        <v>18.989999999999998</v>
      </c>
      <c r="J92">
        <v>37.979999999999997</v>
      </c>
      <c r="K92" t="s">
        <v>655</v>
      </c>
      <c r="L92" t="s">
        <v>656</v>
      </c>
      <c r="M92">
        <v>4</v>
      </c>
    </row>
    <row r="93" spans="1:13" x14ac:dyDescent="0.25">
      <c r="A93" t="s">
        <v>865</v>
      </c>
      <c r="B93" t="s">
        <v>65</v>
      </c>
      <c r="C93" t="s">
        <v>866</v>
      </c>
      <c r="D93" t="s">
        <v>659</v>
      </c>
      <c r="E93" t="s">
        <v>660</v>
      </c>
      <c r="F93">
        <v>19.989999999999998</v>
      </c>
      <c r="G93">
        <v>4</v>
      </c>
      <c r="H93">
        <v>10</v>
      </c>
      <c r="I93">
        <v>17.989999999999998</v>
      </c>
      <c r="J93">
        <v>71.959999999999994</v>
      </c>
      <c r="K93" t="s">
        <v>655</v>
      </c>
      <c r="L93" t="s">
        <v>656</v>
      </c>
      <c r="M93">
        <v>5</v>
      </c>
    </row>
    <row r="94" spans="1:13" x14ac:dyDescent="0.25">
      <c r="A94" t="s">
        <v>867</v>
      </c>
      <c r="B94" t="s">
        <v>70</v>
      </c>
      <c r="C94" t="s">
        <v>868</v>
      </c>
      <c r="D94" t="s">
        <v>710</v>
      </c>
      <c r="E94" t="s">
        <v>744</v>
      </c>
      <c r="F94">
        <v>29.99</v>
      </c>
      <c r="G94">
        <v>2</v>
      </c>
      <c r="H94">
        <v>5</v>
      </c>
      <c r="I94">
        <v>28.49</v>
      </c>
      <c r="J94">
        <v>56.98</v>
      </c>
      <c r="K94" t="s">
        <v>669</v>
      </c>
      <c r="L94" t="s">
        <v>656</v>
      </c>
      <c r="M94">
        <v>4</v>
      </c>
    </row>
    <row r="95" spans="1:13" x14ac:dyDescent="0.25">
      <c r="A95" t="s">
        <v>869</v>
      </c>
      <c r="B95" t="s">
        <v>70</v>
      </c>
      <c r="C95" t="s">
        <v>870</v>
      </c>
      <c r="D95" t="s">
        <v>710</v>
      </c>
      <c r="E95" t="s">
        <v>744</v>
      </c>
      <c r="F95">
        <v>29.99</v>
      </c>
      <c r="G95">
        <v>3</v>
      </c>
      <c r="H95">
        <v>0</v>
      </c>
      <c r="I95">
        <v>29.99</v>
      </c>
      <c r="J95">
        <v>89.97</v>
      </c>
      <c r="K95" t="s">
        <v>655</v>
      </c>
      <c r="L95" t="s">
        <v>656</v>
      </c>
      <c r="M95">
        <v>3</v>
      </c>
    </row>
    <row r="96" spans="1:13" x14ac:dyDescent="0.25">
      <c r="A96" t="s">
        <v>871</v>
      </c>
      <c r="B96" t="s">
        <v>70</v>
      </c>
      <c r="C96" t="s">
        <v>872</v>
      </c>
      <c r="D96" t="s">
        <v>667</v>
      </c>
      <c r="E96" t="s">
        <v>714</v>
      </c>
      <c r="F96">
        <v>44.99</v>
      </c>
      <c r="G96">
        <v>2</v>
      </c>
      <c r="H96">
        <v>15</v>
      </c>
      <c r="I96">
        <v>38.24</v>
      </c>
      <c r="J96">
        <v>76.48</v>
      </c>
      <c r="K96" t="s">
        <v>655</v>
      </c>
      <c r="L96" t="s">
        <v>656</v>
      </c>
      <c r="M96">
        <v>3</v>
      </c>
    </row>
    <row r="97" spans="1:13" x14ac:dyDescent="0.25">
      <c r="A97" t="s">
        <v>873</v>
      </c>
      <c r="B97" t="s">
        <v>70</v>
      </c>
      <c r="C97" t="s">
        <v>874</v>
      </c>
      <c r="D97" t="s">
        <v>680</v>
      </c>
      <c r="E97" t="s">
        <v>708</v>
      </c>
      <c r="F97">
        <v>24.99</v>
      </c>
      <c r="G97">
        <v>3</v>
      </c>
      <c r="H97">
        <v>20</v>
      </c>
      <c r="I97">
        <v>19.989999999999998</v>
      </c>
      <c r="J97">
        <v>59.97</v>
      </c>
      <c r="K97" t="s">
        <v>661</v>
      </c>
      <c r="L97" t="s">
        <v>656</v>
      </c>
      <c r="M97">
        <v>3</v>
      </c>
    </row>
    <row r="98" spans="1:13" x14ac:dyDescent="0.25">
      <c r="A98" t="s">
        <v>875</v>
      </c>
      <c r="B98" t="s">
        <v>73</v>
      </c>
      <c r="C98" t="s">
        <v>876</v>
      </c>
      <c r="D98" t="s">
        <v>680</v>
      </c>
      <c r="E98" t="s">
        <v>688</v>
      </c>
      <c r="F98">
        <v>29.99</v>
      </c>
      <c r="G98">
        <v>2</v>
      </c>
      <c r="H98">
        <v>10</v>
      </c>
      <c r="I98">
        <v>26.99</v>
      </c>
      <c r="J98">
        <v>53.98</v>
      </c>
      <c r="K98" t="s">
        <v>661</v>
      </c>
      <c r="L98" t="s">
        <v>656</v>
      </c>
      <c r="M98">
        <v>4</v>
      </c>
    </row>
    <row r="99" spans="1:13" x14ac:dyDescent="0.25">
      <c r="A99" t="s">
        <v>877</v>
      </c>
      <c r="B99" t="s">
        <v>73</v>
      </c>
      <c r="C99" t="s">
        <v>878</v>
      </c>
      <c r="D99" t="s">
        <v>710</v>
      </c>
      <c r="E99" t="s">
        <v>730</v>
      </c>
      <c r="F99">
        <v>39.99</v>
      </c>
      <c r="G99">
        <v>3</v>
      </c>
      <c r="H99">
        <v>0</v>
      </c>
      <c r="I99">
        <v>39.99</v>
      </c>
      <c r="J99">
        <v>119.97</v>
      </c>
      <c r="K99" t="s">
        <v>661</v>
      </c>
      <c r="L99" t="s">
        <v>656</v>
      </c>
      <c r="M99">
        <v>4</v>
      </c>
    </row>
    <row r="100" spans="1:13" x14ac:dyDescent="0.25">
      <c r="A100" t="s">
        <v>879</v>
      </c>
      <c r="B100" t="s">
        <v>73</v>
      </c>
      <c r="C100" t="s">
        <v>880</v>
      </c>
      <c r="D100" t="s">
        <v>659</v>
      </c>
      <c r="E100" t="s">
        <v>820</v>
      </c>
      <c r="F100">
        <v>39.99</v>
      </c>
      <c r="G100">
        <v>2</v>
      </c>
      <c r="H100">
        <v>0</v>
      </c>
      <c r="I100">
        <v>39.99</v>
      </c>
      <c r="J100">
        <v>79.98</v>
      </c>
      <c r="K100" t="s">
        <v>655</v>
      </c>
      <c r="L100" t="s">
        <v>656</v>
      </c>
      <c r="M100">
        <v>5</v>
      </c>
    </row>
    <row r="101" spans="1:13" x14ac:dyDescent="0.25">
      <c r="A101" t="s">
        <v>881</v>
      </c>
      <c r="B101" t="s">
        <v>73</v>
      </c>
      <c r="C101" t="s">
        <v>870</v>
      </c>
      <c r="D101" t="s">
        <v>680</v>
      </c>
      <c r="E101" t="s">
        <v>681</v>
      </c>
      <c r="F101">
        <v>19.989999999999998</v>
      </c>
      <c r="G101">
        <v>3</v>
      </c>
      <c r="H101">
        <v>5</v>
      </c>
      <c r="I101">
        <v>18.989999999999998</v>
      </c>
      <c r="J101">
        <v>56.97</v>
      </c>
      <c r="K101" t="s">
        <v>675</v>
      </c>
      <c r="L101" t="s">
        <v>656</v>
      </c>
      <c r="M101">
        <v>5</v>
      </c>
    </row>
    <row r="102" spans="1:13" x14ac:dyDescent="0.25">
      <c r="A102" t="s">
        <v>882</v>
      </c>
      <c r="B102" t="s">
        <v>73</v>
      </c>
      <c r="C102" t="s">
        <v>883</v>
      </c>
      <c r="D102" t="s">
        <v>667</v>
      </c>
      <c r="E102" t="s">
        <v>714</v>
      </c>
      <c r="F102">
        <v>44.99</v>
      </c>
      <c r="G102">
        <v>3</v>
      </c>
      <c r="H102">
        <v>0</v>
      </c>
      <c r="I102">
        <v>44.99</v>
      </c>
      <c r="J102">
        <v>134.97</v>
      </c>
      <c r="K102" t="s">
        <v>675</v>
      </c>
      <c r="L102" t="s">
        <v>656</v>
      </c>
      <c r="M102">
        <v>5</v>
      </c>
    </row>
    <row r="103" spans="1:13" x14ac:dyDescent="0.25">
      <c r="A103" t="s">
        <v>884</v>
      </c>
      <c r="B103" t="s">
        <v>73</v>
      </c>
      <c r="C103" t="s">
        <v>885</v>
      </c>
      <c r="D103" t="s">
        <v>672</v>
      </c>
      <c r="E103" t="s">
        <v>803</v>
      </c>
      <c r="F103">
        <v>69.989999999999995</v>
      </c>
      <c r="G103">
        <v>1</v>
      </c>
      <c r="H103">
        <v>0</v>
      </c>
      <c r="I103">
        <v>69.989999999999995</v>
      </c>
      <c r="J103">
        <v>69.989999999999995</v>
      </c>
      <c r="K103" t="s">
        <v>661</v>
      </c>
      <c r="L103" t="s">
        <v>656</v>
      </c>
    </row>
    <row r="104" spans="1:13" x14ac:dyDescent="0.25">
      <c r="A104" t="s">
        <v>886</v>
      </c>
      <c r="B104" t="s">
        <v>73</v>
      </c>
      <c r="C104" t="s">
        <v>887</v>
      </c>
      <c r="D104" t="s">
        <v>680</v>
      </c>
      <c r="E104" t="s">
        <v>708</v>
      </c>
      <c r="F104">
        <v>24.99</v>
      </c>
      <c r="G104">
        <v>1</v>
      </c>
      <c r="H104">
        <v>0</v>
      </c>
      <c r="I104">
        <v>24.99</v>
      </c>
      <c r="J104">
        <v>24.99</v>
      </c>
      <c r="K104" t="s">
        <v>675</v>
      </c>
      <c r="L104" t="s">
        <v>656</v>
      </c>
      <c r="M104">
        <v>3</v>
      </c>
    </row>
    <row r="105" spans="1:13" x14ac:dyDescent="0.25">
      <c r="A105" t="s">
        <v>888</v>
      </c>
      <c r="B105" t="s">
        <v>73</v>
      </c>
      <c r="C105" t="s">
        <v>889</v>
      </c>
      <c r="D105" t="s">
        <v>653</v>
      </c>
      <c r="E105" t="s">
        <v>727</v>
      </c>
      <c r="F105">
        <v>14.99</v>
      </c>
      <c r="G105">
        <v>3</v>
      </c>
      <c r="H105">
        <v>10</v>
      </c>
      <c r="I105">
        <v>13.49</v>
      </c>
      <c r="J105">
        <v>40.47</v>
      </c>
      <c r="K105" t="s">
        <v>669</v>
      </c>
      <c r="L105" t="s">
        <v>656</v>
      </c>
      <c r="M105">
        <v>3</v>
      </c>
    </row>
    <row r="106" spans="1:13" x14ac:dyDescent="0.25">
      <c r="A106" t="s">
        <v>890</v>
      </c>
      <c r="B106" t="s">
        <v>73</v>
      </c>
      <c r="C106" t="s">
        <v>891</v>
      </c>
      <c r="D106" t="s">
        <v>653</v>
      </c>
      <c r="E106" t="s">
        <v>827</v>
      </c>
      <c r="F106">
        <v>29.99</v>
      </c>
      <c r="G106">
        <v>3</v>
      </c>
      <c r="H106">
        <v>0</v>
      </c>
      <c r="I106">
        <v>29.99</v>
      </c>
      <c r="J106">
        <v>89.97</v>
      </c>
      <c r="K106" t="s">
        <v>675</v>
      </c>
      <c r="L106" t="s">
        <v>788</v>
      </c>
      <c r="M106">
        <v>4</v>
      </c>
    </row>
    <row r="107" spans="1:13" x14ac:dyDescent="0.25">
      <c r="A107" t="s">
        <v>892</v>
      </c>
      <c r="B107" t="s">
        <v>73</v>
      </c>
      <c r="C107" t="s">
        <v>428</v>
      </c>
      <c r="D107" t="s">
        <v>672</v>
      </c>
      <c r="E107" t="s">
        <v>735</v>
      </c>
      <c r="F107">
        <v>44.99</v>
      </c>
      <c r="G107">
        <v>3</v>
      </c>
      <c r="H107">
        <v>0</v>
      </c>
      <c r="I107">
        <v>44.99</v>
      </c>
      <c r="J107">
        <v>134.97</v>
      </c>
      <c r="K107" t="s">
        <v>661</v>
      </c>
      <c r="L107" t="s">
        <v>788</v>
      </c>
    </row>
    <row r="108" spans="1:13" x14ac:dyDescent="0.25">
      <c r="A108" t="s">
        <v>893</v>
      </c>
      <c r="B108" t="s">
        <v>73</v>
      </c>
      <c r="C108" t="s">
        <v>894</v>
      </c>
      <c r="D108" t="s">
        <v>667</v>
      </c>
      <c r="E108" t="s">
        <v>668</v>
      </c>
      <c r="F108">
        <v>64.989999999999995</v>
      </c>
      <c r="G108">
        <v>2</v>
      </c>
      <c r="H108">
        <v>10</v>
      </c>
      <c r="I108">
        <v>58.49</v>
      </c>
      <c r="J108">
        <v>116.98</v>
      </c>
      <c r="K108" t="s">
        <v>675</v>
      </c>
      <c r="L108" t="s">
        <v>656</v>
      </c>
      <c r="M108">
        <v>4</v>
      </c>
    </row>
    <row r="109" spans="1:13" x14ac:dyDescent="0.25">
      <c r="A109" t="s">
        <v>895</v>
      </c>
      <c r="B109" t="s">
        <v>73</v>
      </c>
      <c r="C109" t="s">
        <v>896</v>
      </c>
      <c r="D109" t="s">
        <v>659</v>
      </c>
      <c r="E109" t="s">
        <v>762</v>
      </c>
      <c r="F109">
        <v>49.99</v>
      </c>
      <c r="G109">
        <v>2</v>
      </c>
      <c r="H109">
        <v>10</v>
      </c>
      <c r="I109">
        <v>44.99</v>
      </c>
      <c r="J109">
        <v>89.98</v>
      </c>
      <c r="K109" t="s">
        <v>669</v>
      </c>
      <c r="L109" t="s">
        <v>656</v>
      </c>
      <c r="M109">
        <v>5</v>
      </c>
    </row>
    <row r="110" spans="1:13" x14ac:dyDescent="0.25">
      <c r="A110" t="s">
        <v>897</v>
      </c>
      <c r="B110" t="s">
        <v>80</v>
      </c>
      <c r="C110" t="s">
        <v>93</v>
      </c>
      <c r="D110" t="s">
        <v>672</v>
      </c>
      <c r="E110" t="s">
        <v>735</v>
      </c>
      <c r="F110">
        <v>44.99</v>
      </c>
      <c r="G110">
        <v>1</v>
      </c>
      <c r="H110">
        <v>0</v>
      </c>
      <c r="I110">
        <v>44.99</v>
      </c>
      <c r="J110">
        <v>44.99</v>
      </c>
      <c r="K110" t="s">
        <v>669</v>
      </c>
      <c r="L110" t="s">
        <v>656</v>
      </c>
      <c r="M110">
        <v>5</v>
      </c>
    </row>
    <row r="111" spans="1:13" x14ac:dyDescent="0.25">
      <c r="A111" t="s">
        <v>898</v>
      </c>
      <c r="B111" t="s">
        <v>80</v>
      </c>
      <c r="C111" t="s">
        <v>899</v>
      </c>
      <c r="D111" t="s">
        <v>680</v>
      </c>
      <c r="E111" t="s">
        <v>708</v>
      </c>
      <c r="F111">
        <v>24.99</v>
      </c>
      <c r="G111">
        <v>3</v>
      </c>
      <c r="H111">
        <v>5</v>
      </c>
      <c r="I111">
        <v>23.74</v>
      </c>
      <c r="J111">
        <v>71.22</v>
      </c>
      <c r="K111" t="s">
        <v>675</v>
      </c>
      <c r="L111" t="s">
        <v>656</v>
      </c>
    </row>
    <row r="112" spans="1:13" x14ac:dyDescent="0.25">
      <c r="A112" t="s">
        <v>900</v>
      </c>
      <c r="B112" t="s">
        <v>80</v>
      </c>
      <c r="C112" t="s">
        <v>901</v>
      </c>
      <c r="D112" t="s">
        <v>672</v>
      </c>
      <c r="E112" t="s">
        <v>735</v>
      </c>
      <c r="F112">
        <v>44.99</v>
      </c>
      <c r="G112">
        <v>4</v>
      </c>
      <c r="H112">
        <v>0</v>
      </c>
      <c r="I112">
        <v>44.99</v>
      </c>
      <c r="J112">
        <v>179.96</v>
      </c>
      <c r="K112" t="s">
        <v>661</v>
      </c>
      <c r="L112" t="s">
        <v>656</v>
      </c>
      <c r="M112">
        <v>5</v>
      </c>
    </row>
    <row r="113" spans="1:13" x14ac:dyDescent="0.25">
      <c r="A113" t="s">
        <v>902</v>
      </c>
      <c r="B113" t="s">
        <v>80</v>
      </c>
      <c r="C113" t="s">
        <v>903</v>
      </c>
      <c r="D113" t="s">
        <v>680</v>
      </c>
      <c r="E113" t="s">
        <v>688</v>
      </c>
      <c r="F113">
        <v>29.99</v>
      </c>
      <c r="G113">
        <v>2</v>
      </c>
      <c r="H113">
        <v>15</v>
      </c>
      <c r="I113">
        <v>25.49</v>
      </c>
      <c r="J113">
        <v>50.98</v>
      </c>
      <c r="K113" t="s">
        <v>682</v>
      </c>
      <c r="L113" t="s">
        <v>656</v>
      </c>
      <c r="M113">
        <v>5</v>
      </c>
    </row>
    <row r="114" spans="1:13" x14ac:dyDescent="0.25">
      <c r="A114" t="s">
        <v>904</v>
      </c>
      <c r="B114" t="s">
        <v>80</v>
      </c>
      <c r="C114" t="s">
        <v>905</v>
      </c>
      <c r="D114" t="s">
        <v>667</v>
      </c>
      <c r="E114" t="s">
        <v>714</v>
      </c>
      <c r="F114">
        <v>44.99</v>
      </c>
      <c r="G114">
        <v>1</v>
      </c>
      <c r="H114">
        <v>5</v>
      </c>
      <c r="I114">
        <v>42.74</v>
      </c>
      <c r="J114">
        <v>42.74</v>
      </c>
      <c r="K114" t="s">
        <v>669</v>
      </c>
      <c r="L114" t="s">
        <v>656</v>
      </c>
      <c r="M114">
        <v>4</v>
      </c>
    </row>
    <row r="115" spans="1:13" x14ac:dyDescent="0.25">
      <c r="A115" t="s">
        <v>906</v>
      </c>
      <c r="B115" t="s">
        <v>80</v>
      </c>
      <c r="C115" t="s">
        <v>907</v>
      </c>
      <c r="D115" t="s">
        <v>684</v>
      </c>
      <c r="E115" t="s">
        <v>815</v>
      </c>
      <c r="F115">
        <v>34.99</v>
      </c>
      <c r="G115">
        <v>1</v>
      </c>
      <c r="H115">
        <v>0</v>
      </c>
      <c r="I115">
        <v>34.99</v>
      </c>
      <c r="J115">
        <v>34.99</v>
      </c>
      <c r="K115" t="s">
        <v>669</v>
      </c>
      <c r="L115" t="s">
        <v>656</v>
      </c>
      <c r="M115">
        <v>4</v>
      </c>
    </row>
    <row r="116" spans="1:13" x14ac:dyDescent="0.25">
      <c r="A116" t="s">
        <v>908</v>
      </c>
      <c r="B116" t="s">
        <v>80</v>
      </c>
      <c r="C116" t="s">
        <v>909</v>
      </c>
      <c r="D116" t="s">
        <v>653</v>
      </c>
      <c r="E116" t="s">
        <v>769</v>
      </c>
      <c r="F116">
        <v>49.99</v>
      </c>
      <c r="G116">
        <v>3</v>
      </c>
      <c r="H116">
        <v>0</v>
      </c>
      <c r="I116">
        <v>49.99</v>
      </c>
      <c r="J116">
        <v>149.97</v>
      </c>
      <c r="K116" t="s">
        <v>661</v>
      </c>
      <c r="L116" t="s">
        <v>656</v>
      </c>
    </row>
    <row r="117" spans="1:13" x14ac:dyDescent="0.25">
      <c r="A117" t="s">
        <v>910</v>
      </c>
      <c r="B117" t="s">
        <v>80</v>
      </c>
      <c r="C117" t="s">
        <v>911</v>
      </c>
      <c r="D117" t="s">
        <v>659</v>
      </c>
      <c r="E117" t="s">
        <v>762</v>
      </c>
      <c r="F117">
        <v>49.99</v>
      </c>
      <c r="G117">
        <v>1</v>
      </c>
      <c r="H117">
        <v>0</v>
      </c>
      <c r="I117">
        <v>49.99</v>
      </c>
      <c r="J117">
        <v>49.99</v>
      </c>
      <c r="K117" t="s">
        <v>682</v>
      </c>
      <c r="L117" t="s">
        <v>656</v>
      </c>
      <c r="M117">
        <v>5</v>
      </c>
    </row>
    <row r="118" spans="1:13" x14ac:dyDescent="0.25">
      <c r="A118" t="s">
        <v>912</v>
      </c>
      <c r="B118" t="s">
        <v>80</v>
      </c>
      <c r="C118" t="s">
        <v>913</v>
      </c>
      <c r="D118" t="s">
        <v>667</v>
      </c>
      <c r="E118" t="s">
        <v>714</v>
      </c>
      <c r="F118">
        <v>44.99</v>
      </c>
      <c r="G118">
        <v>1</v>
      </c>
      <c r="H118">
        <v>0</v>
      </c>
      <c r="I118">
        <v>44.99</v>
      </c>
      <c r="J118">
        <v>44.99</v>
      </c>
      <c r="K118" t="s">
        <v>682</v>
      </c>
      <c r="L118" t="s">
        <v>656</v>
      </c>
      <c r="M118">
        <v>2</v>
      </c>
    </row>
    <row r="119" spans="1:13" x14ac:dyDescent="0.25">
      <c r="A119" t="s">
        <v>914</v>
      </c>
      <c r="B119" t="s">
        <v>80</v>
      </c>
      <c r="C119" t="s">
        <v>915</v>
      </c>
      <c r="D119" t="s">
        <v>659</v>
      </c>
      <c r="E119" t="s">
        <v>660</v>
      </c>
      <c r="F119">
        <v>19.989999999999998</v>
      </c>
      <c r="G119">
        <v>4</v>
      </c>
      <c r="H119">
        <v>20</v>
      </c>
      <c r="I119">
        <v>15.99</v>
      </c>
      <c r="J119">
        <v>63.96</v>
      </c>
      <c r="K119" t="s">
        <v>661</v>
      </c>
      <c r="L119" t="s">
        <v>656</v>
      </c>
      <c r="M119">
        <v>3</v>
      </c>
    </row>
    <row r="120" spans="1:13" x14ac:dyDescent="0.25">
      <c r="A120" t="s">
        <v>916</v>
      </c>
      <c r="B120" t="s">
        <v>85</v>
      </c>
      <c r="C120" t="s">
        <v>917</v>
      </c>
      <c r="D120" t="s">
        <v>672</v>
      </c>
      <c r="E120" t="s">
        <v>724</v>
      </c>
      <c r="F120">
        <v>89.99</v>
      </c>
      <c r="G120">
        <v>4</v>
      </c>
      <c r="H120">
        <v>0</v>
      </c>
      <c r="I120">
        <v>89.99</v>
      </c>
      <c r="J120">
        <v>359.96</v>
      </c>
      <c r="K120" t="s">
        <v>682</v>
      </c>
      <c r="L120" t="s">
        <v>656</v>
      </c>
      <c r="M120">
        <v>5</v>
      </c>
    </row>
    <row r="121" spans="1:13" x14ac:dyDescent="0.25">
      <c r="A121" t="s">
        <v>918</v>
      </c>
      <c r="B121" t="s">
        <v>85</v>
      </c>
      <c r="C121" t="s">
        <v>347</v>
      </c>
      <c r="D121" t="s">
        <v>653</v>
      </c>
      <c r="E121" t="s">
        <v>827</v>
      </c>
      <c r="F121">
        <v>29.99</v>
      </c>
      <c r="G121">
        <v>2</v>
      </c>
      <c r="H121">
        <v>10</v>
      </c>
      <c r="I121">
        <v>26.99</v>
      </c>
      <c r="J121">
        <v>53.98</v>
      </c>
      <c r="K121" t="s">
        <v>682</v>
      </c>
      <c r="L121" t="s">
        <v>656</v>
      </c>
      <c r="M121">
        <v>4</v>
      </c>
    </row>
    <row r="122" spans="1:13" x14ac:dyDescent="0.25">
      <c r="A122" t="s">
        <v>919</v>
      </c>
      <c r="B122" t="s">
        <v>85</v>
      </c>
      <c r="C122" t="s">
        <v>920</v>
      </c>
      <c r="D122" t="s">
        <v>710</v>
      </c>
      <c r="E122" t="s">
        <v>730</v>
      </c>
      <c r="F122">
        <v>39.99</v>
      </c>
      <c r="G122">
        <v>3</v>
      </c>
      <c r="H122">
        <v>0</v>
      </c>
      <c r="I122">
        <v>39.99</v>
      </c>
      <c r="J122">
        <v>119.97</v>
      </c>
      <c r="K122" t="s">
        <v>655</v>
      </c>
      <c r="L122" t="s">
        <v>656</v>
      </c>
      <c r="M122">
        <v>5</v>
      </c>
    </row>
    <row r="123" spans="1:13" x14ac:dyDescent="0.25">
      <c r="A123" t="s">
        <v>921</v>
      </c>
      <c r="B123" t="s">
        <v>89</v>
      </c>
      <c r="C123" t="s">
        <v>917</v>
      </c>
      <c r="D123" t="s">
        <v>672</v>
      </c>
      <c r="E123" t="s">
        <v>724</v>
      </c>
      <c r="F123">
        <v>89.99</v>
      </c>
      <c r="G123">
        <v>4</v>
      </c>
      <c r="H123">
        <v>5</v>
      </c>
      <c r="I123">
        <v>85.49</v>
      </c>
      <c r="J123">
        <v>341.96</v>
      </c>
      <c r="K123" t="s">
        <v>675</v>
      </c>
      <c r="L123" t="s">
        <v>693</v>
      </c>
      <c r="M123">
        <v>4</v>
      </c>
    </row>
    <row r="124" spans="1:13" x14ac:dyDescent="0.25">
      <c r="A124" t="s">
        <v>922</v>
      </c>
      <c r="B124" t="s">
        <v>89</v>
      </c>
      <c r="C124" t="s">
        <v>923</v>
      </c>
      <c r="D124" t="s">
        <v>667</v>
      </c>
      <c r="E124" t="s">
        <v>714</v>
      </c>
      <c r="F124">
        <v>44.99</v>
      </c>
      <c r="G124">
        <v>4</v>
      </c>
      <c r="H124">
        <v>5</v>
      </c>
      <c r="I124">
        <v>42.74</v>
      </c>
      <c r="J124">
        <v>170.96</v>
      </c>
      <c r="K124" t="s">
        <v>661</v>
      </c>
      <c r="L124" t="s">
        <v>656</v>
      </c>
      <c r="M124">
        <v>4</v>
      </c>
    </row>
    <row r="125" spans="1:13" x14ac:dyDescent="0.25">
      <c r="A125" t="s">
        <v>924</v>
      </c>
      <c r="B125" t="s">
        <v>89</v>
      </c>
      <c r="C125" t="s">
        <v>925</v>
      </c>
      <c r="D125" t="s">
        <v>659</v>
      </c>
      <c r="E125" t="s">
        <v>660</v>
      </c>
      <c r="F125">
        <v>19.989999999999998</v>
      </c>
      <c r="G125">
        <v>1</v>
      </c>
      <c r="H125">
        <v>15</v>
      </c>
      <c r="I125">
        <v>16.989999999999998</v>
      </c>
      <c r="J125">
        <v>16.989999999999998</v>
      </c>
      <c r="K125" t="s">
        <v>682</v>
      </c>
      <c r="L125" t="s">
        <v>656</v>
      </c>
      <c r="M125">
        <v>5</v>
      </c>
    </row>
    <row r="126" spans="1:13" x14ac:dyDescent="0.25">
      <c r="A126" t="s">
        <v>926</v>
      </c>
      <c r="B126" t="s">
        <v>89</v>
      </c>
      <c r="C126" t="s">
        <v>927</v>
      </c>
      <c r="D126" t="s">
        <v>684</v>
      </c>
      <c r="E126" t="s">
        <v>815</v>
      </c>
      <c r="F126">
        <v>34.99</v>
      </c>
      <c r="G126">
        <v>4</v>
      </c>
      <c r="H126">
        <v>20</v>
      </c>
      <c r="I126">
        <v>27.99</v>
      </c>
      <c r="J126">
        <v>111.96</v>
      </c>
      <c r="K126" t="s">
        <v>661</v>
      </c>
      <c r="L126" t="s">
        <v>656</v>
      </c>
      <c r="M126">
        <v>3</v>
      </c>
    </row>
    <row r="127" spans="1:13" x14ac:dyDescent="0.25">
      <c r="A127" t="s">
        <v>928</v>
      </c>
      <c r="B127" t="s">
        <v>89</v>
      </c>
      <c r="C127" t="s">
        <v>889</v>
      </c>
      <c r="D127" t="s">
        <v>680</v>
      </c>
      <c r="E127" t="s">
        <v>688</v>
      </c>
      <c r="F127">
        <v>29.99</v>
      </c>
      <c r="G127">
        <v>2</v>
      </c>
      <c r="H127">
        <v>0</v>
      </c>
      <c r="I127">
        <v>29.99</v>
      </c>
      <c r="J127">
        <v>59.98</v>
      </c>
      <c r="K127" t="s">
        <v>661</v>
      </c>
      <c r="L127" t="s">
        <v>656</v>
      </c>
    </row>
    <row r="128" spans="1:13" x14ac:dyDescent="0.25">
      <c r="A128" t="s">
        <v>929</v>
      </c>
      <c r="B128" t="s">
        <v>89</v>
      </c>
      <c r="C128" t="s">
        <v>930</v>
      </c>
      <c r="D128" t="s">
        <v>653</v>
      </c>
      <c r="E128" t="s">
        <v>827</v>
      </c>
      <c r="F128">
        <v>29.99</v>
      </c>
      <c r="G128">
        <v>1</v>
      </c>
      <c r="H128">
        <v>20</v>
      </c>
      <c r="I128">
        <v>23.99</v>
      </c>
      <c r="J128">
        <v>23.99</v>
      </c>
      <c r="K128" t="s">
        <v>669</v>
      </c>
      <c r="L128" t="s">
        <v>656</v>
      </c>
      <c r="M128">
        <v>3</v>
      </c>
    </row>
    <row r="129" spans="1:13" x14ac:dyDescent="0.25">
      <c r="A129" t="s">
        <v>931</v>
      </c>
      <c r="B129" t="s">
        <v>89</v>
      </c>
      <c r="C129" t="s">
        <v>901</v>
      </c>
      <c r="D129" t="s">
        <v>659</v>
      </c>
      <c r="E129" t="s">
        <v>762</v>
      </c>
      <c r="F129">
        <v>49.99</v>
      </c>
      <c r="G129">
        <v>2</v>
      </c>
      <c r="H129">
        <v>0</v>
      </c>
      <c r="I129">
        <v>49.99</v>
      </c>
      <c r="J129">
        <v>99.98</v>
      </c>
      <c r="K129" t="s">
        <v>682</v>
      </c>
      <c r="L129" t="s">
        <v>656</v>
      </c>
      <c r="M129">
        <v>3</v>
      </c>
    </row>
    <row r="130" spans="1:13" x14ac:dyDescent="0.25">
      <c r="A130" t="s">
        <v>932</v>
      </c>
      <c r="B130" t="s">
        <v>89</v>
      </c>
      <c r="C130" t="s">
        <v>933</v>
      </c>
      <c r="D130" t="s">
        <v>659</v>
      </c>
      <c r="E130" t="s">
        <v>664</v>
      </c>
      <c r="F130">
        <v>24.99</v>
      </c>
      <c r="G130">
        <v>2</v>
      </c>
      <c r="H130">
        <v>0</v>
      </c>
      <c r="I130">
        <v>24.99</v>
      </c>
      <c r="J130">
        <v>49.98</v>
      </c>
      <c r="K130" t="s">
        <v>669</v>
      </c>
      <c r="L130" t="s">
        <v>656</v>
      </c>
      <c r="M130">
        <v>5</v>
      </c>
    </row>
    <row r="131" spans="1:13" x14ac:dyDescent="0.25">
      <c r="A131" t="s">
        <v>934</v>
      </c>
      <c r="B131" t="s">
        <v>89</v>
      </c>
      <c r="C131" t="s">
        <v>935</v>
      </c>
      <c r="D131" t="s">
        <v>672</v>
      </c>
      <c r="E131" t="s">
        <v>735</v>
      </c>
      <c r="F131">
        <v>44.99</v>
      </c>
      <c r="G131">
        <v>2</v>
      </c>
      <c r="H131">
        <v>10</v>
      </c>
      <c r="I131">
        <v>40.49</v>
      </c>
      <c r="J131">
        <v>80.98</v>
      </c>
      <c r="K131" t="s">
        <v>675</v>
      </c>
      <c r="L131" t="s">
        <v>785</v>
      </c>
    </row>
    <row r="132" spans="1:13" x14ac:dyDescent="0.25">
      <c r="A132" t="s">
        <v>936</v>
      </c>
      <c r="B132" t="s">
        <v>89</v>
      </c>
      <c r="C132" t="s">
        <v>937</v>
      </c>
      <c r="D132" t="s">
        <v>659</v>
      </c>
      <c r="E132" t="s">
        <v>820</v>
      </c>
      <c r="F132">
        <v>39.99</v>
      </c>
      <c r="G132">
        <v>4</v>
      </c>
      <c r="H132">
        <v>15</v>
      </c>
      <c r="I132">
        <v>33.99</v>
      </c>
      <c r="J132">
        <v>135.96</v>
      </c>
      <c r="K132" t="s">
        <v>661</v>
      </c>
      <c r="L132" t="s">
        <v>656</v>
      </c>
      <c r="M132">
        <v>4</v>
      </c>
    </row>
    <row r="133" spans="1:13" x14ac:dyDescent="0.25">
      <c r="A133" t="s">
        <v>938</v>
      </c>
      <c r="B133" t="s">
        <v>94</v>
      </c>
      <c r="C133" t="s">
        <v>939</v>
      </c>
      <c r="D133" t="s">
        <v>710</v>
      </c>
      <c r="E133" t="s">
        <v>711</v>
      </c>
      <c r="F133">
        <v>14.99</v>
      </c>
      <c r="G133">
        <v>3</v>
      </c>
      <c r="H133">
        <v>15</v>
      </c>
      <c r="I133">
        <v>12.74</v>
      </c>
      <c r="J133">
        <v>38.22</v>
      </c>
      <c r="K133" t="s">
        <v>655</v>
      </c>
      <c r="L133" t="s">
        <v>788</v>
      </c>
      <c r="M133">
        <v>5</v>
      </c>
    </row>
    <row r="134" spans="1:13" x14ac:dyDescent="0.25">
      <c r="A134" t="s">
        <v>940</v>
      </c>
      <c r="B134" t="s">
        <v>94</v>
      </c>
      <c r="C134" t="s">
        <v>941</v>
      </c>
      <c r="D134" t="s">
        <v>680</v>
      </c>
      <c r="E134" t="s">
        <v>708</v>
      </c>
      <c r="F134">
        <v>24.99</v>
      </c>
      <c r="G134">
        <v>1</v>
      </c>
      <c r="H134">
        <v>0</v>
      </c>
      <c r="I134">
        <v>24.99</v>
      </c>
      <c r="J134">
        <v>24.99</v>
      </c>
      <c r="K134" t="s">
        <v>675</v>
      </c>
      <c r="L134" t="s">
        <v>656</v>
      </c>
      <c r="M134">
        <v>4</v>
      </c>
    </row>
    <row r="135" spans="1:13" x14ac:dyDescent="0.25">
      <c r="A135" t="s">
        <v>942</v>
      </c>
      <c r="B135" t="s">
        <v>94</v>
      </c>
      <c r="C135" t="s">
        <v>943</v>
      </c>
      <c r="D135" t="s">
        <v>653</v>
      </c>
      <c r="E135" t="s">
        <v>727</v>
      </c>
      <c r="F135">
        <v>14.99</v>
      </c>
      <c r="G135">
        <v>4</v>
      </c>
      <c r="H135">
        <v>20</v>
      </c>
      <c r="I135">
        <v>11.99</v>
      </c>
      <c r="J135">
        <v>47.96</v>
      </c>
      <c r="K135" t="s">
        <v>661</v>
      </c>
      <c r="L135" t="s">
        <v>739</v>
      </c>
      <c r="M135">
        <v>5</v>
      </c>
    </row>
    <row r="136" spans="1:13" x14ac:dyDescent="0.25">
      <c r="A136" t="s">
        <v>944</v>
      </c>
      <c r="B136" t="s">
        <v>94</v>
      </c>
      <c r="C136" t="s">
        <v>945</v>
      </c>
      <c r="D136" t="s">
        <v>653</v>
      </c>
      <c r="E136" t="s">
        <v>827</v>
      </c>
      <c r="F136">
        <v>29.99</v>
      </c>
      <c r="G136">
        <v>2</v>
      </c>
      <c r="H136">
        <v>5</v>
      </c>
      <c r="I136">
        <v>28.49</v>
      </c>
      <c r="J136">
        <v>56.98</v>
      </c>
      <c r="K136" t="s">
        <v>682</v>
      </c>
      <c r="L136" t="s">
        <v>656</v>
      </c>
      <c r="M136">
        <v>5</v>
      </c>
    </row>
    <row r="137" spans="1:13" x14ac:dyDescent="0.25">
      <c r="A137" t="s">
        <v>946</v>
      </c>
      <c r="B137" t="s">
        <v>94</v>
      </c>
      <c r="C137" t="s">
        <v>741</v>
      </c>
      <c r="D137" t="s">
        <v>710</v>
      </c>
      <c r="E137" t="s">
        <v>730</v>
      </c>
      <c r="F137">
        <v>39.99</v>
      </c>
      <c r="G137">
        <v>4</v>
      </c>
      <c r="H137">
        <v>0</v>
      </c>
      <c r="I137">
        <v>39.99</v>
      </c>
      <c r="J137">
        <v>159.96</v>
      </c>
      <c r="K137" t="s">
        <v>675</v>
      </c>
      <c r="L137" t="s">
        <v>656</v>
      </c>
    </row>
    <row r="138" spans="1:13" x14ac:dyDescent="0.25">
      <c r="A138" t="s">
        <v>947</v>
      </c>
      <c r="B138" t="s">
        <v>94</v>
      </c>
      <c r="C138" t="s">
        <v>948</v>
      </c>
      <c r="D138" t="s">
        <v>684</v>
      </c>
      <c r="E138" t="s">
        <v>815</v>
      </c>
      <c r="F138">
        <v>34.99</v>
      </c>
      <c r="G138">
        <v>2</v>
      </c>
      <c r="H138">
        <v>10</v>
      </c>
      <c r="I138">
        <v>31.49</v>
      </c>
      <c r="J138">
        <v>62.98</v>
      </c>
      <c r="K138" t="s">
        <v>669</v>
      </c>
      <c r="L138" t="s">
        <v>656</v>
      </c>
    </row>
    <row r="139" spans="1:13" x14ac:dyDescent="0.25">
      <c r="A139" t="s">
        <v>949</v>
      </c>
      <c r="B139" t="s">
        <v>94</v>
      </c>
      <c r="C139" t="s">
        <v>950</v>
      </c>
      <c r="D139" t="s">
        <v>710</v>
      </c>
      <c r="E139" t="s">
        <v>744</v>
      </c>
      <c r="F139">
        <v>29.99</v>
      </c>
      <c r="G139">
        <v>4</v>
      </c>
      <c r="H139">
        <v>0</v>
      </c>
      <c r="I139">
        <v>29.99</v>
      </c>
      <c r="J139">
        <v>119.96</v>
      </c>
      <c r="K139" t="s">
        <v>675</v>
      </c>
      <c r="L139" t="s">
        <v>656</v>
      </c>
      <c r="M139">
        <v>3</v>
      </c>
    </row>
    <row r="140" spans="1:13" x14ac:dyDescent="0.25">
      <c r="A140" t="s">
        <v>951</v>
      </c>
      <c r="B140" t="s">
        <v>94</v>
      </c>
      <c r="C140" t="s">
        <v>952</v>
      </c>
      <c r="D140" t="s">
        <v>672</v>
      </c>
      <c r="E140" t="s">
        <v>673</v>
      </c>
      <c r="F140">
        <v>24.99</v>
      </c>
      <c r="G140">
        <v>1</v>
      </c>
      <c r="H140">
        <v>10</v>
      </c>
      <c r="I140">
        <v>22.49</v>
      </c>
      <c r="J140">
        <v>22.49</v>
      </c>
      <c r="K140" t="s">
        <v>661</v>
      </c>
      <c r="L140" t="s">
        <v>656</v>
      </c>
      <c r="M140">
        <v>2</v>
      </c>
    </row>
    <row r="141" spans="1:13" x14ac:dyDescent="0.25">
      <c r="A141" t="s">
        <v>953</v>
      </c>
      <c r="B141" t="s">
        <v>97</v>
      </c>
      <c r="C141" t="s">
        <v>891</v>
      </c>
      <c r="D141" t="s">
        <v>684</v>
      </c>
      <c r="E141" t="s">
        <v>685</v>
      </c>
      <c r="F141">
        <v>49.99</v>
      </c>
      <c r="G141">
        <v>2</v>
      </c>
      <c r="H141">
        <v>0</v>
      </c>
      <c r="I141">
        <v>49.99</v>
      </c>
      <c r="J141">
        <v>99.98</v>
      </c>
      <c r="K141" t="s">
        <v>675</v>
      </c>
      <c r="L141" t="s">
        <v>656</v>
      </c>
      <c r="M141">
        <v>4</v>
      </c>
    </row>
    <row r="142" spans="1:13" x14ac:dyDescent="0.25">
      <c r="A142" t="s">
        <v>954</v>
      </c>
      <c r="B142" t="s">
        <v>97</v>
      </c>
      <c r="C142" t="s">
        <v>955</v>
      </c>
      <c r="D142" t="s">
        <v>667</v>
      </c>
      <c r="E142" t="s">
        <v>699</v>
      </c>
      <c r="F142">
        <v>89.99</v>
      </c>
      <c r="G142">
        <v>4</v>
      </c>
      <c r="H142">
        <v>10</v>
      </c>
      <c r="I142">
        <v>80.989999999999995</v>
      </c>
      <c r="J142">
        <v>323.95999999999998</v>
      </c>
      <c r="K142" t="s">
        <v>675</v>
      </c>
      <c r="L142" t="s">
        <v>656</v>
      </c>
      <c r="M142">
        <v>4</v>
      </c>
    </row>
    <row r="143" spans="1:13" x14ac:dyDescent="0.25">
      <c r="A143" t="s">
        <v>956</v>
      </c>
      <c r="B143" t="s">
        <v>100</v>
      </c>
      <c r="C143" t="s">
        <v>519</v>
      </c>
      <c r="D143" t="s">
        <v>684</v>
      </c>
      <c r="E143" t="s">
        <v>685</v>
      </c>
      <c r="F143">
        <v>49.99</v>
      </c>
      <c r="G143">
        <v>3</v>
      </c>
      <c r="H143">
        <v>0</v>
      </c>
      <c r="I143">
        <v>49.99</v>
      </c>
      <c r="J143">
        <v>149.97</v>
      </c>
      <c r="K143" t="s">
        <v>675</v>
      </c>
      <c r="L143" t="s">
        <v>788</v>
      </c>
      <c r="M143">
        <v>4</v>
      </c>
    </row>
    <row r="144" spans="1:13" x14ac:dyDescent="0.25">
      <c r="A144" t="s">
        <v>957</v>
      </c>
      <c r="B144" t="s">
        <v>100</v>
      </c>
      <c r="C144" t="s">
        <v>958</v>
      </c>
      <c r="D144" t="s">
        <v>680</v>
      </c>
      <c r="E144" t="s">
        <v>749</v>
      </c>
      <c r="F144">
        <v>14.99</v>
      </c>
      <c r="G144">
        <v>3</v>
      </c>
      <c r="H144">
        <v>10</v>
      </c>
      <c r="I144">
        <v>13.49</v>
      </c>
      <c r="J144">
        <v>40.47</v>
      </c>
      <c r="K144" t="s">
        <v>682</v>
      </c>
      <c r="L144" t="s">
        <v>788</v>
      </c>
    </row>
    <row r="145" spans="1:13" x14ac:dyDescent="0.25">
      <c r="A145" t="s">
        <v>959</v>
      </c>
      <c r="B145" t="s">
        <v>100</v>
      </c>
      <c r="C145" t="s">
        <v>960</v>
      </c>
      <c r="D145" t="s">
        <v>684</v>
      </c>
      <c r="E145" t="s">
        <v>702</v>
      </c>
      <c r="F145">
        <v>199.99</v>
      </c>
      <c r="G145">
        <v>3</v>
      </c>
      <c r="H145">
        <v>0</v>
      </c>
      <c r="I145">
        <v>199.99</v>
      </c>
      <c r="J145">
        <v>599.97</v>
      </c>
      <c r="K145" t="s">
        <v>682</v>
      </c>
      <c r="L145" t="s">
        <v>656</v>
      </c>
      <c r="M145">
        <v>5</v>
      </c>
    </row>
    <row r="146" spans="1:13" x14ac:dyDescent="0.25">
      <c r="A146" t="s">
        <v>961</v>
      </c>
      <c r="B146" t="s">
        <v>100</v>
      </c>
      <c r="C146" t="s">
        <v>962</v>
      </c>
      <c r="D146" t="s">
        <v>680</v>
      </c>
      <c r="E146" t="s">
        <v>688</v>
      </c>
      <c r="F146">
        <v>29.99</v>
      </c>
      <c r="G146">
        <v>4</v>
      </c>
      <c r="H146">
        <v>0</v>
      </c>
      <c r="I146">
        <v>29.99</v>
      </c>
      <c r="J146">
        <v>119.96</v>
      </c>
      <c r="K146" t="s">
        <v>661</v>
      </c>
      <c r="L146" t="s">
        <v>656</v>
      </c>
      <c r="M146">
        <v>3</v>
      </c>
    </row>
    <row r="147" spans="1:13" x14ac:dyDescent="0.25">
      <c r="A147" t="s">
        <v>963</v>
      </c>
      <c r="B147" t="s">
        <v>100</v>
      </c>
      <c r="C147" t="s">
        <v>964</v>
      </c>
      <c r="D147" t="s">
        <v>710</v>
      </c>
      <c r="E147" t="s">
        <v>744</v>
      </c>
      <c r="F147">
        <v>29.99</v>
      </c>
      <c r="G147">
        <v>4</v>
      </c>
      <c r="H147">
        <v>5</v>
      </c>
      <c r="I147">
        <v>28.49</v>
      </c>
      <c r="J147">
        <v>113.96</v>
      </c>
      <c r="K147" t="s">
        <v>661</v>
      </c>
      <c r="L147" t="s">
        <v>785</v>
      </c>
    </row>
    <row r="148" spans="1:13" x14ac:dyDescent="0.25">
      <c r="A148" t="s">
        <v>965</v>
      </c>
      <c r="B148" t="s">
        <v>100</v>
      </c>
      <c r="C148" t="s">
        <v>966</v>
      </c>
      <c r="D148" t="s">
        <v>667</v>
      </c>
      <c r="E148" t="s">
        <v>696</v>
      </c>
      <c r="F148">
        <v>59.99</v>
      </c>
      <c r="G148">
        <v>4</v>
      </c>
      <c r="H148">
        <v>5</v>
      </c>
      <c r="I148">
        <v>56.99</v>
      </c>
      <c r="J148">
        <v>227.96</v>
      </c>
      <c r="K148" t="s">
        <v>669</v>
      </c>
      <c r="L148" t="s">
        <v>656</v>
      </c>
      <c r="M148">
        <v>4</v>
      </c>
    </row>
    <row r="149" spans="1:13" x14ac:dyDescent="0.25">
      <c r="A149" t="s">
        <v>967</v>
      </c>
      <c r="B149" t="s">
        <v>100</v>
      </c>
      <c r="C149" t="s">
        <v>968</v>
      </c>
      <c r="D149" t="s">
        <v>672</v>
      </c>
      <c r="E149" t="s">
        <v>673</v>
      </c>
      <c r="F149">
        <v>24.99</v>
      </c>
      <c r="G149">
        <v>3</v>
      </c>
      <c r="H149">
        <v>10</v>
      </c>
      <c r="I149">
        <v>22.49</v>
      </c>
      <c r="J149">
        <v>67.47</v>
      </c>
      <c r="K149" t="s">
        <v>661</v>
      </c>
      <c r="L149" t="s">
        <v>788</v>
      </c>
      <c r="M149">
        <v>5</v>
      </c>
    </row>
    <row r="150" spans="1:13" x14ac:dyDescent="0.25">
      <c r="A150" t="s">
        <v>969</v>
      </c>
      <c r="B150" t="s">
        <v>100</v>
      </c>
      <c r="C150" t="s">
        <v>771</v>
      </c>
      <c r="D150" t="s">
        <v>710</v>
      </c>
      <c r="E150" t="s">
        <v>744</v>
      </c>
      <c r="F150">
        <v>29.99</v>
      </c>
      <c r="G150">
        <v>1</v>
      </c>
      <c r="H150">
        <v>10</v>
      </c>
      <c r="I150">
        <v>26.99</v>
      </c>
      <c r="J150">
        <v>26.99</v>
      </c>
      <c r="K150" t="s">
        <v>661</v>
      </c>
      <c r="L150" t="s">
        <v>656</v>
      </c>
      <c r="M150">
        <v>3</v>
      </c>
    </row>
    <row r="151" spans="1:13" x14ac:dyDescent="0.25">
      <c r="A151" t="s">
        <v>970</v>
      </c>
      <c r="B151" t="s">
        <v>100</v>
      </c>
      <c r="C151" t="s">
        <v>971</v>
      </c>
      <c r="D151" t="s">
        <v>710</v>
      </c>
      <c r="E151" t="s">
        <v>744</v>
      </c>
      <c r="F151">
        <v>29.99</v>
      </c>
      <c r="G151">
        <v>3</v>
      </c>
      <c r="H151">
        <v>0</v>
      </c>
      <c r="I151">
        <v>29.99</v>
      </c>
      <c r="J151">
        <v>89.97</v>
      </c>
      <c r="K151" t="s">
        <v>655</v>
      </c>
      <c r="L151" t="s">
        <v>656</v>
      </c>
      <c r="M151">
        <v>5</v>
      </c>
    </row>
    <row r="152" spans="1:13" x14ac:dyDescent="0.25">
      <c r="A152" t="s">
        <v>972</v>
      </c>
      <c r="B152" t="s">
        <v>103</v>
      </c>
      <c r="C152" t="s">
        <v>973</v>
      </c>
      <c r="D152" t="s">
        <v>667</v>
      </c>
      <c r="E152" t="s">
        <v>696</v>
      </c>
      <c r="F152">
        <v>59.99</v>
      </c>
      <c r="G152">
        <v>2</v>
      </c>
      <c r="H152">
        <v>0</v>
      </c>
      <c r="I152">
        <v>59.99</v>
      </c>
      <c r="J152">
        <v>119.98</v>
      </c>
      <c r="K152" t="s">
        <v>661</v>
      </c>
      <c r="L152" t="s">
        <v>656</v>
      </c>
      <c r="M152">
        <v>3</v>
      </c>
    </row>
    <row r="153" spans="1:13" x14ac:dyDescent="0.25">
      <c r="A153" t="s">
        <v>974</v>
      </c>
      <c r="B153" t="s">
        <v>103</v>
      </c>
      <c r="C153" t="s">
        <v>975</v>
      </c>
      <c r="D153" t="s">
        <v>680</v>
      </c>
      <c r="E153" t="s">
        <v>688</v>
      </c>
      <c r="F153">
        <v>29.99</v>
      </c>
      <c r="G153">
        <v>2</v>
      </c>
      <c r="H153">
        <v>0</v>
      </c>
      <c r="I153">
        <v>29.99</v>
      </c>
      <c r="J153">
        <v>59.98</v>
      </c>
      <c r="K153" t="s">
        <v>669</v>
      </c>
      <c r="L153" t="s">
        <v>656</v>
      </c>
      <c r="M153">
        <v>5</v>
      </c>
    </row>
    <row r="154" spans="1:13" x14ac:dyDescent="0.25">
      <c r="A154" t="s">
        <v>976</v>
      </c>
      <c r="B154" t="s">
        <v>103</v>
      </c>
      <c r="C154" t="s">
        <v>977</v>
      </c>
      <c r="D154" t="s">
        <v>710</v>
      </c>
      <c r="E154" t="s">
        <v>711</v>
      </c>
      <c r="F154">
        <v>14.99</v>
      </c>
      <c r="G154">
        <v>1</v>
      </c>
      <c r="H154">
        <v>0</v>
      </c>
      <c r="I154">
        <v>14.99</v>
      </c>
      <c r="J154">
        <v>14.99</v>
      </c>
      <c r="K154" t="s">
        <v>655</v>
      </c>
      <c r="L154" t="s">
        <v>656</v>
      </c>
      <c r="M154">
        <v>4</v>
      </c>
    </row>
    <row r="155" spans="1:13" x14ac:dyDescent="0.25">
      <c r="A155" t="s">
        <v>978</v>
      </c>
      <c r="B155" t="s">
        <v>103</v>
      </c>
      <c r="C155" t="s">
        <v>979</v>
      </c>
      <c r="D155" t="s">
        <v>667</v>
      </c>
      <c r="E155" t="s">
        <v>714</v>
      </c>
      <c r="F155">
        <v>44.99</v>
      </c>
      <c r="G155">
        <v>2</v>
      </c>
      <c r="H155">
        <v>5</v>
      </c>
      <c r="I155">
        <v>42.74</v>
      </c>
      <c r="J155">
        <v>85.48</v>
      </c>
      <c r="K155" t="s">
        <v>661</v>
      </c>
      <c r="L155" t="s">
        <v>656</v>
      </c>
      <c r="M155">
        <v>3</v>
      </c>
    </row>
    <row r="156" spans="1:13" x14ac:dyDescent="0.25">
      <c r="A156" t="s">
        <v>980</v>
      </c>
      <c r="B156" t="s">
        <v>103</v>
      </c>
      <c r="C156" t="s">
        <v>981</v>
      </c>
      <c r="D156" t="s">
        <v>684</v>
      </c>
      <c r="E156" t="s">
        <v>685</v>
      </c>
      <c r="F156">
        <v>49.99</v>
      </c>
      <c r="G156">
        <v>2</v>
      </c>
      <c r="H156">
        <v>10</v>
      </c>
      <c r="I156">
        <v>44.99</v>
      </c>
      <c r="J156">
        <v>89.98</v>
      </c>
      <c r="K156" t="s">
        <v>682</v>
      </c>
      <c r="L156" t="s">
        <v>656</v>
      </c>
    </row>
    <row r="157" spans="1:13" x14ac:dyDescent="0.25">
      <c r="A157" t="s">
        <v>982</v>
      </c>
      <c r="B157" t="s">
        <v>103</v>
      </c>
      <c r="C157" t="s">
        <v>983</v>
      </c>
      <c r="D157" t="s">
        <v>659</v>
      </c>
      <c r="E157" t="s">
        <v>660</v>
      </c>
      <c r="F157">
        <v>19.989999999999998</v>
      </c>
      <c r="G157">
        <v>4</v>
      </c>
      <c r="H157">
        <v>20</v>
      </c>
      <c r="I157">
        <v>15.99</v>
      </c>
      <c r="J157">
        <v>63.96</v>
      </c>
      <c r="K157" t="s">
        <v>675</v>
      </c>
      <c r="L157" t="s">
        <v>739</v>
      </c>
    </row>
    <row r="158" spans="1:13" x14ac:dyDescent="0.25">
      <c r="A158" t="s">
        <v>984</v>
      </c>
      <c r="B158" t="s">
        <v>103</v>
      </c>
      <c r="C158" t="s">
        <v>985</v>
      </c>
      <c r="D158" t="s">
        <v>684</v>
      </c>
      <c r="E158" t="s">
        <v>702</v>
      </c>
      <c r="F158">
        <v>199.99</v>
      </c>
      <c r="G158">
        <v>1</v>
      </c>
      <c r="H158">
        <v>10</v>
      </c>
      <c r="I158">
        <v>179.99</v>
      </c>
      <c r="J158">
        <v>179.99</v>
      </c>
      <c r="K158" t="s">
        <v>661</v>
      </c>
      <c r="L158" t="s">
        <v>785</v>
      </c>
    </row>
    <row r="159" spans="1:13" x14ac:dyDescent="0.25">
      <c r="A159" t="s">
        <v>986</v>
      </c>
      <c r="B159" t="s">
        <v>103</v>
      </c>
      <c r="C159" t="s">
        <v>987</v>
      </c>
      <c r="D159" t="s">
        <v>659</v>
      </c>
      <c r="E159" t="s">
        <v>664</v>
      </c>
      <c r="F159">
        <v>24.99</v>
      </c>
      <c r="G159">
        <v>2</v>
      </c>
      <c r="H159">
        <v>0</v>
      </c>
      <c r="I159">
        <v>24.99</v>
      </c>
      <c r="J159">
        <v>49.98</v>
      </c>
      <c r="K159" t="s">
        <v>661</v>
      </c>
      <c r="L159" t="s">
        <v>656</v>
      </c>
    </row>
    <row r="160" spans="1:13" x14ac:dyDescent="0.25">
      <c r="A160" t="s">
        <v>988</v>
      </c>
      <c r="B160" t="s">
        <v>103</v>
      </c>
      <c r="C160" t="s">
        <v>989</v>
      </c>
      <c r="D160" t="s">
        <v>684</v>
      </c>
      <c r="E160" t="s">
        <v>705</v>
      </c>
      <c r="F160">
        <v>79.989999999999995</v>
      </c>
      <c r="G160">
        <v>3</v>
      </c>
      <c r="H160">
        <v>20</v>
      </c>
      <c r="I160">
        <v>63.99</v>
      </c>
      <c r="J160">
        <v>191.97</v>
      </c>
      <c r="K160" t="s">
        <v>661</v>
      </c>
      <c r="L160" t="s">
        <v>656</v>
      </c>
      <c r="M160">
        <v>4</v>
      </c>
    </row>
    <row r="161" spans="1:13" x14ac:dyDescent="0.25">
      <c r="A161" t="s">
        <v>990</v>
      </c>
      <c r="B161" t="s">
        <v>103</v>
      </c>
      <c r="C161" t="s">
        <v>991</v>
      </c>
      <c r="D161" t="s">
        <v>672</v>
      </c>
      <c r="E161" t="s">
        <v>724</v>
      </c>
      <c r="F161">
        <v>89.99</v>
      </c>
      <c r="G161">
        <v>2</v>
      </c>
      <c r="H161">
        <v>5</v>
      </c>
      <c r="I161">
        <v>85.49</v>
      </c>
      <c r="J161">
        <v>170.98</v>
      </c>
      <c r="K161" t="s">
        <v>669</v>
      </c>
      <c r="L161" t="s">
        <v>656</v>
      </c>
      <c r="M161">
        <v>4</v>
      </c>
    </row>
    <row r="162" spans="1:13" x14ac:dyDescent="0.25">
      <c r="A162" t="s">
        <v>992</v>
      </c>
      <c r="B162" t="s">
        <v>103</v>
      </c>
      <c r="C162" t="s">
        <v>993</v>
      </c>
      <c r="D162" t="s">
        <v>659</v>
      </c>
      <c r="E162" t="s">
        <v>664</v>
      </c>
      <c r="F162">
        <v>24.99</v>
      </c>
      <c r="G162">
        <v>3</v>
      </c>
      <c r="H162">
        <v>0</v>
      </c>
      <c r="I162">
        <v>24.99</v>
      </c>
      <c r="J162">
        <v>74.97</v>
      </c>
      <c r="K162" t="s">
        <v>669</v>
      </c>
      <c r="L162" t="s">
        <v>656</v>
      </c>
    </row>
    <row r="163" spans="1:13" x14ac:dyDescent="0.25">
      <c r="A163" t="s">
        <v>994</v>
      </c>
      <c r="B163" t="s">
        <v>103</v>
      </c>
      <c r="C163" t="s">
        <v>995</v>
      </c>
      <c r="D163" t="s">
        <v>667</v>
      </c>
      <c r="E163" t="s">
        <v>699</v>
      </c>
      <c r="F163">
        <v>89.99</v>
      </c>
      <c r="G163">
        <v>1</v>
      </c>
      <c r="H163">
        <v>10</v>
      </c>
      <c r="I163">
        <v>80.989999999999995</v>
      </c>
      <c r="J163">
        <v>80.989999999999995</v>
      </c>
      <c r="K163" t="s">
        <v>655</v>
      </c>
      <c r="L163" t="s">
        <v>656</v>
      </c>
    </row>
    <row r="164" spans="1:13" x14ac:dyDescent="0.25">
      <c r="A164" t="s">
        <v>996</v>
      </c>
      <c r="B164" t="s">
        <v>107</v>
      </c>
      <c r="C164" t="s">
        <v>997</v>
      </c>
      <c r="D164" t="s">
        <v>710</v>
      </c>
      <c r="E164" t="s">
        <v>711</v>
      </c>
      <c r="F164">
        <v>14.99</v>
      </c>
      <c r="G164">
        <v>1</v>
      </c>
      <c r="H164">
        <v>10</v>
      </c>
      <c r="I164">
        <v>13.49</v>
      </c>
      <c r="J164">
        <v>13.49</v>
      </c>
      <c r="K164" t="s">
        <v>682</v>
      </c>
      <c r="L164" t="s">
        <v>656</v>
      </c>
      <c r="M164">
        <v>4</v>
      </c>
    </row>
    <row r="165" spans="1:13" x14ac:dyDescent="0.25">
      <c r="A165" t="s">
        <v>998</v>
      </c>
      <c r="B165" t="s">
        <v>107</v>
      </c>
      <c r="C165" t="s">
        <v>128</v>
      </c>
      <c r="D165" t="s">
        <v>684</v>
      </c>
      <c r="E165" t="s">
        <v>685</v>
      </c>
      <c r="F165">
        <v>49.99</v>
      </c>
      <c r="G165">
        <v>1</v>
      </c>
      <c r="H165">
        <v>10</v>
      </c>
      <c r="I165">
        <v>44.99</v>
      </c>
      <c r="J165">
        <v>44.99</v>
      </c>
      <c r="K165" t="s">
        <v>655</v>
      </c>
      <c r="L165" t="s">
        <v>656</v>
      </c>
      <c r="M165">
        <v>4</v>
      </c>
    </row>
    <row r="166" spans="1:13" x14ac:dyDescent="0.25">
      <c r="A166" t="s">
        <v>999</v>
      </c>
      <c r="B166" t="s">
        <v>107</v>
      </c>
      <c r="C166" t="s">
        <v>1000</v>
      </c>
      <c r="D166" t="s">
        <v>659</v>
      </c>
      <c r="E166" t="s">
        <v>820</v>
      </c>
      <c r="F166">
        <v>39.99</v>
      </c>
      <c r="G166">
        <v>3</v>
      </c>
      <c r="H166">
        <v>10</v>
      </c>
      <c r="I166">
        <v>35.99</v>
      </c>
      <c r="J166">
        <v>107.97</v>
      </c>
      <c r="K166" t="s">
        <v>675</v>
      </c>
      <c r="L166" t="s">
        <v>656</v>
      </c>
      <c r="M166">
        <v>4</v>
      </c>
    </row>
    <row r="167" spans="1:13" x14ac:dyDescent="0.25">
      <c r="A167" t="s">
        <v>1001</v>
      </c>
      <c r="B167" t="s">
        <v>107</v>
      </c>
      <c r="C167" t="s">
        <v>262</v>
      </c>
      <c r="D167" t="s">
        <v>710</v>
      </c>
      <c r="E167" t="s">
        <v>721</v>
      </c>
      <c r="F167">
        <v>24.99</v>
      </c>
      <c r="G167">
        <v>4</v>
      </c>
      <c r="H167">
        <v>20</v>
      </c>
      <c r="I167">
        <v>19.989999999999998</v>
      </c>
      <c r="J167">
        <v>79.959999999999994</v>
      </c>
      <c r="K167" t="s">
        <v>661</v>
      </c>
      <c r="L167" t="s">
        <v>693</v>
      </c>
    </row>
    <row r="168" spans="1:13" x14ac:dyDescent="0.25">
      <c r="A168" t="s">
        <v>1002</v>
      </c>
      <c r="B168" t="s">
        <v>107</v>
      </c>
      <c r="C168" t="s">
        <v>1003</v>
      </c>
      <c r="D168" t="s">
        <v>672</v>
      </c>
      <c r="E168" t="s">
        <v>803</v>
      </c>
      <c r="F168">
        <v>69.989999999999995</v>
      </c>
      <c r="G168">
        <v>2</v>
      </c>
      <c r="H168">
        <v>5</v>
      </c>
      <c r="I168">
        <v>66.489999999999995</v>
      </c>
      <c r="J168">
        <v>132.97999999999999</v>
      </c>
      <c r="K168" t="s">
        <v>669</v>
      </c>
      <c r="L168" t="s">
        <v>656</v>
      </c>
      <c r="M168">
        <v>3</v>
      </c>
    </row>
    <row r="169" spans="1:13" x14ac:dyDescent="0.25">
      <c r="A169" t="s">
        <v>1004</v>
      </c>
      <c r="B169" t="s">
        <v>107</v>
      </c>
      <c r="C169" t="s">
        <v>1005</v>
      </c>
      <c r="D169" t="s">
        <v>667</v>
      </c>
      <c r="E169" t="s">
        <v>714</v>
      </c>
      <c r="F169">
        <v>44.99</v>
      </c>
      <c r="G169">
        <v>3</v>
      </c>
      <c r="H169">
        <v>0</v>
      </c>
      <c r="I169">
        <v>44.99</v>
      </c>
      <c r="J169">
        <v>134.97</v>
      </c>
      <c r="K169" t="s">
        <v>682</v>
      </c>
      <c r="L169" t="s">
        <v>656</v>
      </c>
      <c r="M169">
        <v>3</v>
      </c>
    </row>
    <row r="170" spans="1:13" x14ac:dyDescent="0.25">
      <c r="A170" t="s">
        <v>1006</v>
      </c>
      <c r="B170" t="s">
        <v>107</v>
      </c>
      <c r="C170" t="s">
        <v>1007</v>
      </c>
      <c r="D170" t="s">
        <v>653</v>
      </c>
      <c r="E170" t="s">
        <v>769</v>
      </c>
      <c r="F170">
        <v>49.99</v>
      </c>
      <c r="G170">
        <v>4</v>
      </c>
      <c r="H170">
        <v>15</v>
      </c>
      <c r="I170">
        <v>42.49</v>
      </c>
      <c r="J170">
        <v>169.96</v>
      </c>
      <c r="K170" t="s">
        <v>682</v>
      </c>
      <c r="L170" t="s">
        <v>656</v>
      </c>
      <c r="M170">
        <v>5</v>
      </c>
    </row>
    <row r="171" spans="1:13" x14ac:dyDescent="0.25">
      <c r="A171" t="s">
        <v>1008</v>
      </c>
      <c r="B171" t="s">
        <v>107</v>
      </c>
      <c r="C171" t="s">
        <v>1009</v>
      </c>
      <c r="D171" t="s">
        <v>710</v>
      </c>
      <c r="E171" t="s">
        <v>721</v>
      </c>
      <c r="F171">
        <v>24.99</v>
      </c>
      <c r="G171">
        <v>1</v>
      </c>
      <c r="H171">
        <v>0</v>
      </c>
      <c r="I171">
        <v>24.99</v>
      </c>
      <c r="J171">
        <v>24.99</v>
      </c>
      <c r="K171" t="s">
        <v>655</v>
      </c>
      <c r="L171" t="s">
        <v>656</v>
      </c>
      <c r="M171">
        <v>5</v>
      </c>
    </row>
    <row r="172" spans="1:13" x14ac:dyDescent="0.25">
      <c r="A172" t="s">
        <v>1010</v>
      </c>
      <c r="B172" t="s">
        <v>107</v>
      </c>
      <c r="C172" t="s">
        <v>1011</v>
      </c>
      <c r="D172" t="s">
        <v>684</v>
      </c>
      <c r="E172" t="s">
        <v>702</v>
      </c>
      <c r="F172">
        <v>199.99</v>
      </c>
      <c r="G172">
        <v>1</v>
      </c>
      <c r="H172">
        <v>0</v>
      </c>
      <c r="I172">
        <v>199.99</v>
      </c>
      <c r="J172">
        <v>199.99</v>
      </c>
      <c r="K172" t="s">
        <v>661</v>
      </c>
      <c r="L172" t="s">
        <v>656</v>
      </c>
    </row>
    <row r="173" spans="1:13" x14ac:dyDescent="0.25">
      <c r="A173" t="s">
        <v>1012</v>
      </c>
      <c r="B173" t="s">
        <v>107</v>
      </c>
      <c r="C173" t="s">
        <v>1013</v>
      </c>
      <c r="D173" t="s">
        <v>653</v>
      </c>
      <c r="E173" t="s">
        <v>769</v>
      </c>
      <c r="F173">
        <v>49.99</v>
      </c>
      <c r="G173">
        <v>1</v>
      </c>
      <c r="H173">
        <v>10</v>
      </c>
      <c r="I173">
        <v>44.99</v>
      </c>
      <c r="J173">
        <v>44.99</v>
      </c>
      <c r="K173" t="s">
        <v>661</v>
      </c>
      <c r="L173" t="s">
        <v>788</v>
      </c>
      <c r="M173">
        <v>4</v>
      </c>
    </row>
    <row r="174" spans="1:13" x14ac:dyDescent="0.25">
      <c r="A174" t="s">
        <v>1014</v>
      </c>
      <c r="B174" t="s">
        <v>107</v>
      </c>
      <c r="C174" t="s">
        <v>1015</v>
      </c>
      <c r="D174" t="s">
        <v>667</v>
      </c>
      <c r="E174" t="s">
        <v>696</v>
      </c>
      <c r="F174">
        <v>59.99</v>
      </c>
      <c r="G174">
        <v>4</v>
      </c>
      <c r="H174">
        <v>0</v>
      </c>
      <c r="I174">
        <v>59.99</v>
      </c>
      <c r="J174">
        <v>239.96</v>
      </c>
      <c r="K174" t="s">
        <v>675</v>
      </c>
      <c r="L174" t="s">
        <v>656</v>
      </c>
      <c r="M174">
        <v>5</v>
      </c>
    </row>
    <row r="175" spans="1:13" x14ac:dyDescent="0.25">
      <c r="A175" t="s">
        <v>1016</v>
      </c>
      <c r="B175" t="s">
        <v>107</v>
      </c>
      <c r="C175" t="s">
        <v>856</v>
      </c>
      <c r="D175" t="s">
        <v>680</v>
      </c>
      <c r="E175" t="s">
        <v>688</v>
      </c>
      <c r="F175">
        <v>29.99</v>
      </c>
      <c r="G175">
        <v>3</v>
      </c>
      <c r="H175">
        <v>20</v>
      </c>
      <c r="I175">
        <v>23.99</v>
      </c>
      <c r="J175">
        <v>71.97</v>
      </c>
      <c r="K175" t="s">
        <v>682</v>
      </c>
      <c r="L175" t="s">
        <v>656</v>
      </c>
    </row>
    <row r="176" spans="1:13" x14ac:dyDescent="0.25">
      <c r="A176" t="s">
        <v>1017</v>
      </c>
      <c r="B176" t="s">
        <v>107</v>
      </c>
      <c r="C176" t="s">
        <v>1018</v>
      </c>
      <c r="D176" t="s">
        <v>659</v>
      </c>
      <c r="E176" t="s">
        <v>664</v>
      </c>
      <c r="F176">
        <v>24.99</v>
      </c>
      <c r="G176">
        <v>4</v>
      </c>
      <c r="H176">
        <v>15</v>
      </c>
      <c r="I176">
        <v>21.24</v>
      </c>
      <c r="J176">
        <v>84.96</v>
      </c>
      <c r="K176" t="s">
        <v>661</v>
      </c>
      <c r="L176" t="s">
        <v>656</v>
      </c>
      <c r="M176">
        <v>3</v>
      </c>
    </row>
    <row r="177" spans="1:13" x14ac:dyDescent="0.25">
      <c r="A177" t="s">
        <v>1019</v>
      </c>
      <c r="B177" t="s">
        <v>107</v>
      </c>
      <c r="C177" t="s">
        <v>1020</v>
      </c>
      <c r="D177" t="s">
        <v>684</v>
      </c>
      <c r="E177" t="s">
        <v>702</v>
      </c>
      <c r="F177">
        <v>199.99</v>
      </c>
      <c r="G177">
        <v>3</v>
      </c>
      <c r="H177">
        <v>0</v>
      </c>
      <c r="I177">
        <v>199.99</v>
      </c>
      <c r="J177">
        <v>599.97</v>
      </c>
      <c r="K177" t="s">
        <v>655</v>
      </c>
      <c r="L177" t="s">
        <v>739</v>
      </c>
    </row>
    <row r="178" spans="1:13" x14ac:dyDescent="0.25">
      <c r="A178" t="s">
        <v>1021</v>
      </c>
      <c r="B178" t="s">
        <v>107</v>
      </c>
      <c r="C178" t="s">
        <v>933</v>
      </c>
      <c r="D178" t="s">
        <v>659</v>
      </c>
      <c r="E178" t="s">
        <v>820</v>
      </c>
      <c r="F178">
        <v>39.99</v>
      </c>
      <c r="G178">
        <v>2</v>
      </c>
      <c r="H178">
        <v>15</v>
      </c>
      <c r="I178">
        <v>33.99</v>
      </c>
      <c r="J178">
        <v>67.98</v>
      </c>
      <c r="K178" t="s">
        <v>661</v>
      </c>
      <c r="L178" t="s">
        <v>656</v>
      </c>
      <c r="M178">
        <v>3</v>
      </c>
    </row>
    <row r="179" spans="1:13" x14ac:dyDescent="0.25">
      <c r="A179" t="s">
        <v>1022</v>
      </c>
      <c r="B179" t="s">
        <v>110</v>
      </c>
      <c r="C179" t="s">
        <v>1023</v>
      </c>
      <c r="D179" t="s">
        <v>659</v>
      </c>
      <c r="E179" t="s">
        <v>762</v>
      </c>
      <c r="F179">
        <v>49.99</v>
      </c>
      <c r="G179">
        <v>3</v>
      </c>
      <c r="H179">
        <v>5</v>
      </c>
      <c r="I179">
        <v>47.49</v>
      </c>
      <c r="J179">
        <v>142.47</v>
      </c>
      <c r="K179" t="s">
        <v>675</v>
      </c>
      <c r="L179" t="s">
        <v>788</v>
      </c>
      <c r="M179">
        <v>3</v>
      </c>
    </row>
    <row r="180" spans="1:13" x14ac:dyDescent="0.25">
      <c r="A180" t="s">
        <v>1024</v>
      </c>
      <c r="B180" t="s">
        <v>110</v>
      </c>
      <c r="C180" t="s">
        <v>1025</v>
      </c>
      <c r="D180" t="s">
        <v>672</v>
      </c>
      <c r="E180" t="s">
        <v>735</v>
      </c>
      <c r="F180">
        <v>44.99</v>
      </c>
      <c r="G180">
        <v>2</v>
      </c>
      <c r="H180">
        <v>10</v>
      </c>
      <c r="I180">
        <v>40.49</v>
      </c>
      <c r="J180">
        <v>80.98</v>
      </c>
      <c r="K180" t="s">
        <v>675</v>
      </c>
      <c r="L180" t="s">
        <v>656</v>
      </c>
      <c r="M180">
        <v>5</v>
      </c>
    </row>
    <row r="181" spans="1:13" x14ac:dyDescent="0.25">
      <c r="A181" t="s">
        <v>1026</v>
      </c>
      <c r="B181" t="s">
        <v>110</v>
      </c>
      <c r="C181" t="s">
        <v>1027</v>
      </c>
      <c r="D181" t="s">
        <v>667</v>
      </c>
      <c r="E181" t="s">
        <v>714</v>
      </c>
      <c r="F181">
        <v>44.99</v>
      </c>
      <c r="G181">
        <v>4</v>
      </c>
      <c r="H181">
        <v>20</v>
      </c>
      <c r="I181">
        <v>35.99</v>
      </c>
      <c r="J181">
        <v>143.96</v>
      </c>
      <c r="K181" t="s">
        <v>675</v>
      </c>
      <c r="L181" t="s">
        <v>656</v>
      </c>
      <c r="M181">
        <v>3</v>
      </c>
    </row>
    <row r="182" spans="1:13" x14ac:dyDescent="0.25">
      <c r="A182" t="s">
        <v>1028</v>
      </c>
      <c r="B182" t="s">
        <v>110</v>
      </c>
      <c r="C182" t="s">
        <v>274</v>
      </c>
      <c r="D182" t="s">
        <v>667</v>
      </c>
      <c r="E182" t="s">
        <v>699</v>
      </c>
      <c r="F182">
        <v>89.99</v>
      </c>
      <c r="G182">
        <v>2</v>
      </c>
      <c r="H182">
        <v>0</v>
      </c>
      <c r="I182">
        <v>89.99</v>
      </c>
      <c r="J182">
        <v>179.98</v>
      </c>
      <c r="K182" t="s">
        <v>669</v>
      </c>
      <c r="L182" t="s">
        <v>656</v>
      </c>
      <c r="M182">
        <v>3</v>
      </c>
    </row>
    <row r="183" spans="1:13" x14ac:dyDescent="0.25">
      <c r="A183" t="s">
        <v>1029</v>
      </c>
      <c r="B183" t="s">
        <v>113</v>
      </c>
      <c r="C183" t="s">
        <v>885</v>
      </c>
      <c r="D183" t="s">
        <v>672</v>
      </c>
      <c r="E183" t="s">
        <v>724</v>
      </c>
      <c r="F183">
        <v>89.99</v>
      </c>
      <c r="G183">
        <v>4</v>
      </c>
      <c r="H183">
        <v>5</v>
      </c>
      <c r="I183">
        <v>85.49</v>
      </c>
      <c r="J183">
        <v>341.96</v>
      </c>
      <c r="K183" t="s">
        <v>682</v>
      </c>
      <c r="L183" t="s">
        <v>788</v>
      </c>
      <c r="M183">
        <v>5</v>
      </c>
    </row>
    <row r="184" spans="1:13" x14ac:dyDescent="0.25">
      <c r="A184" t="s">
        <v>1030</v>
      </c>
      <c r="B184" t="s">
        <v>113</v>
      </c>
      <c r="C184" t="s">
        <v>439</v>
      </c>
      <c r="D184" t="s">
        <v>653</v>
      </c>
      <c r="E184" t="s">
        <v>827</v>
      </c>
      <c r="F184">
        <v>29.99</v>
      </c>
      <c r="G184">
        <v>1</v>
      </c>
      <c r="H184">
        <v>10</v>
      </c>
      <c r="I184">
        <v>26.99</v>
      </c>
      <c r="J184">
        <v>26.99</v>
      </c>
      <c r="K184" t="s">
        <v>675</v>
      </c>
      <c r="L184" t="s">
        <v>656</v>
      </c>
      <c r="M184">
        <v>4</v>
      </c>
    </row>
    <row r="185" spans="1:13" x14ac:dyDescent="0.25">
      <c r="A185" t="s">
        <v>1031</v>
      </c>
      <c r="B185" t="s">
        <v>113</v>
      </c>
      <c r="C185" t="s">
        <v>1032</v>
      </c>
      <c r="D185" t="s">
        <v>659</v>
      </c>
      <c r="E185" t="s">
        <v>660</v>
      </c>
      <c r="F185">
        <v>19.989999999999998</v>
      </c>
      <c r="G185">
        <v>4</v>
      </c>
      <c r="H185">
        <v>0</v>
      </c>
      <c r="I185">
        <v>19.989999999999998</v>
      </c>
      <c r="J185">
        <v>79.959999999999994</v>
      </c>
      <c r="K185" t="s">
        <v>675</v>
      </c>
      <c r="L185" t="s">
        <v>739</v>
      </c>
    </row>
    <row r="186" spans="1:13" x14ac:dyDescent="0.25">
      <c r="A186" t="s">
        <v>1033</v>
      </c>
      <c r="B186" t="s">
        <v>113</v>
      </c>
      <c r="C186" t="s">
        <v>1034</v>
      </c>
      <c r="D186" t="s">
        <v>667</v>
      </c>
      <c r="E186" t="s">
        <v>668</v>
      </c>
      <c r="F186">
        <v>64.989999999999995</v>
      </c>
      <c r="G186">
        <v>4</v>
      </c>
      <c r="H186">
        <v>15</v>
      </c>
      <c r="I186">
        <v>55.24</v>
      </c>
      <c r="J186">
        <v>220.96</v>
      </c>
      <c r="K186" t="s">
        <v>669</v>
      </c>
      <c r="L186" t="s">
        <v>656</v>
      </c>
      <c r="M186">
        <v>3</v>
      </c>
    </row>
    <row r="187" spans="1:13" x14ac:dyDescent="0.25">
      <c r="A187" t="s">
        <v>1035</v>
      </c>
      <c r="B187" t="s">
        <v>113</v>
      </c>
      <c r="C187" t="s">
        <v>1036</v>
      </c>
      <c r="D187" t="s">
        <v>710</v>
      </c>
      <c r="E187" t="s">
        <v>730</v>
      </c>
      <c r="F187">
        <v>39.99</v>
      </c>
      <c r="G187">
        <v>1</v>
      </c>
      <c r="H187">
        <v>0</v>
      </c>
      <c r="I187">
        <v>39.99</v>
      </c>
      <c r="J187">
        <v>39.99</v>
      </c>
      <c r="K187" t="s">
        <v>669</v>
      </c>
      <c r="L187" t="s">
        <v>656</v>
      </c>
      <c r="M187">
        <v>5</v>
      </c>
    </row>
    <row r="188" spans="1:13" x14ac:dyDescent="0.25">
      <c r="A188" t="s">
        <v>1037</v>
      </c>
      <c r="B188" t="s">
        <v>113</v>
      </c>
      <c r="C188" t="s">
        <v>1038</v>
      </c>
      <c r="D188" t="s">
        <v>672</v>
      </c>
      <c r="E188" t="s">
        <v>724</v>
      </c>
      <c r="F188">
        <v>89.99</v>
      </c>
      <c r="G188">
        <v>1</v>
      </c>
      <c r="H188">
        <v>0</v>
      </c>
      <c r="I188">
        <v>89.99</v>
      </c>
      <c r="J188">
        <v>89.99</v>
      </c>
      <c r="K188" t="s">
        <v>655</v>
      </c>
      <c r="L188" t="s">
        <v>656</v>
      </c>
      <c r="M188">
        <v>5</v>
      </c>
    </row>
    <row r="189" spans="1:13" x14ac:dyDescent="0.25">
      <c r="A189" t="s">
        <v>1039</v>
      </c>
      <c r="B189" t="s">
        <v>113</v>
      </c>
      <c r="C189" t="s">
        <v>309</v>
      </c>
      <c r="D189" t="s">
        <v>680</v>
      </c>
      <c r="E189" t="s">
        <v>708</v>
      </c>
      <c r="F189">
        <v>24.99</v>
      </c>
      <c r="G189">
        <v>1</v>
      </c>
      <c r="H189">
        <v>0</v>
      </c>
      <c r="I189">
        <v>24.99</v>
      </c>
      <c r="J189">
        <v>24.99</v>
      </c>
      <c r="K189" t="s">
        <v>661</v>
      </c>
      <c r="L189" t="s">
        <v>785</v>
      </c>
    </row>
    <row r="190" spans="1:13" x14ac:dyDescent="0.25">
      <c r="A190" t="s">
        <v>1040</v>
      </c>
      <c r="B190" t="s">
        <v>113</v>
      </c>
      <c r="C190" t="s">
        <v>1041</v>
      </c>
      <c r="D190" t="s">
        <v>667</v>
      </c>
      <c r="E190" t="s">
        <v>668</v>
      </c>
      <c r="F190">
        <v>64.989999999999995</v>
      </c>
      <c r="G190">
        <v>4</v>
      </c>
      <c r="H190">
        <v>0</v>
      </c>
      <c r="I190">
        <v>64.989999999999995</v>
      </c>
      <c r="J190">
        <v>259.95999999999998</v>
      </c>
      <c r="K190" t="s">
        <v>682</v>
      </c>
      <c r="L190" t="s">
        <v>656</v>
      </c>
      <c r="M190">
        <v>4</v>
      </c>
    </row>
    <row r="191" spans="1:13" x14ac:dyDescent="0.25">
      <c r="A191" t="s">
        <v>1042</v>
      </c>
      <c r="B191" t="s">
        <v>113</v>
      </c>
      <c r="C191" t="s">
        <v>482</v>
      </c>
      <c r="D191" t="s">
        <v>684</v>
      </c>
      <c r="E191" t="s">
        <v>705</v>
      </c>
      <c r="F191">
        <v>79.989999999999995</v>
      </c>
      <c r="G191">
        <v>2</v>
      </c>
      <c r="H191">
        <v>5</v>
      </c>
      <c r="I191">
        <v>75.989999999999995</v>
      </c>
      <c r="J191">
        <v>151.97999999999999</v>
      </c>
      <c r="K191" t="s">
        <v>682</v>
      </c>
      <c r="L191" t="s">
        <v>656</v>
      </c>
      <c r="M191">
        <v>5</v>
      </c>
    </row>
    <row r="192" spans="1:13" x14ac:dyDescent="0.25">
      <c r="A192" t="s">
        <v>1043</v>
      </c>
      <c r="B192" t="s">
        <v>113</v>
      </c>
      <c r="C192" t="s">
        <v>1044</v>
      </c>
      <c r="D192" t="s">
        <v>672</v>
      </c>
      <c r="E192" t="s">
        <v>803</v>
      </c>
      <c r="F192">
        <v>69.989999999999995</v>
      </c>
      <c r="G192">
        <v>2</v>
      </c>
      <c r="H192">
        <v>20</v>
      </c>
      <c r="I192">
        <v>55.99</v>
      </c>
      <c r="J192">
        <v>111.98</v>
      </c>
      <c r="K192" t="s">
        <v>661</v>
      </c>
      <c r="L192" t="s">
        <v>656</v>
      </c>
    </row>
    <row r="193" spans="1:13" x14ac:dyDescent="0.25">
      <c r="A193" t="s">
        <v>1045</v>
      </c>
      <c r="B193" t="s">
        <v>113</v>
      </c>
      <c r="C193" t="s">
        <v>1046</v>
      </c>
      <c r="D193" t="s">
        <v>659</v>
      </c>
      <c r="E193" t="s">
        <v>664</v>
      </c>
      <c r="F193">
        <v>24.99</v>
      </c>
      <c r="G193">
        <v>3</v>
      </c>
      <c r="H193">
        <v>20</v>
      </c>
      <c r="I193">
        <v>19.989999999999998</v>
      </c>
      <c r="J193">
        <v>59.97</v>
      </c>
      <c r="K193" t="s">
        <v>675</v>
      </c>
      <c r="L193" t="s">
        <v>693</v>
      </c>
    </row>
    <row r="194" spans="1:13" x14ac:dyDescent="0.25">
      <c r="A194" t="s">
        <v>1047</v>
      </c>
      <c r="B194" t="s">
        <v>113</v>
      </c>
      <c r="C194" t="s">
        <v>1048</v>
      </c>
      <c r="D194" t="s">
        <v>672</v>
      </c>
      <c r="E194" t="s">
        <v>803</v>
      </c>
      <c r="F194">
        <v>69.989999999999995</v>
      </c>
      <c r="G194">
        <v>2</v>
      </c>
      <c r="H194">
        <v>10</v>
      </c>
      <c r="I194">
        <v>62.99</v>
      </c>
      <c r="J194">
        <v>125.98</v>
      </c>
      <c r="K194" t="s">
        <v>661</v>
      </c>
      <c r="L194" t="s">
        <v>785</v>
      </c>
      <c r="M194">
        <v>5</v>
      </c>
    </row>
    <row r="195" spans="1:13" x14ac:dyDescent="0.25">
      <c r="A195" t="s">
        <v>1049</v>
      </c>
      <c r="B195" t="s">
        <v>116</v>
      </c>
      <c r="C195" t="s">
        <v>1050</v>
      </c>
      <c r="D195" t="s">
        <v>667</v>
      </c>
      <c r="E195" t="s">
        <v>696</v>
      </c>
      <c r="F195">
        <v>59.99</v>
      </c>
      <c r="G195">
        <v>4</v>
      </c>
      <c r="H195">
        <v>0</v>
      </c>
      <c r="I195">
        <v>59.99</v>
      </c>
      <c r="J195">
        <v>239.96</v>
      </c>
      <c r="K195" t="s">
        <v>661</v>
      </c>
      <c r="L195" t="s">
        <v>656</v>
      </c>
    </row>
    <row r="196" spans="1:13" x14ac:dyDescent="0.25">
      <c r="A196" t="s">
        <v>1051</v>
      </c>
      <c r="B196" t="s">
        <v>116</v>
      </c>
      <c r="C196" t="s">
        <v>1052</v>
      </c>
      <c r="D196" t="s">
        <v>684</v>
      </c>
      <c r="E196" t="s">
        <v>815</v>
      </c>
      <c r="F196">
        <v>34.99</v>
      </c>
      <c r="G196">
        <v>3</v>
      </c>
      <c r="H196">
        <v>15</v>
      </c>
      <c r="I196">
        <v>29.74</v>
      </c>
      <c r="J196">
        <v>89.22</v>
      </c>
      <c r="K196" t="s">
        <v>675</v>
      </c>
      <c r="L196" t="s">
        <v>656</v>
      </c>
      <c r="M196">
        <v>3</v>
      </c>
    </row>
    <row r="197" spans="1:13" x14ac:dyDescent="0.25">
      <c r="A197" t="s">
        <v>1053</v>
      </c>
      <c r="B197" t="s">
        <v>116</v>
      </c>
      <c r="C197" t="s">
        <v>1054</v>
      </c>
      <c r="D197" t="s">
        <v>684</v>
      </c>
      <c r="E197" t="s">
        <v>705</v>
      </c>
      <c r="F197">
        <v>79.989999999999995</v>
      </c>
      <c r="G197">
        <v>1</v>
      </c>
      <c r="H197">
        <v>0</v>
      </c>
      <c r="I197">
        <v>79.989999999999995</v>
      </c>
      <c r="J197">
        <v>79.989999999999995</v>
      </c>
      <c r="K197" t="s">
        <v>655</v>
      </c>
      <c r="L197" t="s">
        <v>788</v>
      </c>
      <c r="M197">
        <v>5</v>
      </c>
    </row>
    <row r="198" spans="1:13" x14ac:dyDescent="0.25">
      <c r="A198" t="s">
        <v>1055</v>
      </c>
      <c r="B198" t="s">
        <v>116</v>
      </c>
      <c r="C198" t="s">
        <v>979</v>
      </c>
      <c r="D198" t="s">
        <v>659</v>
      </c>
      <c r="E198" t="s">
        <v>820</v>
      </c>
      <c r="F198">
        <v>39.99</v>
      </c>
      <c r="G198">
        <v>3</v>
      </c>
      <c r="H198">
        <v>5</v>
      </c>
      <c r="I198">
        <v>37.99</v>
      </c>
      <c r="J198">
        <v>113.97</v>
      </c>
      <c r="K198" t="s">
        <v>675</v>
      </c>
      <c r="L198" t="s">
        <v>656</v>
      </c>
    </row>
    <row r="199" spans="1:13" x14ac:dyDescent="0.25">
      <c r="A199" t="s">
        <v>1056</v>
      </c>
      <c r="B199" t="s">
        <v>116</v>
      </c>
      <c r="C199" t="s">
        <v>1057</v>
      </c>
      <c r="D199" t="s">
        <v>659</v>
      </c>
      <c r="E199" t="s">
        <v>820</v>
      </c>
      <c r="F199">
        <v>39.99</v>
      </c>
      <c r="G199">
        <v>1</v>
      </c>
      <c r="H199">
        <v>0</v>
      </c>
      <c r="I199">
        <v>39.99</v>
      </c>
      <c r="J199">
        <v>39.99</v>
      </c>
      <c r="K199" t="s">
        <v>682</v>
      </c>
      <c r="L199" t="s">
        <v>656</v>
      </c>
      <c r="M199">
        <v>3</v>
      </c>
    </row>
    <row r="200" spans="1:13" x14ac:dyDescent="0.25">
      <c r="A200" t="s">
        <v>1058</v>
      </c>
      <c r="B200" t="s">
        <v>116</v>
      </c>
      <c r="C200" t="s">
        <v>1059</v>
      </c>
      <c r="D200" t="s">
        <v>653</v>
      </c>
      <c r="E200" t="s">
        <v>727</v>
      </c>
      <c r="F200">
        <v>14.99</v>
      </c>
      <c r="G200">
        <v>2</v>
      </c>
      <c r="H200">
        <v>0</v>
      </c>
      <c r="I200">
        <v>14.99</v>
      </c>
      <c r="J200">
        <v>29.98</v>
      </c>
      <c r="K200" t="s">
        <v>661</v>
      </c>
      <c r="L200" t="s">
        <v>788</v>
      </c>
    </row>
    <row r="201" spans="1:13" x14ac:dyDescent="0.25">
      <c r="A201" t="s">
        <v>1060</v>
      </c>
      <c r="B201" t="s">
        <v>116</v>
      </c>
      <c r="C201" t="s">
        <v>973</v>
      </c>
      <c r="D201" t="s">
        <v>659</v>
      </c>
      <c r="E201" t="s">
        <v>664</v>
      </c>
      <c r="F201">
        <v>24.99</v>
      </c>
      <c r="G201">
        <v>1</v>
      </c>
      <c r="H201">
        <v>15</v>
      </c>
      <c r="I201">
        <v>21.24</v>
      </c>
      <c r="J201">
        <v>21.24</v>
      </c>
      <c r="K201" t="s">
        <v>661</v>
      </c>
      <c r="L201" t="s">
        <v>788</v>
      </c>
      <c r="M201">
        <v>5</v>
      </c>
    </row>
    <row r="202" spans="1:13" x14ac:dyDescent="0.25">
      <c r="A202" t="s">
        <v>1061</v>
      </c>
      <c r="B202" t="s">
        <v>116</v>
      </c>
      <c r="C202" t="s">
        <v>1062</v>
      </c>
      <c r="D202" t="s">
        <v>659</v>
      </c>
      <c r="E202" t="s">
        <v>664</v>
      </c>
      <c r="F202">
        <v>24.99</v>
      </c>
      <c r="G202">
        <v>2</v>
      </c>
      <c r="H202">
        <v>0</v>
      </c>
      <c r="I202">
        <v>24.99</v>
      </c>
      <c r="J202">
        <v>49.98</v>
      </c>
      <c r="K202" t="s">
        <v>669</v>
      </c>
      <c r="L202" t="s">
        <v>656</v>
      </c>
      <c r="M202">
        <v>5</v>
      </c>
    </row>
    <row r="203" spans="1:13" x14ac:dyDescent="0.25">
      <c r="A203" t="s">
        <v>1063</v>
      </c>
      <c r="B203" t="s">
        <v>116</v>
      </c>
      <c r="C203" t="s">
        <v>1064</v>
      </c>
      <c r="D203" t="s">
        <v>653</v>
      </c>
      <c r="E203" t="s">
        <v>769</v>
      </c>
      <c r="F203">
        <v>49.99</v>
      </c>
      <c r="G203">
        <v>4</v>
      </c>
      <c r="H203">
        <v>0</v>
      </c>
      <c r="I203">
        <v>49.99</v>
      </c>
      <c r="J203">
        <v>199.96</v>
      </c>
      <c r="K203" t="s">
        <v>669</v>
      </c>
      <c r="L203" t="s">
        <v>656</v>
      </c>
    </row>
    <row r="204" spans="1:13" x14ac:dyDescent="0.25">
      <c r="A204" t="s">
        <v>1065</v>
      </c>
      <c r="B204" t="s">
        <v>116</v>
      </c>
      <c r="C204" t="s">
        <v>1066</v>
      </c>
      <c r="D204" t="s">
        <v>684</v>
      </c>
      <c r="E204" t="s">
        <v>705</v>
      </c>
      <c r="F204">
        <v>79.989999999999995</v>
      </c>
      <c r="G204">
        <v>3</v>
      </c>
      <c r="H204">
        <v>20</v>
      </c>
      <c r="I204">
        <v>63.99</v>
      </c>
      <c r="J204">
        <v>191.97</v>
      </c>
      <c r="K204" t="s">
        <v>675</v>
      </c>
      <c r="L204" t="s">
        <v>739</v>
      </c>
      <c r="M204">
        <v>3</v>
      </c>
    </row>
    <row r="205" spans="1:13" x14ac:dyDescent="0.25">
      <c r="A205" t="s">
        <v>1067</v>
      </c>
      <c r="B205" t="s">
        <v>116</v>
      </c>
      <c r="C205" t="s">
        <v>1068</v>
      </c>
      <c r="D205" t="s">
        <v>680</v>
      </c>
      <c r="E205" t="s">
        <v>749</v>
      </c>
      <c r="F205">
        <v>14.99</v>
      </c>
      <c r="G205">
        <v>2</v>
      </c>
      <c r="H205">
        <v>0</v>
      </c>
      <c r="I205">
        <v>14.99</v>
      </c>
      <c r="J205">
        <v>29.98</v>
      </c>
      <c r="K205" t="s">
        <v>675</v>
      </c>
      <c r="L205" t="s">
        <v>656</v>
      </c>
      <c r="M205">
        <v>4</v>
      </c>
    </row>
    <row r="206" spans="1:13" x14ac:dyDescent="0.25">
      <c r="A206" t="s">
        <v>1069</v>
      </c>
      <c r="B206" t="s">
        <v>120</v>
      </c>
      <c r="C206" t="s">
        <v>1070</v>
      </c>
      <c r="D206" t="s">
        <v>684</v>
      </c>
      <c r="E206" t="s">
        <v>702</v>
      </c>
      <c r="F206">
        <v>199.99</v>
      </c>
      <c r="G206">
        <v>4</v>
      </c>
      <c r="H206">
        <v>0</v>
      </c>
      <c r="I206">
        <v>199.99</v>
      </c>
      <c r="J206">
        <v>799.96</v>
      </c>
      <c r="K206" t="s">
        <v>661</v>
      </c>
      <c r="L206" t="s">
        <v>656</v>
      </c>
    </row>
    <row r="207" spans="1:13" x14ac:dyDescent="0.25">
      <c r="A207" t="s">
        <v>1071</v>
      </c>
      <c r="B207" t="s">
        <v>120</v>
      </c>
      <c r="C207" t="s">
        <v>1072</v>
      </c>
      <c r="D207" t="s">
        <v>667</v>
      </c>
      <c r="E207" t="s">
        <v>668</v>
      </c>
      <c r="F207">
        <v>64.989999999999995</v>
      </c>
      <c r="G207">
        <v>2</v>
      </c>
      <c r="H207">
        <v>0</v>
      </c>
      <c r="I207">
        <v>64.989999999999995</v>
      </c>
      <c r="J207">
        <v>129.97999999999999</v>
      </c>
      <c r="K207" t="s">
        <v>682</v>
      </c>
      <c r="L207" t="s">
        <v>656</v>
      </c>
      <c r="M207">
        <v>5</v>
      </c>
    </row>
    <row r="208" spans="1:13" x14ac:dyDescent="0.25">
      <c r="A208" t="s">
        <v>1073</v>
      </c>
      <c r="B208" t="s">
        <v>120</v>
      </c>
      <c r="C208" t="s">
        <v>1074</v>
      </c>
      <c r="D208" t="s">
        <v>672</v>
      </c>
      <c r="E208" t="s">
        <v>673</v>
      </c>
      <c r="F208">
        <v>24.99</v>
      </c>
      <c r="G208">
        <v>2</v>
      </c>
      <c r="H208">
        <v>0</v>
      </c>
      <c r="I208">
        <v>24.99</v>
      </c>
      <c r="J208">
        <v>49.98</v>
      </c>
      <c r="K208" t="s">
        <v>655</v>
      </c>
      <c r="L208" t="s">
        <v>656</v>
      </c>
      <c r="M208">
        <v>3</v>
      </c>
    </row>
    <row r="209" spans="1:13" x14ac:dyDescent="0.25">
      <c r="A209" t="s">
        <v>1075</v>
      </c>
      <c r="B209" t="s">
        <v>120</v>
      </c>
      <c r="C209" t="s">
        <v>1076</v>
      </c>
      <c r="D209" t="s">
        <v>653</v>
      </c>
      <c r="E209" t="s">
        <v>769</v>
      </c>
      <c r="F209">
        <v>49.99</v>
      </c>
      <c r="G209">
        <v>1</v>
      </c>
      <c r="H209">
        <v>20</v>
      </c>
      <c r="I209">
        <v>39.99</v>
      </c>
      <c r="J209">
        <v>39.99</v>
      </c>
      <c r="K209" t="s">
        <v>675</v>
      </c>
      <c r="L209" t="s">
        <v>656</v>
      </c>
      <c r="M209">
        <v>3</v>
      </c>
    </row>
    <row r="210" spans="1:13" x14ac:dyDescent="0.25">
      <c r="A210" t="s">
        <v>1077</v>
      </c>
      <c r="B210" t="s">
        <v>120</v>
      </c>
      <c r="C210" t="s">
        <v>1078</v>
      </c>
      <c r="D210" t="s">
        <v>653</v>
      </c>
      <c r="E210" t="s">
        <v>727</v>
      </c>
      <c r="F210">
        <v>14.99</v>
      </c>
      <c r="G210">
        <v>1</v>
      </c>
      <c r="H210">
        <v>5</v>
      </c>
      <c r="I210">
        <v>14.24</v>
      </c>
      <c r="J210">
        <v>14.24</v>
      </c>
      <c r="K210" t="s">
        <v>682</v>
      </c>
      <c r="L210" t="s">
        <v>656</v>
      </c>
      <c r="M210">
        <v>5</v>
      </c>
    </row>
    <row r="211" spans="1:13" x14ac:dyDescent="0.25">
      <c r="A211" t="s">
        <v>1079</v>
      </c>
      <c r="B211" t="s">
        <v>120</v>
      </c>
      <c r="C211" t="s">
        <v>741</v>
      </c>
      <c r="D211" t="s">
        <v>684</v>
      </c>
      <c r="E211" t="s">
        <v>815</v>
      </c>
      <c r="F211">
        <v>34.99</v>
      </c>
      <c r="G211">
        <v>2</v>
      </c>
      <c r="H211">
        <v>5</v>
      </c>
      <c r="I211">
        <v>33.24</v>
      </c>
      <c r="J211">
        <v>66.48</v>
      </c>
      <c r="K211" t="s">
        <v>675</v>
      </c>
      <c r="L211" t="s">
        <v>656</v>
      </c>
      <c r="M211">
        <v>3</v>
      </c>
    </row>
    <row r="212" spans="1:13" x14ac:dyDescent="0.25">
      <c r="A212" t="s">
        <v>1080</v>
      </c>
      <c r="B212" t="s">
        <v>120</v>
      </c>
      <c r="C212" t="s">
        <v>983</v>
      </c>
      <c r="D212" t="s">
        <v>672</v>
      </c>
      <c r="E212" t="s">
        <v>803</v>
      </c>
      <c r="F212">
        <v>69.989999999999995</v>
      </c>
      <c r="G212">
        <v>3</v>
      </c>
      <c r="H212">
        <v>5</v>
      </c>
      <c r="I212">
        <v>66.489999999999995</v>
      </c>
      <c r="J212">
        <v>199.47</v>
      </c>
      <c r="K212" t="s">
        <v>661</v>
      </c>
      <c r="L212" t="s">
        <v>656</v>
      </c>
      <c r="M212">
        <v>4</v>
      </c>
    </row>
    <row r="213" spans="1:13" x14ac:dyDescent="0.25">
      <c r="A213" t="s">
        <v>1081</v>
      </c>
      <c r="B213" t="s">
        <v>120</v>
      </c>
      <c r="C213" t="s">
        <v>1082</v>
      </c>
      <c r="D213" t="s">
        <v>680</v>
      </c>
      <c r="E213" t="s">
        <v>688</v>
      </c>
      <c r="F213">
        <v>29.99</v>
      </c>
      <c r="G213">
        <v>3</v>
      </c>
      <c r="H213">
        <v>10</v>
      </c>
      <c r="I213">
        <v>26.99</v>
      </c>
      <c r="J213">
        <v>80.97</v>
      </c>
      <c r="K213" t="s">
        <v>682</v>
      </c>
      <c r="L213" t="s">
        <v>656</v>
      </c>
    </row>
    <row r="214" spans="1:13" x14ac:dyDescent="0.25">
      <c r="A214" t="s">
        <v>1083</v>
      </c>
      <c r="B214" t="s">
        <v>120</v>
      </c>
      <c r="C214" t="s">
        <v>1057</v>
      </c>
      <c r="D214" t="s">
        <v>710</v>
      </c>
      <c r="E214" t="s">
        <v>721</v>
      </c>
      <c r="F214">
        <v>24.99</v>
      </c>
      <c r="G214">
        <v>1</v>
      </c>
      <c r="H214">
        <v>0</v>
      </c>
      <c r="I214">
        <v>24.99</v>
      </c>
      <c r="J214">
        <v>24.99</v>
      </c>
      <c r="K214" t="s">
        <v>675</v>
      </c>
      <c r="L214" t="s">
        <v>656</v>
      </c>
      <c r="M214">
        <v>5</v>
      </c>
    </row>
    <row r="215" spans="1:13" x14ac:dyDescent="0.25">
      <c r="A215" t="s">
        <v>1084</v>
      </c>
      <c r="B215" t="s">
        <v>120</v>
      </c>
      <c r="C215" t="s">
        <v>1085</v>
      </c>
      <c r="D215" t="s">
        <v>672</v>
      </c>
      <c r="E215" t="s">
        <v>673</v>
      </c>
      <c r="F215">
        <v>24.99</v>
      </c>
      <c r="G215">
        <v>2</v>
      </c>
      <c r="H215">
        <v>10</v>
      </c>
      <c r="I215">
        <v>22.49</v>
      </c>
      <c r="J215">
        <v>44.98</v>
      </c>
      <c r="K215" t="s">
        <v>661</v>
      </c>
      <c r="L215" t="s">
        <v>656</v>
      </c>
      <c r="M215">
        <v>5</v>
      </c>
    </row>
    <row r="216" spans="1:13" x14ac:dyDescent="0.25">
      <c r="A216" t="s">
        <v>1086</v>
      </c>
      <c r="B216" t="s">
        <v>120</v>
      </c>
      <c r="C216" t="s">
        <v>1034</v>
      </c>
      <c r="D216" t="s">
        <v>684</v>
      </c>
      <c r="E216" t="s">
        <v>685</v>
      </c>
      <c r="F216">
        <v>49.99</v>
      </c>
      <c r="G216">
        <v>4</v>
      </c>
      <c r="H216">
        <v>0</v>
      </c>
      <c r="I216">
        <v>49.99</v>
      </c>
      <c r="J216">
        <v>199.96</v>
      </c>
      <c r="K216" t="s">
        <v>682</v>
      </c>
      <c r="L216" t="s">
        <v>656</v>
      </c>
      <c r="M216">
        <v>5</v>
      </c>
    </row>
    <row r="217" spans="1:13" x14ac:dyDescent="0.25">
      <c r="A217" t="s">
        <v>1087</v>
      </c>
      <c r="B217" t="s">
        <v>120</v>
      </c>
      <c r="C217" t="s">
        <v>1088</v>
      </c>
      <c r="D217" t="s">
        <v>667</v>
      </c>
      <c r="E217" t="s">
        <v>714</v>
      </c>
      <c r="F217">
        <v>44.99</v>
      </c>
      <c r="G217">
        <v>4</v>
      </c>
      <c r="H217">
        <v>5</v>
      </c>
      <c r="I217">
        <v>42.74</v>
      </c>
      <c r="J217">
        <v>170.96</v>
      </c>
      <c r="K217" t="s">
        <v>675</v>
      </c>
      <c r="L217" t="s">
        <v>656</v>
      </c>
      <c r="M217">
        <v>4</v>
      </c>
    </row>
    <row r="218" spans="1:13" x14ac:dyDescent="0.25">
      <c r="A218" t="s">
        <v>1089</v>
      </c>
      <c r="B218" t="s">
        <v>120</v>
      </c>
      <c r="C218" t="s">
        <v>1090</v>
      </c>
      <c r="D218" t="s">
        <v>672</v>
      </c>
      <c r="E218" t="s">
        <v>673</v>
      </c>
      <c r="F218">
        <v>24.99</v>
      </c>
      <c r="G218">
        <v>1</v>
      </c>
      <c r="H218">
        <v>0</v>
      </c>
      <c r="I218">
        <v>24.99</v>
      </c>
      <c r="J218">
        <v>24.99</v>
      </c>
      <c r="K218" t="s">
        <v>661</v>
      </c>
      <c r="L218" t="s">
        <v>656</v>
      </c>
    </row>
    <row r="219" spans="1:13" x14ac:dyDescent="0.25">
      <c r="A219" t="s">
        <v>1091</v>
      </c>
      <c r="B219" t="s">
        <v>120</v>
      </c>
      <c r="C219" t="s">
        <v>1092</v>
      </c>
      <c r="D219" t="s">
        <v>653</v>
      </c>
      <c r="E219" t="s">
        <v>827</v>
      </c>
      <c r="F219">
        <v>29.99</v>
      </c>
      <c r="G219">
        <v>3</v>
      </c>
      <c r="H219">
        <v>0</v>
      </c>
      <c r="I219">
        <v>29.99</v>
      </c>
      <c r="J219">
        <v>89.97</v>
      </c>
      <c r="K219" t="s">
        <v>675</v>
      </c>
      <c r="L219" t="s">
        <v>656</v>
      </c>
    </row>
    <row r="220" spans="1:13" x14ac:dyDescent="0.25">
      <c r="A220" t="s">
        <v>1093</v>
      </c>
      <c r="B220" t="s">
        <v>120</v>
      </c>
      <c r="C220" t="s">
        <v>1094</v>
      </c>
      <c r="D220" t="s">
        <v>672</v>
      </c>
      <c r="E220" t="s">
        <v>803</v>
      </c>
      <c r="F220">
        <v>69.989999999999995</v>
      </c>
      <c r="G220">
        <v>2</v>
      </c>
      <c r="H220">
        <v>0</v>
      </c>
      <c r="I220">
        <v>69.989999999999995</v>
      </c>
      <c r="J220">
        <v>139.97999999999999</v>
      </c>
      <c r="K220" t="s">
        <v>661</v>
      </c>
      <c r="L220" t="s">
        <v>656</v>
      </c>
      <c r="M220">
        <v>5</v>
      </c>
    </row>
    <row r="221" spans="1:13" x14ac:dyDescent="0.25">
      <c r="A221" t="s">
        <v>1095</v>
      </c>
      <c r="B221" t="s">
        <v>123</v>
      </c>
      <c r="C221" t="s">
        <v>794</v>
      </c>
      <c r="D221" t="s">
        <v>680</v>
      </c>
      <c r="E221" t="s">
        <v>681</v>
      </c>
      <c r="F221">
        <v>19.989999999999998</v>
      </c>
      <c r="G221">
        <v>3</v>
      </c>
      <c r="H221">
        <v>10</v>
      </c>
      <c r="I221">
        <v>17.989999999999998</v>
      </c>
      <c r="J221">
        <v>53.97</v>
      </c>
      <c r="K221" t="s">
        <v>675</v>
      </c>
      <c r="L221" t="s">
        <v>656</v>
      </c>
      <c r="M221">
        <v>5</v>
      </c>
    </row>
    <row r="222" spans="1:13" x14ac:dyDescent="0.25">
      <c r="A222" t="s">
        <v>1096</v>
      </c>
      <c r="B222" t="s">
        <v>123</v>
      </c>
      <c r="C222" t="s">
        <v>1097</v>
      </c>
      <c r="D222" t="s">
        <v>667</v>
      </c>
      <c r="E222" t="s">
        <v>714</v>
      </c>
      <c r="F222">
        <v>44.99</v>
      </c>
      <c r="G222">
        <v>3</v>
      </c>
      <c r="H222">
        <v>10</v>
      </c>
      <c r="I222">
        <v>40.49</v>
      </c>
      <c r="J222">
        <v>121.47</v>
      </c>
      <c r="K222" t="s">
        <v>682</v>
      </c>
      <c r="L222" t="s">
        <v>656</v>
      </c>
      <c r="M222">
        <v>5</v>
      </c>
    </row>
    <row r="223" spans="1:13" x14ac:dyDescent="0.25">
      <c r="A223" t="s">
        <v>1098</v>
      </c>
      <c r="B223" t="s">
        <v>123</v>
      </c>
      <c r="C223" t="s">
        <v>1099</v>
      </c>
      <c r="D223" t="s">
        <v>680</v>
      </c>
      <c r="E223" t="s">
        <v>681</v>
      </c>
      <c r="F223">
        <v>19.989999999999998</v>
      </c>
      <c r="G223">
        <v>2</v>
      </c>
      <c r="H223">
        <v>0</v>
      </c>
      <c r="I223">
        <v>19.989999999999998</v>
      </c>
      <c r="J223">
        <v>39.979999999999997</v>
      </c>
      <c r="K223" t="s">
        <v>669</v>
      </c>
      <c r="L223" t="s">
        <v>656</v>
      </c>
      <c r="M223">
        <v>4</v>
      </c>
    </row>
    <row r="224" spans="1:13" x14ac:dyDescent="0.25">
      <c r="A224" t="s">
        <v>1100</v>
      </c>
      <c r="B224" t="s">
        <v>126</v>
      </c>
      <c r="C224" t="s">
        <v>1101</v>
      </c>
      <c r="D224" t="s">
        <v>672</v>
      </c>
      <c r="E224" t="s">
        <v>803</v>
      </c>
      <c r="F224">
        <v>69.989999999999995</v>
      </c>
      <c r="G224">
        <v>2</v>
      </c>
      <c r="H224">
        <v>0</v>
      </c>
      <c r="I224">
        <v>69.989999999999995</v>
      </c>
      <c r="J224">
        <v>139.97999999999999</v>
      </c>
      <c r="K224" t="s">
        <v>661</v>
      </c>
      <c r="L224" t="s">
        <v>656</v>
      </c>
      <c r="M224">
        <v>4</v>
      </c>
    </row>
    <row r="225" spans="1:13" x14ac:dyDescent="0.25">
      <c r="A225" t="s">
        <v>1102</v>
      </c>
      <c r="B225" t="s">
        <v>126</v>
      </c>
      <c r="C225" t="s">
        <v>1103</v>
      </c>
      <c r="D225" t="s">
        <v>659</v>
      </c>
      <c r="E225" t="s">
        <v>762</v>
      </c>
      <c r="F225">
        <v>49.99</v>
      </c>
      <c r="G225">
        <v>2</v>
      </c>
      <c r="H225">
        <v>0</v>
      </c>
      <c r="I225">
        <v>49.99</v>
      </c>
      <c r="J225">
        <v>99.98</v>
      </c>
      <c r="K225" t="s">
        <v>661</v>
      </c>
      <c r="L225" t="s">
        <v>656</v>
      </c>
      <c r="M225">
        <v>4</v>
      </c>
    </row>
    <row r="226" spans="1:13" x14ac:dyDescent="0.25">
      <c r="A226" t="s">
        <v>1104</v>
      </c>
      <c r="B226" t="s">
        <v>126</v>
      </c>
      <c r="C226" t="s">
        <v>1088</v>
      </c>
      <c r="D226" t="s">
        <v>684</v>
      </c>
      <c r="E226" t="s">
        <v>815</v>
      </c>
      <c r="F226">
        <v>34.99</v>
      </c>
      <c r="G226">
        <v>4</v>
      </c>
      <c r="H226">
        <v>0</v>
      </c>
      <c r="I226">
        <v>34.99</v>
      </c>
      <c r="J226">
        <v>139.96</v>
      </c>
      <c r="K226" t="s">
        <v>675</v>
      </c>
      <c r="L226" t="s">
        <v>656</v>
      </c>
      <c r="M226">
        <v>4</v>
      </c>
    </row>
    <row r="227" spans="1:13" x14ac:dyDescent="0.25">
      <c r="A227" t="s">
        <v>1105</v>
      </c>
      <c r="B227" t="s">
        <v>126</v>
      </c>
      <c r="C227" t="s">
        <v>1106</v>
      </c>
      <c r="D227" t="s">
        <v>667</v>
      </c>
      <c r="E227" t="s">
        <v>696</v>
      </c>
      <c r="F227">
        <v>59.99</v>
      </c>
      <c r="G227">
        <v>3</v>
      </c>
      <c r="H227">
        <v>0</v>
      </c>
      <c r="I227">
        <v>59.99</v>
      </c>
      <c r="J227">
        <v>179.97</v>
      </c>
      <c r="K227" t="s">
        <v>661</v>
      </c>
      <c r="L227" t="s">
        <v>656</v>
      </c>
    </row>
    <row r="228" spans="1:13" x14ac:dyDescent="0.25">
      <c r="A228" t="s">
        <v>1107</v>
      </c>
      <c r="B228" t="s">
        <v>129</v>
      </c>
      <c r="C228" t="s">
        <v>1108</v>
      </c>
      <c r="D228" t="s">
        <v>659</v>
      </c>
      <c r="E228" t="s">
        <v>664</v>
      </c>
      <c r="F228">
        <v>24.99</v>
      </c>
      <c r="G228">
        <v>4</v>
      </c>
      <c r="H228">
        <v>5</v>
      </c>
      <c r="I228">
        <v>23.74</v>
      </c>
      <c r="J228">
        <v>94.96</v>
      </c>
      <c r="K228" t="s">
        <v>682</v>
      </c>
      <c r="L228" t="s">
        <v>656</v>
      </c>
      <c r="M228">
        <v>3</v>
      </c>
    </row>
    <row r="229" spans="1:13" x14ac:dyDescent="0.25">
      <c r="A229" t="s">
        <v>1109</v>
      </c>
      <c r="B229" t="s">
        <v>129</v>
      </c>
      <c r="C229" t="s">
        <v>1110</v>
      </c>
      <c r="D229" t="s">
        <v>653</v>
      </c>
      <c r="E229" t="s">
        <v>654</v>
      </c>
      <c r="F229">
        <v>39.99</v>
      </c>
      <c r="G229">
        <v>1</v>
      </c>
      <c r="H229">
        <v>0</v>
      </c>
      <c r="I229">
        <v>39.99</v>
      </c>
      <c r="J229">
        <v>39.99</v>
      </c>
      <c r="K229" t="s">
        <v>682</v>
      </c>
      <c r="L229" t="s">
        <v>656</v>
      </c>
    </row>
    <row r="230" spans="1:13" x14ac:dyDescent="0.25">
      <c r="A230" t="s">
        <v>1111</v>
      </c>
      <c r="B230" t="s">
        <v>132</v>
      </c>
      <c r="C230" t="s">
        <v>880</v>
      </c>
      <c r="D230" t="s">
        <v>672</v>
      </c>
      <c r="E230" t="s">
        <v>673</v>
      </c>
      <c r="F230">
        <v>24.99</v>
      </c>
      <c r="G230">
        <v>4</v>
      </c>
      <c r="H230">
        <v>0</v>
      </c>
      <c r="I230">
        <v>24.99</v>
      </c>
      <c r="J230">
        <v>99.96</v>
      </c>
      <c r="K230" t="s">
        <v>669</v>
      </c>
      <c r="L230" t="s">
        <v>656</v>
      </c>
      <c r="M230">
        <v>4</v>
      </c>
    </row>
    <row r="231" spans="1:13" x14ac:dyDescent="0.25">
      <c r="A231" t="s">
        <v>1112</v>
      </c>
      <c r="B231" t="s">
        <v>132</v>
      </c>
      <c r="C231" t="s">
        <v>1025</v>
      </c>
      <c r="D231" t="s">
        <v>653</v>
      </c>
      <c r="E231" t="s">
        <v>827</v>
      </c>
      <c r="F231">
        <v>29.99</v>
      </c>
      <c r="G231">
        <v>3</v>
      </c>
      <c r="H231">
        <v>15</v>
      </c>
      <c r="I231">
        <v>25.49</v>
      </c>
      <c r="J231">
        <v>76.47</v>
      </c>
      <c r="K231" t="s">
        <v>669</v>
      </c>
      <c r="L231" t="s">
        <v>656</v>
      </c>
      <c r="M231">
        <v>4</v>
      </c>
    </row>
    <row r="232" spans="1:13" x14ac:dyDescent="0.25">
      <c r="A232" t="s">
        <v>1113</v>
      </c>
      <c r="B232" t="s">
        <v>132</v>
      </c>
      <c r="C232" t="s">
        <v>1114</v>
      </c>
      <c r="D232" t="s">
        <v>672</v>
      </c>
      <c r="E232" t="s">
        <v>803</v>
      </c>
      <c r="F232">
        <v>69.989999999999995</v>
      </c>
      <c r="G232">
        <v>2</v>
      </c>
      <c r="H232">
        <v>0</v>
      </c>
      <c r="I232">
        <v>69.989999999999995</v>
      </c>
      <c r="J232">
        <v>139.97999999999999</v>
      </c>
      <c r="K232" t="s">
        <v>675</v>
      </c>
      <c r="L232" t="s">
        <v>656</v>
      </c>
      <c r="M232">
        <v>4</v>
      </c>
    </row>
    <row r="233" spans="1:13" x14ac:dyDescent="0.25">
      <c r="A233" t="s">
        <v>1115</v>
      </c>
      <c r="B233" t="s">
        <v>132</v>
      </c>
      <c r="C233" t="s">
        <v>757</v>
      </c>
      <c r="D233" t="s">
        <v>710</v>
      </c>
      <c r="E233" t="s">
        <v>711</v>
      </c>
      <c r="F233">
        <v>14.99</v>
      </c>
      <c r="G233">
        <v>1</v>
      </c>
      <c r="H233">
        <v>0</v>
      </c>
      <c r="I233">
        <v>14.99</v>
      </c>
      <c r="J233">
        <v>14.99</v>
      </c>
      <c r="K233" t="s">
        <v>655</v>
      </c>
      <c r="L233" t="s">
        <v>788</v>
      </c>
      <c r="M233">
        <v>5</v>
      </c>
    </row>
    <row r="234" spans="1:13" x14ac:dyDescent="0.25">
      <c r="A234" t="s">
        <v>1116</v>
      </c>
      <c r="B234" t="s">
        <v>132</v>
      </c>
      <c r="C234" t="s">
        <v>1117</v>
      </c>
      <c r="D234" t="s">
        <v>680</v>
      </c>
      <c r="E234" t="s">
        <v>708</v>
      </c>
      <c r="F234">
        <v>24.99</v>
      </c>
      <c r="G234">
        <v>4</v>
      </c>
      <c r="H234">
        <v>10</v>
      </c>
      <c r="I234">
        <v>22.49</v>
      </c>
      <c r="J234">
        <v>89.96</v>
      </c>
      <c r="K234" t="s">
        <v>655</v>
      </c>
      <c r="L234" t="s">
        <v>656</v>
      </c>
      <c r="M234">
        <v>4</v>
      </c>
    </row>
    <row r="235" spans="1:13" x14ac:dyDescent="0.25">
      <c r="A235" t="s">
        <v>1118</v>
      </c>
      <c r="B235" t="s">
        <v>132</v>
      </c>
      <c r="C235" t="s">
        <v>1119</v>
      </c>
      <c r="D235" t="s">
        <v>672</v>
      </c>
      <c r="E235" t="s">
        <v>673</v>
      </c>
      <c r="F235">
        <v>24.99</v>
      </c>
      <c r="G235">
        <v>3</v>
      </c>
      <c r="H235">
        <v>0</v>
      </c>
      <c r="I235">
        <v>24.99</v>
      </c>
      <c r="J235">
        <v>74.97</v>
      </c>
      <c r="K235" t="s">
        <v>682</v>
      </c>
      <c r="L235" t="s">
        <v>656</v>
      </c>
    </row>
    <row r="236" spans="1:13" x14ac:dyDescent="0.25">
      <c r="A236" t="s">
        <v>1120</v>
      </c>
      <c r="B236" t="s">
        <v>132</v>
      </c>
      <c r="C236" t="s">
        <v>943</v>
      </c>
      <c r="D236" t="s">
        <v>672</v>
      </c>
      <c r="E236" t="s">
        <v>724</v>
      </c>
      <c r="F236">
        <v>89.99</v>
      </c>
      <c r="G236">
        <v>4</v>
      </c>
      <c r="H236">
        <v>20</v>
      </c>
      <c r="I236">
        <v>71.989999999999995</v>
      </c>
      <c r="J236">
        <v>287.95999999999998</v>
      </c>
      <c r="K236" t="s">
        <v>675</v>
      </c>
      <c r="L236" t="s">
        <v>656</v>
      </c>
    </row>
    <row r="237" spans="1:13" x14ac:dyDescent="0.25">
      <c r="A237" t="s">
        <v>1121</v>
      </c>
      <c r="B237" t="s">
        <v>132</v>
      </c>
      <c r="C237" t="s">
        <v>1122</v>
      </c>
      <c r="D237" t="s">
        <v>659</v>
      </c>
      <c r="E237" t="s">
        <v>820</v>
      </c>
      <c r="F237">
        <v>39.99</v>
      </c>
      <c r="G237">
        <v>1</v>
      </c>
      <c r="H237">
        <v>0</v>
      </c>
      <c r="I237">
        <v>39.99</v>
      </c>
      <c r="J237">
        <v>39.99</v>
      </c>
      <c r="K237" t="s">
        <v>655</v>
      </c>
      <c r="L237" t="s">
        <v>788</v>
      </c>
      <c r="M237">
        <v>5</v>
      </c>
    </row>
    <row r="238" spans="1:13" x14ac:dyDescent="0.25">
      <c r="A238" t="s">
        <v>1123</v>
      </c>
      <c r="B238" t="s">
        <v>136</v>
      </c>
      <c r="C238" t="s">
        <v>695</v>
      </c>
      <c r="D238" t="s">
        <v>667</v>
      </c>
      <c r="E238" t="s">
        <v>714</v>
      </c>
      <c r="F238">
        <v>44.99</v>
      </c>
      <c r="G238">
        <v>2</v>
      </c>
      <c r="H238">
        <v>15</v>
      </c>
      <c r="I238">
        <v>38.24</v>
      </c>
      <c r="J238">
        <v>76.48</v>
      </c>
      <c r="K238" t="s">
        <v>682</v>
      </c>
      <c r="L238" t="s">
        <v>656</v>
      </c>
      <c r="M238">
        <v>5</v>
      </c>
    </row>
    <row r="239" spans="1:13" x14ac:dyDescent="0.25">
      <c r="A239" t="s">
        <v>1124</v>
      </c>
      <c r="B239" t="s">
        <v>136</v>
      </c>
      <c r="C239" t="s">
        <v>599</v>
      </c>
      <c r="D239" t="s">
        <v>659</v>
      </c>
      <c r="E239" t="s">
        <v>664</v>
      </c>
      <c r="F239">
        <v>24.99</v>
      </c>
      <c r="G239">
        <v>3</v>
      </c>
      <c r="H239">
        <v>0</v>
      </c>
      <c r="I239">
        <v>24.99</v>
      </c>
      <c r="J239">
        <v>74.97</v>
      </c>
      <c r="K239" t="s">
        <v>655</v>
      </c>
      <c r="L239" t="s">
        <v>656</v>
      </c>
      <c r="M239">
        <v>4</v>
      </c>
    </row>
    <row r="240" spans="1:13" x14ac:dyDescent="0.25">
      <c r="A240" t="s">
        <v>1125</v>
      </c>
      <c r="B240" t="s">
        <v>136</v>
      </c>
      <c r="C240" t="s">
        <v>1126</v>
      </c>
      <c r="D240" t="s">
        <v>659</v>
      </c>
      <c r="E240" t="s">
        <v>664</v>
      </c>
      <c r="F240">
        <v>24.99</v>
      </c>
      <c r="G240">
        <v>1</v>
      </c>
      <c r="H240">
        <v>0</v>
      </c>
      <c r="I240">
        <v>24.99</v>
      </c>
      <c r="J240">
        <v>24.99</v>
      </c>
      <c r="K240" t="s">
        <v>675</v>
      </c>
      <c r="L240" t="s">
        <v>788</v>
      </c>
      <c r="M240">
        <v>4</v>
      </c>
    </row>
    <row r="241" spans="1:13" x14ac:dyDescent="0.25">
      <c r="A241" t="s">
        <v>1127</v>
      </c>
      <c r="B241" t="s">
        <v>136</v>
      </c>
      <c r="C241" t="s">
        <v>1128</v>
      </c>
      <c r="D241" t="s">
        <v>684</v>
      </c>
      <c r="E241" t="s">
        <v>702</v>
      </c>
      <c r="F241">
        <v>199.99</v>
      </c>
      <c r="G241">
        <v>2</v>
      </c>
      <c r="H241">
        <v>10</v>
      </c>
      <c r="I241">
        <v>179.99</v>
      </c>
      <c r="J241">
        <v>359.98</v>
      </c>
      <c r="K241" t="s">
        <v>682</v>
      </c>
      <c r="L241" t="s">
        <v>656</v>
      </c>
      <c r="M241">
        <v>4</v>
      </c>
    </row>
    <row r="242" spans="1:13" x14ac:dyDescent="0.25">
      <c r="A242" t="s">
        <v>1129</v>
      </c>
      <c r="B242" t="s">
        <v>136</v>
      </c>
      <c r="C242" t="s">
        <v>1130</v>
      </c>
      <c r="D242" t="s">
        <v>710</v>
      </c>
      <c r="E242" t="s">
        <v>721</v>
      </c>
      <c r="F242">
        <v>24.99</v>
      </c>
      <c r="G242">
        <v>3</v>
      </c>
      <c r="H242">
        <v>10</v>
      </c>
      <c r="I242">
        <v>22.49</v>
      </c>
      <c r="J242">
        <v>67.47</v>
      </c>
      <c r="K242" t="s">
        <v>655</v>
      </c>
      <c r="L242" t="s">
        <v>656</v>
      </c>
      <c r="M242">
        <v>5</v>
      </c>
    </row>
    <row r="243" spans="1:13" x14ac:dyDescent="0.25">
      <c r="A243" t="s">
        <v>1131</v>
      </c>
      <c r="B243" t="s">
        <v>136</v>
      </c>
      <c r="C243" t="s">
        <v>353</v>
      </c>
      <c r="D243" t="s">
        <v>659</v>
      </c>
      <c r="E243" t="s">
        <v>820</v>
      </c>
      <c r="F243">
        <v>39.99</v>
      </c>
      <c r="G243">
        <v>1</v>
      </c>
      <c r="H243">
        <v>20</v>
      </c>
      <c r="I243">
        <v>31.99</v>
      </c>
      <c r="J243">
        <v>31.99</v>
      </c>
      <c r="K243" t="s">
        <v>655</v>
      </c>
      <c r="L243" t="s">
        <v>739</v>
      </c>
    </row>
    <row r="244" spans="1:13" x14ac:dyDescent="0.25">
      <c r="A244" t="s">
        <v>1132</v>
      </c>
      <c r="B244" t="s">
        <v>136</v>
      </c>
      <c r="C244" t="s">
        <v>1133</v>
      </c>
      <c r="D244" t="s">
        <v>672</v>
      </c>
      <c r="E244" t="s">
        <v>673</v>
      </c>
      <c r="F244">
        <v>24.99</v>
      </c>
      <c r="G244">
        <v>3</v>
      </c>
      <c r="H244">
        <v>15</v>
      </c>
      <c r="I244">
        <v>21.24</v>
      </c>
      <c r="J244">
        <v>63.72</v>
      </c>
      <c r="K244" t="s">
        <v>661</v>
      </c>
      <c r="L244" t="s">
        <v>656</v>
      </c>
      <c r="M244">
        <v>5</v>
      </c>
    </row>
    <row r="245" spans="1:13" x14ac:dyDescent="0.25">
      <c r="A245" t="s">
        <v>1134</v>
      </c>
      <c r="B245" t="s">
        <v>136</v>
      </c>
      <c r="C245" t="s">
        <v>1135</v>
      </c>
      <c r="D245" t="s">
        <v>667</v>
      </c>
      <c r="E245" t="s">
        <v>714</v>
      </c>
      <c r="F245">
        <v>44.99</v>
      </c>
      <c r="G245">
        <v>2</v>
      </c>
      <c r="H245">
        <v>5</v>
      </c>
      <c r="I245">
        <v>42.74</v>
      </c>
      <c r="J245">
        <v>85.48</v>
      </c>
      <c r="K245" t="s">
        <v>675</v>
      </c>
      <c r="L245" t="s">
        <v>656</v>
      </c>
    </row>
    <row r="246" spans="1:13" x14ac:dyDescent="0.25">
      <c r="A246" t="s">
        <v>1136</v>
      </c>
      <c r="B246" t="s">
        <v>136</v>
      </c>
      <c r="C246" t="s">
        <v>850</v>
      </c>
      <c r="D246" t="s">
        <v>653</v>
      </c>
      <c r="E246" t="s">
        <v>769</v>
      </c>
      <c r="F246">
        <v>49.99</v>
      </c>
      <c r="G246">
        <v>1</v>
      </c>
      <c r="H246">
        <v>20</v>
      </c>
      <c r="I246">
        <v>39.99</v>
      </c>
      <c r="J246">
        <v>39.99</v>
      </c>
      <c r="K246" t="s">
        <v>661</v>
      </c>
      <c r="L246" t="s">
        <v>656</v>
      </c>
      <c r="M246">
        <v>4</v>
      </c>
    </row>
    <row r="247" spans="1:13" x14ac:dyDescent="0.25">
      <c r="A247" t="s">
        <v>1137</v>
      </c>
      <c r="B247" t="s">
        <v>136</v>
      </c>
      <c r="C247" t="s">
        <v>1138</v>
      </c>
      <c r="D247" t="s">
        <v>672</v>
      </c>
      <c r="E247" t="s">
        <v>724</v>
      </c>
      <c r="F247">
        <v>89.99</v>
      </c>
      <c r="G247">
        <v>1</v>
      </c>
      <c r="H247">
        <v>20</v>
      </c>
      <c r="I247">
        <v>71.989999999999995</v>
      </c>
      <c r="J247">
        <v>71.989999999999995</v>
      </c>
      <c r="K247" t="s">
        <v>682</v>
      </c>
      <c r="L247" t="s">
        <v>656</v>
      </c>
    </row>
    <row r="248" spans="1:13" x14ac:dyDescent="0.25">
      <c r="A248" t="s">
        <v>1139</v>
      </c>
      <c r="B248" t="s">
        <v>136</v>
      </c>
      <c r="C248" t="s">
        <v>1140</v>
      </c>
      <c r="D248" t="s">
        <v>672</v>
      </c>
      <c r="E248" t="s">
        <v>803</v>
      </c>
      <c r="F248">
        <v>69.989999999999995</v>
      </c>
      <c r="G248">
        <v>4</v>
      </c>
      <c r="H248">
        <v>0</v>
      </c>
      <c r="I248">
        <v>69.989999999999995</v>
      </c>
      <c r="J248">
        <v>279.95999999999998</v>
      </c>
      <c r="K248" t="s">
        <v>675</v>
      </c>
      <c r="L248" t="s">
        <v>739</v>
      </c>
      <c r="M248">
        <v>5</v>
      </c>
    </row>
    <row r="249" spans="1:13" x14ac:dyDescent="0.25">
      <c r="A249" t="s">
        <v>1141</v>
      </c>
      <c r="B249" t="s">
        <v>136</v>
      </c>
      <c r="C249" t="s">
        <v>1142</v>
      </c>
      <c r="D249" t="s">
        <v>653</v>
      </c>
      <c r="E249" t="s">
        <v>827</v>
      </c>
      <c r="F249">
        <v>29.99</v>
      </c>
      <c r="G249">
        <v>2</v>
      </c>
      <c r="H249">
        <v>5</v>
      </c>
      <c r="I249">
        <v>28.49</v>
      </c>
      <c r="J249">
        <v>56.98</v>
      </c>
      <c r="K249" t="s">
        <v>682</v>
      </c>
      <c r="L249" t="s">
        <v>656</v>
      </c>
    </row>
    <row r="250" spans="1:13" x14ac:dyDescent="0.25">
      <c r="A250" t="s">
        <v>1143</v>
      </c>
      <c r="B250" t="s">
        <v>136</v>
      </c>
      <c r="C250" t="s">
        <v>1057</v>
      </c>
      <c r="D250" t="s">
        <v>680</v>
      </c>
      <c r="E250" t="s">
        <v>688</v>
      </c>
      <c r="F250">
        <v>29.99</v>
      </c>
      <c r="G250">
        <v>4</v>
      </c>
      <c r="H250">
        <v>0</v>
      </c>
      <c r="I250">
        <v>29.99</v>
      </c>
      <c r="J250">
        <v>119.96</v>
      </c>
      <c r="K250" t="s">
        <v>669</v>
      </c>
      <c r="L250" t="s">
        <v>739</v>
      </c>
      <c r="M250">
        <v>3</v>
      </c>
    </row>
    <row r="251" spans="1:13" x14ac:dyDescent="0.25">
      <c r="A251" t="s">
        <v>1144</v>
      </c>
      <c r="B251" t="s">
        <v>136</v>
      </c>
      <c r="C251" t="s">
        <v>1145</v>
      </c>
      <c r="D251" t="s">
        <v>659</v>
      </c>
      <c r="E251" t="s">
        <v>762</v>
      </c>
      <c r="F251">
        <v>49.99</v>
      </c>
      <c r="G251">
        <v>2</v>
      </c>
      <c r="H251">
        <v>5</v>
      </c>
      <c r="I251">
        <v>47.49</v>
      </c>
      <c r="J251">
        <v>94.98</v>
      </c>
      <c r="K251" t="s">
        <v>655</v>
      </c>
      <c r="L251" t="s">
        <v>656</v>
      </c>
    </row>
    <row r="252" spans="1:13" x14ac:dyDescent="0.25">
      <c r="A252" t="s">
        <v>1146</v>
      </c>
      <c r="B252" t="s">
        <v>136</v>
      </c>
      <c r="C252" t="s">
        <v>1147</v>
      </c>
      <c r="D252" t="s">
        <v>672</v>
      </c>
      <c r="E252" t="s">
        <v>724</v>
      </c>
      <c r="F252">
        <v>89.99</v>
      </c>
      <c r="G252">
        <v>2</v>
      </c>
      <c r="H252">
        <v>0</v>
      </c>
      <c r="I252">
        <v>89.99</v>
      </c>
      <c r="J252">
        <v>179.98</v>
      </c>
      <c r="K252" t="s">
        <v>675</v>
      </c>
      <c r="L252" t="s">
        <v>656</v>
      </c>
      <c r="M252">
        <v>3</v>
      </c>
    </row>
    <row r="253" spans="1:13" x14ac:dyDescent="0.25">
      <c r="A253" t="s">
        <v>1148</v>
      </c>
      <c r="B253" t="s">
        <v>139</v>
      </c>
      <c r="C253" t="s">
        <v>1149</v>
      </c>
      <c r="D253" t="s">
        <v>672</v>
      </c>
      <c r="E253" t="s">
        <v>803</v>
      </c>
      <c r="F253">
        <v>69.989999999999995</v>
      </c>
      <c r="G253">
        <v>3</v>
      </c>
      <c r="H253">
        <v>5</v>
      </c>
      <c r="I253">
        <v>66.489999999999995</v>
      </c>
      <c r="J253">
        <v>199.47</v>
      </c>
      <c r="K253" t="s">
        <v>661</v>
      </c>
      <c r="L253" t="s">
        <v>656</v>
      </c>
      <c r="M253">
        <v>4</v>
      </c>
    </row>
    <row r="254" spans="1:13" x14ac:dyDescent="0.25">
      <c r="A254" t="s">
        <v>1150</v>
      </c>
      <c r="B254" t="s">
        <v>139</v>
      </c>
      <c r="C254" t="s">
        <v>811</v>
      </c>
      <c r="D254" t="s">
        <v>653</v>
      </c>
      <c r="E254" t="s">
        <v>727</v>
      </c>
      <c r="F254">
        <v>14.99</v>
      </c>
      <c r="G254">
        <v>2</v>
      </c>
      <c r="H254">
        <v>0</v>
      </c>
      <c r="I254">
        <v>14.99</v>
      </c>
      <c r="J254">
        <v>29.98</v>
      </c>
      <c r="K254" t="s">
        <v>675</v>
      </c>
      <c r="L254" t="s">
        <v>656</v>
      </c>
      <c r="M254">
        <v>2</v>
      </c>
    </row>
    <row r="255" spans="1:13" x14ac:dyDescent="0.25">
      <c r="A255" t="s">
        <v>1151</v>
      </c>
      <c r="B255" t="s">
        <v>139</v>
      </c>
      <c r="C255" t="s">
        <v>1082</v>
      </c>
      <c r="D255" t="s">
        <v>653</v>
      </c>
      <c r="E255" t="s">
        <v>827</v>
      </c>
      <c r="F255">
        <v>29.99</v>
      </c>
      <c r="G255">
        <v>1</v>
      </c>
      <c r="H255">
        <v>5</v>
      </c>
      <c r="I255">
        <v>28.49</v>
      </c>
      <c r="J255">
        <v>28.49</v>
      </c>
      <c r="K255" t="s">
        <v>655</v>
      </c>
      <c r="L255" t="s">
        <v>656</v>
      </c>
      <c r="M255">
        <v>4</v>
      </c>
    </row>
    <row r="256" spans="1:13" x14ac:dyDescent="0.25">
      <c r="A256" t="s">
        <v>1152</v>
      </c>
      <c r="B256" t="s">
        <v>143</v>
      </c>
      <c r="C256" t="s">
        <v>985</v>
      </c>
      <c r="D256" t="s">
        <v>684</v>
      </c>
      <c r="E256" t="s">
        <v>815</v>
      </c>
      <c r="F256">
        <v>34.99</v>
      </c>
      <c r="G256">
        <v>2</v>
      </c>
      <c r="H256">
        <v>0</v>
      </c>
      <c r="I256">
        <v>34.99</v>
      </c>
      <c r="J256">
        <v>69.98</v>
      </c>
      <c r="K256" t="s">
        <v>682</v>
      </c>
      <c r="L256" t="s">
        <v>788</v>
      </c>
      <c r="M256">
        <v>5</v>
      </c>
    </row>
    <row r="257" spans="1:13" x14ac:dyDescent="0.25">
      <c r="A257" t="s">
        <v>1153</v>
      </c>
      <c r="B257" t="s">
        <v>143</v>
      </c>
      <c r="C257" t="s">
        <v>353</v>
      </c>
      <c r="D257" t="s">
        <v>710</v>
      </c>
      <c r="E257" t="s">
        <v>744</v>
      </c>
      <c r="F257">
        <v>29.99</v>
      </c>
      <c r="G257">
        <v>3</v>
      </c>
      <c r="H257">
        <v>15</v>
      </c>
      <c r="I257">
        <v>25.49</v>
      </c>
      <c r="J257">
        <v>76.47</v>
      </c>
      <c r="K257" t="s">
        <v>669</v>
      </c>
      <c r="L257" t="s">
        <v>656</v>
      </c>
      <c r="M257">
        <v>4</v>
      </c>
    </row>
    <row r="258" spans="1:13" x14ac:dyDescent="0.25">
      <c r="A258" t="s">
        <v>1154</v>
      </c>
      <c r="B258" t="s">
        <v>143</v>
      </c>
      <c r="C258" t="s">
        <v>1155</v>
      </c>
      <c r="D258" t="s">
        <v>672</v>
      </c>
      <c r="E258" t="s">
        <v>735</v>
      </c>
      <c r="F258">
        <v>44.99</v>
      </c>
      <c r="G258">
        <v>2</v>
      </c>
      <c r="H258">
        <v>20</v>
      </c>
      <c r="I258">
        <v>35.99</v>
      </c>
      <c r="J258">
        <v>71.98</v>
      </c>
      <c r="K258" t="s">
        <v>682</v>
      </c>
      <c r="L258" t="s">
        <v>656</v>
      </c>
      <c r="M258">
        <v>1</v>
      </c>
    </row>
    <row r="259" spans="1:13" x14ac:dyDescent="0.25">
      <c r="A259" t="s">
        <v>1156</v>
      </c>
      <c r="B259" t="s">
        <v>143</v>
      </c>
      <c r="C259" t="s">
        <v>1157</v>
      </c>
      <c r="D259" t="s">
        <v>659</v>
      </c>
      <c r="E259" t="s">
        <v>820</v>
      </c>
      <c r="F259">
        <v>39.99</v>
      </c>
      <c r="G259">
        <v>3</v>
      </c>
      <c r="H259">
        <v>0</v>
      </c>
      <c r="I259">
        <v>39.99</v>
      </c>
      <c r="J259">
        <v>119.97</v>
      </c>
      <c r="K259" t="s">
        <v>682</v>
      </c>
      <c r="L259" t="s">
        <v>788</v>
      </c>
      <c r="M259">
        <v>3</v>
      </c>
    </row>
    <row r="260" spans="1:13" x14ac:dyDescent="0.25">
      <c r="A260" t="s">
        <v>1158</v>
      </c>
      <c r="B260" t="s">
        <v>143</v>
      </c>
      <c r="C260" t="s">
        <v>1159</v>
      </c>
      <c r="D260" t="s">
        <v>680</v>
      </c>
      <c r="E260" t="s">
        <v>749</v>
      </c>
      <c r="F260">
        <v>14.99</v>
      </c>
      <c r="G260">
        <v>3</v>
      </c>
      <c r="H260">
        <v>10</v>
      </c>
      <c r="I260">
        <v>13.49</v>
      </c>
      <c r="J260">
        <v>40.47</v>
      </c>
      <c r="K260" t="s">
        <v>655</v>
      </c>
      <c r="L260" t="s">
        <v>656</v>
      </c>
    </row>
    <row r="261" spans="1:13" x14ac:dyDescent="0.25">
      <c r="A261" t="s">
        <v>1160</v>
      </c>
      <c r="B261" t="s">
        <v>143</v>
      </c>
      <c r="C261" t="s">
        <v>1161</v>
      </c>
      <c r="D261" t="s">
        <v>710</v>
      </c>
      <c r="E261" t="s">
        <v>711</v>
      </c>
      <c r="F261">
        <v>14.99</v>
      </c>
      <c r="G261">
        <v>3</v>
      </c>
      <c r="H261">
        <v>0</v>
      </c>
      <c r="I261">
        <v>14.99</v>
      </c>
      <c r="J261">
        <v>44.97</v>
      </c>
      <c r="K261" t="s">
        <v>661</v>
      </c>
      <c r="L261" t="s">
        <v>656</v>
      </c>
    </row>
    <row r="262" spans="1:13" x14ac:dyDescent="0.25">
      <c r="A262" t="s">
        <v>1162</v>
      </c>
      <c r="B262" t="s">
        <v>143</v>
      </c>
      <c r="C262" t="s">
        <v>1163</v>
      </c>
      <c r="D262" t="s">
        <v>684</v>
      </c>
      <c r="E262" t="s">
        <v>702</v>
      </c>
      <c r="F262">
        <v>199.99</v>
      </c>
      <c r="G262">
        <v>2</v>
      </c>
      <c r="H262">
        <v>15</v>
      </c>
      <c r="I262">
        <v>169.99</v>
      </c>
      <c r="J262">
        <v>339.98</v>
      </c>
      <c r="K262" t="s">
        <v>661</v>
      </c>
      <c r="L262" t="s">
        <v>656</v>
      </c>
      <c r="M262">
        <v>5</v>
      </c>
    </row>
    <row r="263" spans="1:13" x14ac:dyDescent="0.25">
      <c r="A263" t="s">
        <v>1164</v>
      </c>
      <c r="B263" t="s">
        <v>143</v>
      </c>
      <c r="C263" t="s">
        <v>1165</v>
      </c>
      <c r="D263" t="s">
        <v>684</v>
      </c>
      <c r="E263" t="s">
        <v>702</v>
      </c>
      <c r="F263">
        <v>199.99</v>
      </c>
      <c r="G263">
        <v>1</v>
      </c>
      <c r="H263">
        <v>20</v>
      </c>
      <c r="I263">
        <v>159.99</v>
      </c>
      <c r="J263">
        <v>159.99</v>
      </c>
      <c r="K263" t="s">
        <v>655</v>
      </c>
      <c r="L263" t="s">
        <v>656</v>
      </c>
    </row>
    <row r="264" spans="1:13" x14ac:dyDescent="0.25">
      <c r="A264" t="s">
        <v>1166</v>
      </c>
      <c r="B264" t="s">
        <v>143</v>
      </c>
      <c r="C264" t="s">
        <v>1167</v>
      </c>
      <c r="D264" t="s">
        <v>659</v>
      </c>
      <c r="E264" t="s">
        <v>762</v>
      </c>
      <c r="F264">
        <v>49.99</v>
      </c>
      <c r="G264">
        <v>2</v>
      </c>
      <c r="H264">
        <v>15</v>
      </c>
      <c r="I264">
        <v>42.49</v>
      </c>
      <c r="J264">
        <v>84.98</v>
      </c>
      <c r="K264" t="s">
        <v>661</v>
      </c>
      <c r="L264" t="s">
        <v>656</v>
      </c>
      <c r="M264">
        <v>4</v>
      </c>
    </row>
    <row r="265" spans="1:13" x14ac:dyDescent="0.25">
      <c r="A265" t="s">
        <v>1168</v>
      </c>
      <c r="B265" t="s">
        <v>146</v>
      </c>
      <c r="C265" t="s">
        <v>1169</v>
      </c>
      <c r="D265" t="s">
        <v>684</v>
      </c>
      <c r="E265" t="s">
        <v>705</v>
      </c>
      <c r="F265">
        <v>79.989999999999995</v>
      </c>
      <c r="G265">
        <v>1</v>
      </c>
      <c r="H265">
        <v>10</v>
      </c>
      <c r="I265">
        <v>71.989999999999995</v>
      </c>
      <c r="J265">
        <v>71.989999999999995</v>
      </c>
      <c r="K265" t="s">
        <v>661</v>
      </c>
      <c r="L265" t="s">
        <v>656</v>
      </c>
      <c r="M265">
        <v>4</v>
      </c>
    </row>
    <row r="266" spans="1:13" x14ac:dyDescent="0.25">
      <c r="A266" t="s">
        <v>1170</v>
      </c>
      <c r="B266" t="s">
        <v>146</v>
      </c>
      <c r="C266" t="s">
        <v>211</v>
      </c>
      <c r="D266" t="s">
        <v>680</v>
      </c>
      <c r="E266" t="s">
        <v>688</v>
      </c>
      <c r="F266">
        <v>29.99</v>
      </c>
      <c r="G266">
        <v>1</v>
      </c>
      <c r="H266">
        <v>0</v>
      </c>
      <c r="I266">
        <v>29.99</v>
      </c>
      <c r="J266">
        <v>29.99</v>
      </c>
      <c r="K266" t="s">
        <v>682</v>
      </c>
      <c r="L266" t="s">
        <v>656</v>
      </c>
      <c r="M266">
        <v>3</v>
      </c>
    </row>
    <row r="267" spans="1:13" x14ac:dyDescent="0.25">
      <c r="A267" t="s">
        <v>1171</v>
      </c>
      <c r="B267" t="s">
        <v>146</v>
      </c>
      <c r="C267" t="s">
        <v>1172</v>
      </c>
      <c r="D267" t="s">
        <v>667</v>
      </c>
      <c r="E267" t="s">
        <v>699</v>
      </c>
      <c r="F267">
        <v>89.99</v>
      </c>
      <c r="G267">
        <v>1</v>
      </c>
      <c r="H267">
        <v>0</v>
      </c>
      <c r="I267">
        <v>89.99</v>
      </c>
      <c r="J267">
        <v>89.99</v>
      </c>
      <c r="K267" t="s">
        <v>661</v>
      </c>
      <c r="L267" t="s">
        <v>656</v>
      </c>
      <c r="M267">
        <v>5</v>
      </c>
    </row>
    <row r="268" spans="1:13" x14ac:dyDescent="0.25">
      <c r="A268" t="s">
        <v>1173</v>
      </c>
      <c r="B268" t="s">
        <v>146</v>
      </c>
      <c r="C268" t="s">
        <v>1174</v>
      </c>
      <c r="D268" t="s">
        <v>710</v>
      </c>
      <c r="E268" t="s">
        <v>721</v>
      </c>
      <c r="F268">
        <v>24.99</v>
      </c>
      <c r="G268">
        <v>1</v>
      </c>
      <c r="H268">
        <v>0</v>
      </c>
      <c r="I268">
        <v>24.99</v>
      </c>
      <c r="J268">
        <v>24.99</v>
      </c>
      <c r="K268" t="s">
        <v>661</v>
      </c>
      <c r="L268" t="s">
        <v>656</v>
      </c>
    </row>
    <row r="269" spans="1:13" x14ac:dyDescent="0.25">
      <c r="A269" t="s">
        <v>1175</v>
      </c>
      <c r="B269" t="s">
        <v>146</v>
      </c>
      <c r="C269" t="s">
        <v>1176</v>
      </c>
      <c r="D269" t="s">
        <v>684</v>
      </c>
      <c r="E269" t="s">
        <v>685</v>
      </c>
      <c r="F269">
        <v>49.99</v>
      </c>
      <c r="G269">
        <v>3</v>
      </c>
      <c r="H269">
        <v>20</v>
      </c>
      <c r="I269">
        <v>39.99</v>
      </c>
      <c r="J269">
        <v>119.97</v>
      </c>
      <c r="K269" t="s">
        <v>675</v>
      </c>
      <c r="L269" t="s">
        <v>656</v>
      </c>
    </row>
    <row r="270" spans="1:13" x14ac:dyDescent="0.25">
      <c r="A270" t="s">
        <v>1177</v>
      </c>
      <c r="B270" t="s">
        <v>146</v>
      </c>
      <c r="C270" t="s">
        <v>1178</v>
      </c>
      <c r="D270" t="s">
        <v>710</v>
      </c>
      <c r="E270" t="s">
        <v>711</v>
      </c>
      <c r="F270">
        <v>14.99</v>
      </c>
      <c r="G270">
        <v>3</v>
      </c>
      <c r="H270">
        <v>5</v>
      </c>
      <c r="I270">
        <v>14.24</v>
      </c>
      <c r="J270">
        <v>42.72</v>
      </c>
      <c r="K270" t="s">
        <v>661</v>
      </c>
      <c r="L270" t="s">
        <v>656</v>
      </c>
      <c r="M270">
        <v>3</v>
      </c>
    </row>
    <row r="271" spans="1:13" x14ac:dyDescent="0.25">
      <c r="A271" t="s">
        <v>1179</v>
      </c>
      <c r="B271" t="s">
        <v>146</v>
      </c>
      <c r="C271" t="s">
        <v>1180</v>
      </c>
      <c r="D271" t="s">
        <v>672</v>
      </c>
      <c r="E271" t="s">
        <v>673</v>
      </c>
      <c r="F271">
        <v>24.99</v>
      </c>
      <c r="G271">
        <v>3</v>
      </c>
      <c r="H271">
        <v>15</v>
      </c>
      <c r="I271">
        <v>21.24</v>
      </c>
      <c r="J271">
        <v>63.72</v>
      </c>
      <c r="K271" t="s">
        <v>669</v>
      </c>
      <c r="L271" t="s">
        <v>656</v>
      </c>
      <c r="M271">
        <v>4</v>
      </c>
    </row>
    <row r="272" spans="1:13" x14ac:dyDescent="0.25">
      <c r="A272" t="s">
        <v>1181</v>
      </c>
      <c r="B272" t="s">
        <v>146</v>
      </c>
      <c r="C272" t="s">
        <v>1182</v>
      </c>
      <c r="D272" t="s">
        <v>667</v>
      </c>
      <c r="E272" t="s">
        <v>668</v>
      </c>
      <c r="F272">
        <v>64.989999999999995</v>
      </c>
      <c r="G272">
        <v>2</v>
      </c>
      <c r="H272">
        <v>15</v>
      </c>
      <c r="I272">
        <v>55.24</v>
      </c>
      <c r="J272">
        <v>110.48</v>
      </c>
      <c r="K272" t="s">
        <v>669</v>
      </c>
      <c r="L272" t="s">
        <v>656</v>
      </c>
      <c r="M272">
        <v>4</v>
      </c>
    </row>
    <row r="273" spans="1:13" x14ac:dyDescent="0.25">
      <c r="A273" t="s">
        <v>1183</v>
      </c>
      <c r="B273" t="s">
        <v>149</v>
      </c>
      <c r="C273" t="s">
        <v>1184</v>
      </c>
      <c r="D273" t="s">
        <v>653</v>
      </c>
      <c r="E273" t="s">
        <v>769</v>
      </c>
      <c r="F273">
        <v>49.99</v>
      </c>
      <c r="G273">
        <v>3</v>
      </c>
      <c r="H273">
        <v>0</v>
      </c>
      <c r="I273">
        <v>49.99</v>
      </c>
      <c r="J273">
        <v>149.97</v>
      </c>
      <c r="K273" t="s">
        <v>669</v>
      </c>
      <c r="L273" t="s">
        <v>656</v>
      </c>
    </row>
    <row r="274" spans="1:13" x14ac:dyDescent="0.25">
      <c r="A274" t="s">
        <v>1185</v>
      </c>
      <c r="B274" t="s">
        <v>149</v>
      </c>
      <c r="C274" t="s">
        <v>451</v>
      </c>
      <c r="D274" t="s">
        <v>659</v>
      </c>
      <c r="E274" t="s">
        <v>820</v>
      </c>
      <c r="F274">
        <v>39.99</v>
      </c>
      <c r="G274">
        <v>3</v>
      </c>
      <c r="H274">
        <v>0</v>
      </c>
      <c r="I274">
        <v>39.99</v>
      </c>
      <c r="J274">
        <v>119.97</v>
      </c>
      <c r="K274" t="s">
        <v>655</v>
      </c>
      <c r="L274" t="s">
        <v>656</v>
      </c>
    </row>
    <row r="275" spans="1:13" x14ac:dyDescent="0.25">
      <c r="A275" t="s">
        <v>1186</v>
      </c>
      <c r="B275" t="s">
        <v>149</v>
      </c>
      <c r="C275" t="s">
        <v>422</v>
      </c>
      <c r="D275" t="s">
        <v>710</v>
      </c>
      <c r="E275" t="s">
        <v>744</v>
      </c>
      <c r="F275">
        <v>29.99</v>
      </c>
      <c r="G275">
        <v>1</v>
      </c>
      <c r="H275">
        <v>0</v>
      </c>
      <c r="I275">
        <v>29.99</v>
      </c>
      <c r="J275">
        <v>29.99</v>
      </c>
      <c r="K275" t="s">
        <v>661</v>
      </c>
      <c r="L275" t="s">
        <v>693</v>
      </c>
    </row>
    <row r="276" spans="1:13" x14ac:dyDescent="0.25">
      <c r="A276" t="s">
        <v>1187</v>
      </c>
      <c r="B276" t="s">
        <v>149</v>
      </c>
      <c r="C276" t="s">
        <v>1188</v>
      </c>
      <c r="D276" t="s">
        <v>659</v>
      </c>
      <c r="E276" t="s">
        <v>820</v>
      </c>
      <c r="F276">
        <v>39.99</v>
      </c>
      <c r="G276">
        <v>4</v>
      </c>
      <c r="H276">
        <v>0</v>
      </c>
      <c r="I276">
        <v>39.99</v>
      </c>
      <c r="J276">
        <v>159.96</v>
      </c>
      <c r="K276" t="s">
        <v>669</v>
      </c>
      <c r="L276" t="s">
        <v>656</v>
      </c>
      <c r="M276">
        <v>4</v>
      </c>
    </row>
    <row r="277" spans="1:13" x14ac:dyDescent="0.25">
      <c r="A277" t="s">
        <v>1189</v>
      </c>
      <c r="B277" t="s">
        <v>149</v>
      </c>
      <c r="C277" t="s">
        <v>798</v>
      </c>
      <c r="D277" t="s">
        <v>659</v>
      </c>
      <c r="E277" t="s">
        <v>660</v>
      </c>
      <c r="F277">
        <v>19.989999999999998</v>
      </c>
      <c r="G277">
        <v>1</v>
      </c>
      <c r="H277">
        <v>15</v>
      </c>
      <c r="I277">
        <v>16.989999999999998</v>
      </c>
      <c r="J277">
        <v>16.989999999999998</v>
      </c>
      <c r="K277" t="s">
        <v>675</v>
      </c>
      <c r="L277" t="s">
        <v>656</v>
      </c>
      <c r="M277">
        <v>4</v>
      </c>
    </row>
    <row r="278" spans="1:13" x14ac:dyDescent="0.25">
      <c r="A278" t="s">
        <v>1190</v>
      </c>
      <c r="B278" t="s">
        <v>149</v>
      </c>
      <c r="C278" t="s">
        <v>761</v>
      </c>
      <c r="D278" t="s">
        <v>680</v>
      </c>
      <c r="E278" t="s">
        <v>688</v>
      </c>
      <c r="F278">
        <v>29.99</v>
      </c>
      <c r="G278">
        <v>4</v>
      </c>
      <c r="H278">
        <v>5</v>
      </c>
      <c r="I278">
        <v>28.49</v>
      </c>
      <c r="J278">
        <v>113.96</v>
      </c>
      <c r="K278" t="s">
        <v>682</v>
      </c>
      <c r="L278" t="s">
        <v>656</v>
      </c>
      <c r="M278">
        <v>4</v>
      </c>
    </row>
    <row r="279" spans="1:13" x14ac:dyDescent="0.25">
      <c r="A279" t="s">
        <v>1191</v>
      </c>
      <c r="B279" t="s">
        <v>149</v>
      </c>
      <c r="C279" t="s">
        <v>292</v>
      </c>
      <c r="D279" t="s">
        <v>653</v>
      </c>
      <c r="E279" t="s">
        <v>727</v>
      </c>
      <c r="F279">
        <v>14.99</v>
      </c>
      <c r="G279">
        <v>4</v>
      </c>
      <c r="H279">
        <v>0</v>
      </c>
      <c r="I279">
        <v>14.99</v>
      </c>
      <c r="J279">
        <v>59.96</v>
      </c>
      <c r="K279" t="s">
        <v>661</v>
      </c>
      <c r="L279" t="s">
        <v>656</v>
      </c>
    </row>
    <row r="280" spans="1:13" x14ac:dyDescent="0.25">
      <c r="A280" t="s">
        <v>1192</v>
      </c>
      <c r="B280" t="s">
        <v>149</v>
      </c>
      <c r="C280" t="s">
        <v>1193</v>
      </c>
      <c r="D280" t="s">
        <v>653</v>
      </c>
      <c r="E280" t="s">
        <v>727</v>
      </c>
      <c r="F280">
        <v>14.99</v>
      </c>
      <c r="G280">
        <v>3</v>
      </c>
      <c r="H280">
        <v>10</v>
      </c>
      <c r="I280">
        <v>13.49</v>
      </c>
      <c r="J280">
        <v>40.47</v>
      </c>
      <c r="K280" t="s">
        <v>669</v>
      </c>
      <c r="L280" t="s">
        <v>656</v>
      </c>
      <c r="M280">
        <v>4</v>
      </c>
    </row>
    <row r="281" spans="1:13" x14ac:dyDescent="0.25">
      <c r="A281" t="s">
        <v>1194</v>
      </c>
      <c r="B281" t="s">
        <v>149</v>
      </c>
      <c r="C281" t="s">
        <v>1195</v>
      </c>
      <c r="D281" t="s">
        <v>710</v>
      </c>
      <c r="E281" t="s">
        <v>721</v>
      </c>
      <c r="F281">
        <v>24.99</v>
      </c>
      <c r="G281">
        <v>4</v>
      </c>
      <c r="H281">
        <v>0</v>
      </c>
      <c r="I281">
        <v>24.99</v>
      </c>
      <c r="J281">
        <v>99.96</v>
      </c>
      <c r="K281" t="s">
        <v>682</v>
      </c>
      <c r="L281" t="s">
        <v>656</v>
      </c>
    </row>
    <row r="282" spans="1:13" x14ac:dyDescent="0.25">
      <c r="A282" t="s">
        <v>1196</v>
      </c>
      <c r="B282" t="s">
        <v>149</v>
      </c>
      <c r="C282" t="s">
        <v>1197</v>
      </c>
      <c r="D282" t="s">
        <v>659</v>
      </c>
      <c r="E282" t="s">
        <v>820</v>
      </c>
      <c r="F282">
        <v>39.99</v>
      </c>
      <c r="G282">
        <v>1</v>
      </c>
      <c r="H282">
        <v>5</v>
      </c>
      <c r="I282">
        <v>37.99</v>
      </c>
      <c r="J282">
        <v>37.99</v>
      </c>
      <c r="K282" t="s">
        <v>655</v>
      </c>
      <c r="L282" t="s">
        <v>656</v>
      </c>
      <c r="M282">
        <v>4</v>
      </c>
    </row>
    <row r="283" spans="1:13" x14ac:dyDescent="0.25">
      <c r="A283" t="s">
        <v>1198</v>
      </c>
      <c r="B283" t="s">
        <v>149</v>
      </c>
      <c r="C283" t="s">
        <v>1199</v>
      </c>
      <c r="D283" t="s">
        <v>684</v>
      </c>
      <c r="E283" t="s">
        <v>702</v>
      </c>
      <c r="F283">
        <v>199.99</v>
      </c>
      <c r="G283">
        <v>4</v>
      </c>
      <c r="H283">
        <v>20</v>
      </c>
      <c r="I283">
        <v>159.99</v>
      </c>
      <c r="J283">
        <v>639.96</v>
      </c>
      <c r="K283" t="s">
        <v>661</v>
      </c>
      <c r="L283" t="s">
        <v>656</v>
      </c>
      <c r="M283">
        <v>3</v>
      </c>
    </row>
    <row r="284" spans="1:13" x14ac:dyDescent="0.25">
      <c r="A284" t="s">
        <v>1200</v>
      </c>
      <c r="B284" t="s">
        <v>149</v>
      </c>
      <c r="C284" t="s">
        <v>1201</v>
      </c>
      <c r="D284" t="s">
        <v>653</v>
      </c>
      <c r="E284" t="s">
        <v>727</v>
      </c>
      <c r="F284">
        <v>14.99</v>
      </c>
      <c r="G284">
        <v>1</v>
      </c>
      <c r="H284">
        <v>5</v>
      </c>
      <c r="I284">
        <v>14.24</v>
      </c>
      <c r="J284">
        <v>14.24</v>
      </c>
      <c r="K284" t="s">
        <v>661</v>
      </c>
      <c r="L284" t="s">
        <v>656</v>
      </c>
      <c r="M284">
        <v>5</v>
      </c>
    </row>
    <row r="285" spans="1:13" x14ac:dyDescent="0.25">
      <c r="A285" t="s">
        <v>1202</v>
      </c>
      <c r="B285" t="s">
        <v>149</v>
      </c>
      <c r="C285" t="s">
        <v>1203</v>
      </c>
      <c r="D285" t="s">
        <v>710</v>
      </c>
      <c r="E285" t="s">
        <v>744</v>
      </c>
      <c r="F285">
        <v>29.99</v>
      </c>
      <c r="G285">
        <v>3</v>
      </c>
      <c r="H285">
        <v>0</v>
      </c>
      <c r="I285">
        <v>29.99</v>
      </c>
      <c r="J285">
        <v>89.97</v>
      </c>
      <c r="K285" t="s">
        <v>675</v>
      </c>
      <c r="L285" t="s">
        <v>656</v>
      </c>
    </row>
    <row r="286" spans="1:13" x14ac:dyDescent="0.25">
      <c r="A286" t="s">
        <v>1204</v>
      </c>
      <c r="B286" t="s">
        <v>152</v>
      </c>
      <c r="C286" t="s">
        <v>1205</v>
      </c>
      <c r="D286" t="s">
        <v>653</v>
      </c>
      <c r="E286" t="s">
        <v>654</v>
      </c>
      <c r="F286">
        <v>39.99</v>
      </c>
      <c r="G286">
        <v>3</v>
      </c>
      <c r="H286">
        <v>5</v>
      </c>
      <c r="I286">
        <v>37.99</v>
      </c>
      <c r="J286">
        <v>113.97</v>
      </c>
      <c r="K286" t="s">
        <v>655</v>
      </c>
      <c r="L286" t="s">
        <v>739</v>
      </c>
      <c r="M286">
        <v>5</v>
      </c>
    </row>
    <row r="287" spans="1:13" x14ac:dyDescent="0.25">
      <c r="A287" t="s">
        <v>1206</v>
      </c>
      <c r="B287" t="s">
        <v>152</v>
      </c>
      <c r="C287" t="s">
        <v>1207</v>
      </c>
      <c r="D287" t="s">
        <v>659</v>
      </c>
      <c r="E287" t="s">
        <v>664</v>
      </c>
      <c r="F287">
        <v>24.99</v>
      </c>
      <c r="G287">
        <v>4</v>
      </c>
      <c r="H287">
        <v>0</v>
      </c>
      <c r="I287">
        <v>24.99</v>
      </c>
      <c r="J287">
        <v>99.96</v>
      </c>
      <c r="K287" t="s">
        <v>661</v>
      </c>
      <c r="L287" t="s">
        <v>656</v>
      </c>
    </row>
    <row r="288" spans="1:13" x14ac:dyDescent="0.25">
      <c r="A288" t="s">
        <v>1208</v>
      </c>
      <c r="B288" t="s">
        <v>152</v>
      </c>
      <c r="C288" t="s">
        <v>1209</v>
      </c>
      <c r="D288" t="s">
        <v>684</v>
      </c>
      <c r="E288" t="s">
        <v>705</v>
      </c>
      <c r="F288">
        <v>79.989999999999995</v>
      </c>
      <c r="G288">
        <v>1</v>
      </c>
      <c r="H288">
        <v>15</v>
      </c>
      <c r="I288">
        <v>67.989999999999995</v>
      </c>
      <c r="J288">
        <v>67.989999999999995</v>
      </c>
      <c r="K288" t="s">
        <v>655</v>
      </c>
      <c r="L288" t="s">
        <v>656</v>
      </c>
      <c r="M288">
        <v>5</v>
      </c>
    </row>
    <row r="289" spans="1:13" x14ac:dyDescent="0.25">
      <c r="A289" t="s">
        <v>1210</v>
      </c>
      <c r="B289" t="s">
        <v>152</v>
      </c>
      <c r="C289" t="s">
        <v>1211</v>
      </c>
      <c r="D289" t="s">
        <v>710</v>
      </c>
      <c r="E289" t="s">
        <v>711</v>
      </c>
      <c r="F289">
        <v>14.99</v>
      </c>
      <c r="G289">
        <v>2</v>
      </c>
      <c r="H289">
        <v>0</v>
      </c>
      <c r="I289">
        <v>14.99</v>
      </c>
      <c r="J289">
        <v>29.98</v>
      </c>
      <c r="K289" t="s">
        <v>661</v>
      </c>
      <c r="L289" t="s">
        <v>656</v>
      </c>
    </row>
    <row r="290" spans="1:13" x14ac:dyDescent="0.25">
      <c r="A290" t="s">
        <v>1212</v>
      </c>
      <c r="B290" t="s">
        <v>155</v>
      </c>
      <c r="C290" t="s">
        <v>1213</v>
      </c>
      <c r="D290" t="s">
        <v>672</v>
      </c>
      <c r="E290" t="s">
        <v>673</v>
      </c>
      <c r="F290">
        <v>24.99</v>
      </c>
      <c r="G290">
        <v>2</v>
      </c>
      <c r="H290">
        <v>0</v>
      </c>
      <c r="I290">
        <v>24.99</v>
      </c>
      <c r="J290">
        <v>49.98</v>
      </c>
      <c r="K290" t="s">
        <v>661</v>
      </c>
      <c r="L290" t="s">
        <v>656</v>
      </c>
      <c r="M290">
        <v>5</v>
      </c>
    </row>
    <row r="291" spans="1:13" x14ac:dyDescent="0.25">
      <c r="A291" t="s">
        <v>1214</v>
      </c>
      <c r="B291" t="s">
        <v>155</v>
      </c>
      <c r="C291" t="s">
        <v>713</v>
      </c>
      <c r="D291" t="s">
        <v>672</v>
      </c>
      <c r="E291" t="s">
        <v>724</v>
      </c>
      <c r="F291">
        <v>89.99</v>
      </c>
      <c r="G291">
        <v>3</v>
      </c>
      <c r="H291">
        <v>0</v>
      </c>
      <c r="I291">
        <v>89.99</v>
      </c>
      <c r="J291">
        <v>269.97000000000003</v>
      </c>
      <c r="K291" t="s">
        <v>661</v>
      </c>
      <c r="L291" t="s">
        <v>788</v>
      </c>
    </row>
    <row r="292" spans="1:13" x14ac:dyDescent="0.25">
      <c r="A292" t="s">
        <v>1215</v>
      </c>
      <c r="B292" t="s">
        <v>155</v>
      </c>
      <c r="C292" t="s">
        <v>1216</v>
      </c>
      <c r="D292" t="s">
        <v>680</v>
      </c>
      <c r="E292" t="s">
        <v>749</v>
      </c>
      <c r="F292">
        <v>14.99</v>
      </c>
      <c r="G292">
        <v>2</v>
      </c>
      <c r="H292">
        <v>0</v>
      </c>
      <c r="I292">
        <v>14.99</v>
      </c>
      <c r="J292">
        <v>29.98</v>
      </c>
      <c r="K292" t="s">
        <v>675</v>
      </c>
      <c r="L292" t="s">
        <v>656</v>
      </c>
      <c r="M292">
        <v>4</v>
      </c>
    </row>
    <row r="293" spans="1:13" x14ac:dyDescent="0.25">
      <c r="A293" t="s">
        <v>1217</v>
      </c>
      <c r="B293" t="s">
        <v>155</v>
      </c>
      <c r="C293" t="s">
        <v>943</v>
      </c>
      <c r="D293" t="s">
        <v>680</v>
      </c>
      <c r="E293" t="s">
        <v>681</v>
      </c>
      <c r="F293">
        <v>19.989999999999998</v>
      </c>
      <c r="G293">
        <v>2</v>
      </c>
      <c r="H293">
        <v>0</v>
      </c>
      <c r="I293">
        <v>19.989999999999998</v>
      </c>
      <c r="J293">
        <v>39.979999999999997</v>
      </c>
      <c r="K293" t="s">
        <v>675</v>
      </c>
      <c r="L293" t="s">
        <v>693</v>
      </c>
      <c r="M293">
        <v>5</v>
      </c>
    </row>
    <row r="294" spans="1:13" x14ac:dyDescent="0.25">
      <c r="A294" t="s">
        <v>1218</v>
      </c>
      <c r="B294" t="s">
        <v>155</v>
      </c>
      <c r="C294" t="s">
        <v>1219</v>
      </c>
      <c r="D294" t="s">
        <v>680</v>
      </c>
      <c r="E294" t="s">
        <v>708</v>
      </c>
      <c r="F294">
        <v>24.99</v>
      </c>
      <c r="G294">
        <v>3</v>
      </c>
      <c r="H294">
        <v>0</v>
      </c>
      <c r="I294">
        <v>24.99</v>
      </c>
      <c r="J294">
        <v>74.97</v>
      </c>
      <c r="K294" t="s">
        <v>669</v>
      </c>
      <c r="L294" t="s">
        <v>656</v>
      </c>
      <c r="M294">
        <v>2</v>
      </c>
    </row>
    <row r="295" spans="1:13" x14ac:dyDescent="0.25">
      <c r="A295" t="s">
        <v>1220</v>
      </c>
      <c r="B295" t="s">
        <v>159</v>
      </c>
      <c r="C295" t="s">
        <v>1221</v>
      </c>
      <c r="D295" t="s">
        <v>672</v>
      </c>
      <c r="E295" t="s">
        <v>673</v>
      </c>
      <c r="F295">
        <v>24.99</v>
      </c>
      <c r="G295">
        <v>2</v>
      </c>
      <c r="H295">
        <v>0</v>
      </c>
      <c r="I295">
        <v>24.99</v>
      </c>
      <c r="J295">
        <v>49.98</v>
      </c>
      <c r="K295" t="s">
        <v>669</v>
      </c>
      <c r="L295" t="s">
        <v>656</v>
      </c>
    </row>
    <row r="296" spans="1:13" x14ac:dyDescent="0.25">
      <c r="A296" t="s">
        <v>1222</v>
      </c>
      <c r="B296" t="s">
        <v>159</v>
      </c>
      <c r="C296" t="s">
        <v>707</v>
      </c>
      <c r="D296" t="s">
        <v>653</v>
      </c>
      <c r="E296" t="s">
        <v>727</v>
      </c>
      <c r="F296">
        <v>14.99</v>
      </c>
      <c r="G296">
        <v>3</v>
      </c>
      <c r="H296">
        <v>0</v>
      </c>
      <c r="I296">
        <v>14.99</v>
      </c>
      <c r="J296">
        <v>44.97</v>
      </c>
      <c r="K296" t="s">
        <v>661</v>
      </c>
      <c r="L296" t="s">
        <v>656</v>
      </c>
      <c r="M296">
        <v>3</v>
      </c>
    </row>
    <row r="297" spans="1:13" x14ac:dyDescent="0.25">
      <c r="A297" t="s">
        <v>1223</v>
      </c>
      <c r="B297" t="s">
        <v>159</v>
      </c>
      <c r="C297" t="s">
        <v>1224</v>
      </c>
      <c r="D297" t="s">
        <v>684</v>
      </c>
      <c r="E297" t="s">
        <v>702</v>
      </c>
      <c r="F297">
        <v>199.99</v>
      </c>
      <c r="G297">
        <v>4</v>
      </c>
      <c r="H297">
        <v>15</v>
      </c>
      <c r="I297">
        <v>169.99</v>
      </c>
      <c r="J297">
        <v>679.96</v>
      </c>
      <c r="K297" t="s">
        <v>669</v>
      </c>
      <c r="L297" t="s">
        <v>656</v>
      </c>
      <c r="M297">
        <v>5</v>
      </c>
    </row>
    <row r="298" spans="1:13" x14ac:dyDescent="0.25">
      <c r="A298" t="s">
        <v>1225</v>
      </c>
      <c r="B298" t="s">
        <v>159</v>
      </c>
      <c r="C298" t="s">
        <v>1133</v>
      </c>
      <c r="D298" t="s">
        <v>684</v>
      </c>
      <c r="E298" t="s">
        <v>705</v>
      </c>
      <c r="F298">
        <v>79.989999999999995</v>
      </c>
      <c r="G298">
        <v>1</v>
      </c>
      <c r="H298">
        <v>15</v>
      </c>
      <c r="I298">
        <v>67.989999999999995</v>
      </c>
      <c r="J298">
        <v>67.989999999999995</v>
      </c>
      <c r="K298" t="s">
        <v>669</v>
      </c>
      <c r="L298" t="s">
        <v>656</v>
      </c>
      <c r="M298">
        <v>5</v>
      </c>
    </row>
    <row r="299" spans="1:13" x14ac:dyDescent="0.25">
      <c r="A299" t="s">
        <v>1226</v>
      </c>
      <c r="B299" t="s">
        <v>159</v>
      </c>
      <c r="C299" t="s">
        <v>580</v>
      </c>
      <c r="D299" t="s">
        <v>667</v>
      </c>
      <c r="E299" t="s">
        <v>668</v>
      </c>
      <c r="F299">
        <v>64.989999999999995</v>
      </c>
      <c r="G299">
        <v>1</v>
      </c>
      <c r="H299">
        <v>0</v>
      </c>
      <c r="I299">
        <v>64.989999999999995</v>
      </c>
      <c r="J299">
        <v>64.989999999999995</v>
      </c>
      <c r="K299" t="s">
        <v>669</v>
      </c>
      <c r="L299" t="s">
        <v>656</v>
      </c>
      <c r="M299">
        <v>5</v>
      </c>
    </row>
    <row r="300" spans="1:13" x14ac:dyDescent="0.25">
      <c r="A300" t="s">
        <v>1227</v>
      </c>
      <c r="B300" t="s">
        <v>159</v>
      </c>
      <c r="C300" t="s">
        <v>845</v>
      </c>
      <c r="D300" t="s">
        <v>710</v>
      </c>
      <c r="E300" t="s">
        <v>711</v>
      </c>
      <c r="F300">
        <v>14.99</v>
      </c>
      <c r="G300">
        <v>3</v>
      </c>
      <c r="H300">
        <v>5</v>
      </c>
      <c r="I300">
        <v>14.24</v>
      </c>
      <c r="J300">
        <v>42.72</v>
      </c>
      <c r="K300" t="s">
        <v>655</v>
      </c>
      <c r="L300" t="s">
        <v>656</v>
      </c>
      <c r="M300">
        <v>5</v>
      </c>
    </row>
    <row r="301" spans="1:13" x14ac:dyDescent="0.25">
      <c r="A301" t="s">
        <v>1228</v>
      </c>
      <c r="B301" t="s">
        <v>159</v>
      </c>
      <c r="C301" t="s">
        <v>1229</v>
      </c>
      <c r="D301" t="s">
        <v>680</v>
      </c>
      <c r="E301" t="s">
        <v>688</v>
      </c>
      <c r="F301">
        <v>29.99</v>
      </c>
      <c r="G301">
        <v>4</v>
      </c>
      <c r="H301">
        <v>15</v>
      </c>
      <c r="I301">
        <v>25.49</v>
      </c>
      <c r="J301">
        <v>101.96</v>
      </c>
      <c r="K301" t="s">
        <v>655</v>
      </c>
      <c r="L301" t="s">
        <v>656</v>
      </c>
      <c r="M301">
        <v>4</v>
      </c>
    </row>
    <row r="302" spans="1:13" x14ac:dyDescent="0.25">
      <c r="A302" t="s">
        <v>1230</v>
      </c>
      <c r="B302" t="s">
        <v>159</v>
      </c>
      <c r="C302" t="s">
        <v>1231</v>
      </c>
      <c r="D302" t="s">
        <v>680</v>
      </c>
      <c r="E302" t="s">
        <v>681</v>
      </c>
      <c r="F302">
        <v>19.989999999999998</v>
      </c>
      <c r="G302">
        <v>2</v>
      </c>
      <c r="H302">
        <v>20</v>
      </c>
      <c r="I302">
        <v>15.99</v>
      </c>
      <c r="J302">
        <v>31.98</v>
      </c>
      <c r="K302" t="s">
        <v>655</v>
      </c>
      <c r="L302" t="s">
        <v>788</v>
      </c>
    </row>
    <row r="303" spans="1:13" x14ac:dyDescent="0.25">
      <c r="A303" t="s">
        <v>1232</v>
      </c>
      <c r="B303" t="s">
        <v>159</v>
      </c>
      <c r="C303" t="s">
        <v>1233</v>
      </c>
      <c r="D303" t="s">
        <v>659</v>
      </c>
      <c r="E303" t="s">
        <v>660</v>
      </c>
      <c r="F303">
        <v>19.989999999999998</v>
      </c>
      <c r="G303">
        <v>2</v>
      </c>
      <c r="H303">
        <v>5</v>
      </c>
      <c r="I303">
        <v>18.989999999999998</v>
      </c>
      <c r="J303">
        <v>37.979999999999997</v>
      </c>
      <c r="K303" t="s">
        <v>682</v>
      </c>
      <c r="L303" t="s">
        <v>656</v>
      </c>
      <c r="M303">
        <v>5</v>
      </c>
    </row>
    <row r="304" spans="1:13" x14ac:dyDescent="0.25">
      <c r="A304" t="s">
        <v>1234</v>
      </c>
      <c r="B304" t="s">
        <v>162</v>
      </c>
      <c r="C304" t="s">
        <v>824</v>
      </c>
      <c r="D304" t="s">
        <v>659</v>
      </c>
      <c r="E304" t="s">
        <v>664</v>
      </c>
      <c r="F304">
        <v>24.99</v>
      </c>
      <c r="G304">
        <v>4</v>
      </c>
      <c r="H304">
        <v>15</v>
      </c>
      <c r="I304">
        <v>21.24</v>
      </c>
      <c r="J304">
        <v>84.96</v>
      </c>
      <c r="K304" t="s">
        <v>675</v>
      </c>
      <c r="L304" t="s">
        <v>656</v>
      </c>
    </row>
    <row r="305" spans="1:13" x14ac:dyDescent="0.25">
      <c r="A305" t="s">
        <v>1235</v>
      </c>
      <c r="B305" t="s">
        <v>162</v>
      </c>
      <c r="C305" t="s">
        <v>1236</v>
      </c>
      <c r="D305" t="s">
        <v>684</v>
      </c>
      <c r="E305" t="s">
        <v>685</v>
      </c>
      <c r="F305">
        <v>49.99</v>
      </c>
      <c r="G305">
        <v>2</v>
      </c>
      <c r="H305">
        <v>20</v>
      </c>
      <c r="I305">
        <v>39.99</v>
      </c>
      <c r="J305">
        <v>79.98</v>
      </c>
      <c r="K305" t="s">
        <v>682</v>
      </c>
      <c r="L305" t="s">
        <v>739</v>
      </c>
    </row>
    <row r="306" spans="1:13" x14ac:dyDescent="0.25">
      <c r="A306" t="s">
        <v>1237</v>
      </c>
      <c r="B306" t="s">
        <v>162</v>
      </c>
      <c r="C306" t="s">
        <v>1238</v>
      </c>
      <c r="D306" t="s">
        <v>672</v>
      </c>
      <c r="E306" t="s">
        <v>724</v>
      </c>
      <c r="F306">
        <v>89.99</v>
      </c>
      <c r="G306">
        <v>1</v>
      </c>
      <c r="H306">
        <v>5</v>
      </c>
      <c r="I306">
        <v>85.49</v>
      </c>
      <c r="J306">
        <v>85.49</v>
      </c>
      <c r="K306" t="s">
        <v>682</v>
      </c>
      <c r="L306" t="s">
        <v>656</v>
      </c>
    </row>
    <row r="307" spans="1:13" x14ac:dyDescent="0.25">
      <c r="A307" t="s">
        <v>1239</v>
      </c>
      <c r="B307" t="s">
        <v>162</v>
      </c>
      <c r="C307" t="s">
        <v>784</v>
      </c>
      <c r="D307" t="s">
        <v>710</v>
      </c>
      <c r="E307" t="s">
        <v>721</v>
      </c>
      <c r="F307">
        <v>24.99</v>
      </c>
      <c r="G307">
        <v>1</v>
      </c>
      <c r="H307">
        <v>10</v>
      </c>
      <c r="I307">
        <v>22.49</v>
      </c>
      <c r="J307">
        <v>22.49</v>
      </c>
      <c r="K307" t="s">
        <v>655</v>
      </c>
      <c r="L307" t="s">
        <v>656</v>
      </c>
      <c r="M307">
        <v>2</v>
      </c>
    </row>
    <row r="308" spans="1:13" x14ac:dyDescent="0.25">
      <c r="A308" t="s">
        <v>1240</v>
      </c>
      <c r="B308" t="s">
        <v>162</v>
      </c>
      <c r="C308" t="s">
        <v>596</v>
      </c>
      <c r="D308" t="s">
        <v>667</v>
      </c>
      <c r="E308" t="s">
        <v>714</v>
      </c>
      <c r="F308">
        <v>44.99</v>
      </c>
      <c r="G308">
        <v>1</v>
      </c>
      <c r="H308">
        <v>0</v>
      </c>
      <c r="I308">
        <v>44.99</v>
      </c>
      <c r="J308">
        <v>44.99</v>
      </c>
      <c r="K308" t="s">
        <v>655</v>
      </c>
      <c r="L308" t="s">
        <v>656</v>
      </c>
    </row>
    <row r="309" spans="1:13" x14ac:dyDescent="0.25">
      <c r="A309" t="s">
        <v>1241</v>
      </c>
      <c r="B309" t="s">
        <v>162</v>
      </c>
      <c r="C309" t="s">
        <v>1242</v>
      </c>
      <c r="D309" t="s">
        <v>672</v>
      </c>
      <c r="E309" t="s">
        <v>735</v>
      </c>
      <c r="F309">
        <v>44.99</v>
      </c>
      <c r="G309">
        <v>1</v>
      </c>
      <c r="H309">
        <v>0</v>
      </c>
      <c r="I309">
        <v>44.99</v>
      </c>
      <c r="J309">
        <v>44.99</v>
      </c>
      <c r="K309" t="s">
        <v>682</v>
      </c>
      <c r="L309" t="s">
        <v>656</v>
      </c>
      <c r="M309">
        <v>5</v>
      </c>
    </row>
    <row r="310" spans="1:13" x14ac:dyDescent="0.25">
      <c r="A310" t="s">
        <v>1243</v>
      </c>
      <c r="B310" t="s">
        <v>162</v>
      </c>
      <c r="C310" t="s">
        <v>1244</v>
      </c>
      <c r="D310" t="s">
        <v>653</v>
      </c>
      <c r="E310" t="s">
        <v>654</v>
      </c>
      <c r="F310">
        <v>39.99</v>
      </c>
      <c r="G310">
        <v>3</v>
      </c>
      <c r="H310">
        <v>0</v>
      </c>
      <c r="I310">
        <v>39.99</v>
      </c>
      <c r="J310">
        <v>119.97</v>
      </c>
      <c r="K310" t="s">
        <v>682</v>
      </c>
      <c r="L310" t="s">
        <v>656</v>
      </c>
      <c r="M310">
        <v>1</v>
      </c>
    </row>
    <row r="311" spans="1:13" x14ac:dyDescent="0.25">
      <c r="A311" t="s">
        <v>1245</v>
      </c>
      <c r="B311" t="s">
        <v>162</v>
      </c>
      <c r="C311" t="s">
        <v>616</v>
      </c>
      <c r="D311" t="s">
        <v>667</v>
      </c>
      <c r="E311" t="s">
        <v>668</v>
      </c>
      <c r="F311">
        <v>64.989999999999995</v>
      </c>
      <c r="G311">
        <v>2</v>
      </c>
      <c r="H311">
        <v>0</v>
      </c>
      <c r="I311">
        <v>64.989999999999995</v>
      </c>
      <c r="J311">
        <v>129.97999999999999</v>
      </c>
      <c r="K311" t="s">
        <v>655</v>
      </c>
      <c r="L311" t="s">
        <v>656</v>
      </c>
    </row>
    <row r="312" spans="1:13" x14ac:dyDescent="0.25">
      <c r="A312" t="s">
        <v>1246</v>
      </c>
      <c r="B312" t="s">
        <v>162</v>
      </c>
      <c r="C312" t="s">
        <v>1247</v>
      </c>
      <c r="D312" t="s">
        <v>653</v>
      </c>
      <c r="E312" t="s">
        <v>727</v>
      </c>
      <c r="F312">
        <v>14.99</v>
      </c>
      <c r="G312">
        <v>3</v>
      </c>
      <c r="H312">
        <v>15</v>
      </c>
      <c r="I312">
        <v>12.74</v>
      </c>
      <c r="J312">
        <v>38.22</v>
      </c>
      <c r="K312" t="s">
        <v>655</v>
      </c>
      <c r="L312" t="s">
        <v>656</v>
      </c>
      <c r="M312">
        <v>4</v>
      </c>
    </row>
    <row r="313" spans="1:13" x14ac:dyDescent="0.25">
      <c r="A313" t="s">
        <v>1248</v>
      </c>
      <c r="B313" t="s">
        <v>162</v>
      </c>
      <c r="C313" t="s">
        <v>1249</v>
      </c>
      <c r="D313" t="s">
        <v>667</v>
      </c>
      <c r="E313" t="s">
        <v>699</v>
      </c>
      <c r="F313">
        <v>89.99</v>
      </c>
      <c r="G313">
        <v>4</v>
      </c>
      <c r="H313">
        <v>10</v>
      </c>
      <c r="I313">
        <v>80.989999999999995</v>
      </c>
      <c r="J313">
        <v>323.95999999999998</v>
      </c>
      <c r="K313" t="s">
        <v>675</v>
      </c>
      <c r="L313" t="s">
        <v>656</v>
      </c>
      <c r="M313">
        <v>4</v>
      </c>
    </row>
    <row r="314" spans="1:13" x14ac:dyDescent="0.25">
      <c r="A314" t="s">
        <v>1250</v>
      </c>
      <c r="B314" t="s">
        <v>162</v>
      </c>
      <c r="C314" t="s">
        <v>1251</v>
      </c>
      <c r="D314" t="s">
        <v>680</v>
      </c>
      <c r="E314" t="s">
        <v>688</v>
      </c>
      <c r="F314">
        <v>29.99</v>
      </c>
      <c r="G314">
        <v>3</v>
      </c>
      <c r="H314">
        <v>0</v>
      </c>
      <c r="I314">
        <v>29.99</v>
      </c>
      <c r="J314">
        <v>89.97</v>
      </c>
      <c r="K314" t="s">
        <v>669</v>
      </c>
      <c r="L314" t="s">
        <v>739</v>
      </c>
    </row>
    <row r="315" spans="1:13" x14ac:dyDescent="0.25">
      <c r="A315" t="s">
        <v>1252</v>
      </c>
      <c r="B315" t="s">
        <v>162</v>
      </c>
      <c r="C315" t="s">
        <v>1253</v>
      </c>
      <c r="D315" t="s">
        <v>667</v>
      </c>
      <c r="E315" t="s">
        <v>699</v>
      </c>
      <c r="F315">
        <v>89.99</v>
      </c>
      <c r="G315">
        <v>2</v>
      </c>
      <c r="H315">
        <v>5</v>
      </c>
      <c r="I315">
        <v>85.49</v>
      </c>
      <c r="J315">
        <v>170.98</v>
      </c>
      <c r="K315" t="s">
        <v>661</v>
      </c>
      <c r="L315" t="s">
        <v>656</v>
      </c>
      <c r="M315">
        <v>4</v>
      </c>
    </row>
    <row r="316" spans="1:13" x14ac:dyDescent="0.25">
      <c r="A316" t="s">
        <v>1254</v>
      </c>
      <c r="B316" t="s">
        <v>162</v>
      </c>
      <c r="C316" t="s">
        <v>1159</v>
      </c>
      <c r="D316" t="s">
        <v>684</v>
      </c>
      <c r="E316" t="s">
        <v>705</v>
      </c>
      <c r="F316">
        <v>79.989999999999995</v>
      </c>
      <c r="G316">
        <v>1</v>
      </c>
      <c r="H316">
        <v>10</v>
      </c>
      <c r="I316">
        <v>71.989999999999995</v>
      </c>
      <c r="J316">
        <v>71.989999999999995</v>
      </c>
      <c r="K316" t="s">
        <v>669</v>
      </c>
      <c r="L316" t="s">
        <v>656</v>
      </c>
      <c r="M316">
        <v>3</v>
      </c>
    </row>
    <row r="317" spans="1:13" x14ac:dyDescent="0.25">
      <c r="A317" t="s">
        <v>1255</v>
      </c>
      <c r="B317" t="s">
        <v>162</v>
      </c>
      <c r="C317" t="s">
        <v>1256</v>
      </c>
      <c r="D317" t="s">
        <v>653</v>
      </c>
      <c r="E317" t="s">
        <v>769</v>
      </c>
      <c r="F317">
        <v>49.99</v>
      </c>
      <c r="G317">
        <v>4</v>
      </c>
      <c r="H317">
        <v>20</v>
      </c>
      <c r="I317">
        <v>39.99</v>
      </c>
      <c r="J317">
        <v>159.96</v>
      </c>
      <c r="K317" t="s">
        <v>655</v>
      </c>
      <c r="L317" t="s">
        <v>656</v>
      </c>
      <c r="M317">
        <v>3</v>
      </c>
    </row>
    <row r="318" spans="1:13" x14ac:dyDescent="0.25">
      <c r="A318" t="s">
        <v>1257</v>
      </c>
      <c r="B318" t="s">
        <v>162</v>
      </c>
      <c r="C318" t="s">
        <v>460</v>
      </c>
      <c r="D318" t="s">
        <v>659</v>
      </c>
      <c r="E318" t="s">
        <v>762</v>
      </c>
      <c r="F318">
        <v>49.99</v>
      </c>
      <c r="G318">
        <v>1</v>
      </c>
      <c r="H318">
        <v>20</v>
      </c>
      <c r="I318">
        <v>39.99</v>
      </c>
      <c r="J318">
        <v>39.99</v>
      </c>
      <c r="K318" t="s">
        <v>675</v>
      </c>
      <c r="L318" t="s">
        <v>656</v>
      </c>
      <c r="M318">
        <v>2</v>
      </c>
    </row>
    <row r="319" spans="1:13" x14ac:dyDescent="0.25">
      <c r="A319" t="s">
        <v>1258</v>
      </c>
      <c r="B319" t="s">
        <v>165</v>
      </c>
      <c r="C319" t="s">
        <v>283</v>
      </c>
      <c r="D319" t="s">
        <v>672</v>
      </c>
      <c r="E319" t="s">
        <v>724</v>
      </c>
      <c r="F319">
        <v>89.99</v>
      </c>
      <c r="G319">
        <v>3</v>
      </c>
      <c r="H319">
        <v>15</v>
      </c>
      <c r="I319">
        <v>76.489999999999995</v>
      </c>
      <c r="J319">
        <v>229.47</v>
      </c>
      <c r="K319" t="s">
        <v>661</v>
      </c>
      <c r="L319" t="s">
        <v>656</v>
      </c>
      <c r="M319">
        <v>5</v>
      </c>
    </row>
    <row r="320" spans="1:13" x14ac:dyDescent="0.25">
      <c r="A320" t="s">
        <v>1259</v>
      </c>
      <c r="B320" t="s">
        <v>165</v>
      </c>
      <c r="C320" t="s">
        <v>1260</v>
      </c>
      <c r="D320" t="s">
        <v>710</v>
      </c>
      <c r="E320" t="s">
        <v>721</v>
      </c>
      <c r="F320">
        <v>24.99</v>
      </c>
      <c r="G320">
        <v>4</v>
      </c>
      <c r="H320">
        <v>5</v>
      </c>
      <c r="I320">
        <v>23.74</v>
      </c>
      <c r="J320">
        <v>94.96</v>
      </c>
      <c r="K320" t="s">
        <v>661</v>
      </c>
      <c r="L320" t="s">
        <v>788</v>
      </c>
      <c r="M320">
        <v>5</v>
      </c>
    </row>
    <row r="321" spans="1:13" x14ac:dyDescent="0.25">
      <c r="A321" t="s">
        <v>1261</v>
      </c>
      <c r="B321" t="s">
        <v>165</v>
      </c>
      <c r="C321" t="s">
        <v>1207</v>
      </c>
      <c r="D321" t="s">
        <v>680</v>
      </c>
      <c r="E321" t="s">
        <v>708</v>
      </c>
      <c r="F321">
        <v>24.99</v>
      </c>
      <c r="G321">
        <v>1</v>
      </c>
      <c r="H321">
        <v>0</v>
      </c>
      <c r="I321">
        <v>24.99</v>
      </c>
      <c r="J321">
        <v>24.99</v>
      </c>
      <c r="K321" t="s">
        <v>655</v>
      </c>
      <c r="L321" t="s">
        <v>788</v>
      </c>
      <c r="M321">
        <v>5</v>
      </c>
    </row>
    <row r="322" spans="1:13" x14ac:dyDescent="0.25">
      <c r="A322" t="s">
        <v>1262</v>
      </c>
      <c r="B322" t="s">
        <v>165</v>
      </c>
      <c r="C322" t="s">
        <v>1263</v>
      </c>
      <c r="D322" t="s">
        <v>653</v>
      </c>
      <c r="E322" t="s">
        <v>827</v>
      </c>
      <c r="F322">
        <v>29.99</v>
      </c>
      <c r="G322">
        <v>1</v>
      </c>
      <c r="H322">
        <v>0</v>
      </c>
      <c r="I322">
        <v>29.99</v>
      </c>
      <c r="J322">
        <v>29.99</v>
      </c>
      <c r="K322" t="s">
        <v>661</v>
      </c>
      <c r="L322" t="s">
        <v>656</v>
      </c>
      <c r="M322">
        <v>5</v>
      </c>
    </row>
    <row r="323" spans="1:13" x14ac:dyDescent="0.25">
      <c r="A323" t="s">
        <v>1264</v>
      </c>
      <c r="B323" t="s">
        <v>165</v>
      </c>
      <c r="C323" t="s">
        <v>1265</v>
      </c>
      <c r="D323" t="s">
        <v>710</v>
      </c>
      <c r="E323" t="s">
        <v>721</v>
      </c>
      <c r="F323">
        <v>24.99</v>
      </c>
      <c r="G323">
        <v>3</v>
      </c>
      <c r="H323">
        <v>0</v>
      </c>
      <c r="I323">
        <v>24.99</v>
      </c>
      <c r="J323">
        <v>74.97</v>
      </c>
      <c r="K323" t="s">
        <v>655</v>
      </c>
      <c r="L323" t="s">
        <v>656</v>
      </c>
    </row>
    <row r="324" spans="1:13" x14ac:dyDescent="0.25">
      <c r="A324" t="s">
        <v>1266</v>
      </c>
      <c r="B324" t="s">
        <v>165</v>
      </c>
      <c r="C324" t="s">
        <v>1267</v>
      </c>
      <c r="D324" t="s">
        <v>680</v>
      </c>
      <c r="E324" t="s">
        <v>688</v>
      </c>
      <c r="F324">
        <v>29.99</v>
      </c>
      <c r="G324">
        <v>3</v>
      </c>
      <c r="H324">
        <v>20</v>
      </c>
      <c r="I324">
        <v>23.99</v>
      </c>
      <c r="J324">
        <v>71.97</v>
      </c>
      <c r="K324" t="s">
        <v>669</v>
      </c>
      <c r="L324" t="s">
        <v>656</v>
      </c>
      <c r="M324">
        <v>3</v>
      </c>
    </row>
    <row r="325" spans="1:13" x14ac:dyDescent="0.25">
      <c r="A325" t="s">
        <v>1268</v>
      </c>
      <c r="B325" t="s">
        <v>165</v>
      </c>
      <c r="C325" t="s">
        <v>1201</v>
      </c>
      <c r="D325" t="s">
        <v>710</v>
      </c>
      <c r="E325" t="s">
        <v>711</v>
      </c>
      <c r="F325">
        <v>14.99</v>
      </c>
      <c r="G325">
        <v>1</v>
      </c>
      <c r="H325">
        <v>0</v>
      </c>
      <c r="I325">
        <v>14.99</v>
      </c>
      <c r="J325">
        <v>14.99</v>
      </c>
      <c r="K325" t="s">
        <v>669</v>
      </c>
      <c r="L325" t="s">
        <v>739</v>
      </c>
    </row>
    <row r="326" spans="1:13" x14ac:dyDescent="0.25">
      <c r="A326" t="s">
        <v>1269</v>
      </c>
      <c r="B326" t="s">
        <v>165</v>
      </c>
      <c r="C326" t="s">
        <v>1092</v>
      </c>
      <c r="D326" t="s">
        <v>653</v>
      </c>
      <c r="E326" t="s">
        <v>769</v>
      </c>
      <c r="F326">
        <v>49.99</v>
      </c>
      <c r="G326">
        <v>4</v>
      </c>
      <c r="H326">
        <v>0</v>
      </c>
      <c r="I326">
        <v>49.99</v>
      </c>
      <c r="J326">
        <v>199.96</v>
      </c>
      <c r="K326" t="s">
        <v>675</v>
      </c>
      <c r="L326" t="s">
        <v>656</v>
      </c>
      <c r="M326">
        <v>5</v>
      </c>
    </row>
    <row r="327" spans="1:13" x14ac:dyDescent="0.25">
      <c r="A327" t="s">
        <v>1270</v>
      </c>
      <c r="B327" t="s">
        <v>168</v>
      </c>
      <c r="C327" t="s">
        <v>1271</v>
      </c>
      <c r="D327" t="s">
        <v>659</v>
      </c>
      <c r="E327" t="s">
        <v>762</v>
      </c>
      <c r="F327">
        <v>49.99</v>
      </c>
      <c r="G327">
        <v>3</v>
      </c>
      <c r="H327">
        <v>0</v>
      </c>
      <c r="I327">
        <v>49.99</v>
      </c>
      <c r="J327">
        <v>149.97</v>
      </c>
      <c r="K327" t="s">
        <v>675</v>
      </c>
      <c r="L327" t="s">
        <v>656</v>
      </c>
      <c r="M327">
        <v>5</v>
      </c>
    </row>
    <row r="328" spans="1:13" x14ac:dyDescent="0.25">
      <c r="A328" t="s">
        <v>1272</v>
      </c>
      <c r="B328" t="s">
        <v>168</v>
      </c>
      <c r="C328" t="s">
        <v>1273</v>
      </c>
      <c r="D328" t="s">
        <v>659</v>
      </c>
      <c r="E328" t="s">
        <v>820</v>
      </c>
      <c r="F328">
        <v>39.99</v>
      </c>
      <c r="G328">
        <v>4</v>
      </c>
      <c r="H328">
        <v>20</v>
      </c>
      <c r="I328">
        <v>31.99</v>
      </c>
      <c r="J328">
        <v>127.96</v>
      </c>
      <c r="K328" t="s">
        <v>655</v>
      </c>
      <c r="L328" t="s">
        <v>656</v>
      </c>
      <c r="M328">
        <v>4</v>
      </c>
    </row>
    <row r="329" spans="1:13" x14ac:dyDescent="0.25">
      <c r="A329" t="s">
        <v>1274</v>
      </c>
      <c r="B329" t="s">
        <v>168</v>
      </c>
      <c r="C329" t="s">
        <v>1275</v>
      </c>
      <c r="D329" t="s">
        <v>672</v>
      </c>
      <c r="E329" t="s">
        <v>735</v>
      </c>
      <c r="F329">
        <v>44.99</v>
      </c>
      <c r="G329">
        <v>3</v>
      </c>
      <c r="H329">
        <v>0</v>
      </c>
      <c r="I329">
        <v>44.99</v>
      </c>
      <c r="J329">
        <v>134.97</v>
      </c>
      <c r="K329" t="s">
        <v>682</v>
      </c>
      <c r="L329" t="s">
        <v>656</v>
      </c>
      <c r="M329">
        <v>5</v>
      </c>
    </row>
    <row r="330" spans="1:13" x14ac:dyDescent="0.25">
      <c r="A330" t="s">
        <v>1276</v>
      </c>
      <c r="B330" t="s">
        <v>168</v>
      </c>
      <c r="C330" t="s">
        <v>1277</v>
      </c>
      <c r="D330" t="s">
        <v>710</v>
      </c>
      <c r="E330" t="s">
        <v>730</v>
      </c>
      <c r="F330">
        <v>39.99</v>
      </c>
      <c r="G330">
        <v>1</v>
      </c>
      <c r="H330">
        <v>20</v>
      </c>
      <c r="I330">
        <v>31.99</v>
      </c>
      <c r="J330">
        <v>31.99</v>
      </c>
      <c r="K330" t="s">
        <v>661</v>
      </c>
      <c r="L330" t="s">
        <v>656</v>
      </c>
    </row>
    <row r="331" spans="1:13" x14ac:dyDescent="0.25">
      <c r="A331" t="s">
        <v>1278</v>
      </c>
      <c r="B331" t="s">
        <v>171</v>
      </c>
      <c r="C331" t="s">
        <v>1279</v>
      </c>
      <c r="D331" t="s">
        <v>672</v>
      </c>
      <c r="E331" t="s">
        <v>724</v>
      </c>
      <c r="F331">
        <v>89.99</v>
      </c>
      <c r="G331">
        <v>4</v>
      </c>
      <c r="H331">
        <v>15</v>
      </c>
      <c r="I331">
        <v>76.489999999999995</v>
      </c>
      <c r="J331">
        <v>305.95999999999998</v>
      </c>
      <c r="K331" t="s">
        <v>675</v>
      </c>
      <c r="L331" t="s">
        <v>656</v>
      </c>
      <c r="M331">
        <v>4</v>
      </c>
    </row>
    <row r="332" spans="1:13" x14ac:dyDescent="0.25">
      <c r="A332" t="s">
        <v>1280</v>
      </c>
      <c r="B332" t="s">
        <v>171</v>
      </c>
      <c r="C332" t="s">
        <v>1281</v>
      </c>
      <c r="D332" t="s">
        <v>667</v>
      </c>
      <c r="E332" t="s">
        <v>699</v>
      </c>
      <c r="F332">
        <v>89.99</v>
      </c>
      <c r="G332">
        <v>3</v>
      </c>
      <c r="H332">
        <v>15</v>
      </c>
      <c r="I332">
        <v>76.489999999999995</v>
      </c>
      <c r="J332">
        <v>229.47</v>
      </c>
      <c r="K332" t="s">
        <v>682</v>
      </c>
      <c r="L332" t="s">
        <v>656</v>
      </c>
      <c r="M332">
        <v>4</v>
      </c>
    </row>
    <row r="333" spans="1:13" x14ac:dyDescent="0.25">
      <c r="A333" t="s">
        <v>1282</v>
      </c>
      <c r="B333" t="s">
        <v>171</v>
      </c>
      <c r="C333" t="s">
        <v>64</v>
      </c>
      <c r="D333" t="s">
        <v>659</v>
      </c>
      <c r="E333" t="s">
        <v>762</v>
      </c>
      <c r="F333">
        <v>49.99</v>
      </c>
      <c r="G333">
        <v>4</v>
      </c>
      <c r="H333">
        <v>20</v>
      </c>
      <c r="I333">
        <v>39.99</v>
      </c>
      <c r="J333">
        <v>159.96</v>
      </c>
      <c r="K333" t="s">
        <v>655</v>
      </c>
      <c r="L333" t="s">
        <v>656</v>
      </c>
      <c r="M333">
        <v>5</v>
      </c>
    </row>
    <row r="334" spans="1:13" x14ac:dyDescent="0.25">
      <c r="A334" t="s">
        <v>1283</v>
      </c>
      <c r="B334" t="s">
        <v>171</v>
      </c>
      <c r="C334" t="s">
        <v>135</v>
      </c>
      <c r="D334" t="s">
        <v>710</v>
      </c>
      <c r="E334" t="s">
        <v>744</v>
      </c>
      <c r="F334">
        <v>29.99</v>
      </c>
      <c r="G334">
        <v>1</v>
      </c>
      <c r="H334">
        <v>5</v>
      </c>
      <c r="I334">
        <v>28.49</v>
      </c>
      <c r="J334">
        <v>28.49</v>
      </c>
      <c r="K334" t="s">
        <v>669</v>
      </c>
      <c r="L334" t="s">
        <v>656</v>
      </c>
    </row>
    <row r="335" spans="1:13" x14ac:dyDescent="0.25">
      <c r="A335" t="s">
        <v>1284</v>
      </c>
      <c r="B335" t="s">
        <v>171</v>
      </c>
      <c r="C335" t="s">
        <v>454</v>
      </c>
      <c r="D335" t="s">
        <v>680</v>
      </c>
      <c r="E335" t="s">
        <v>681</v>
      </c>
      <c r="F335">
        <v>19.989999999999998</v>
      </c>
      <c r="G335">
        <v>3</v>
      </c>
      <c r="H335">
        <v>10</v>
      </c>
      <c r="I335">
        <v>17.989999999999998</v>
      </c>
      <c r="J335">
        <v>53.97</v>
      </c>
      <c r="K335" t="s">
        <v>675</v>
      </c>
      <c r="L335" t="s">
        <v>656</v>
      </c>
      <c r="M335">
        <v>4</v>
      </c>
    </row>
    <row r="336" spans="1:13" x14ac:dyDescent="0.25">
      <c r="A336" t="s">
        <v>1285</v>
      </c>
      <c r="B336" t="s">
        <v>171</v>
      </c>
      <c r="C336" t="s">
        <v>1286</v>
      </c>
      <c r="D336" t="s">
        <v>710</v>
      </c>
      <c r="E336" t="s">
        <v>730</v>
      </c>
      <c r="F336">
        <v>39.99</v>
      </c>
      <c r="G336">
        <v>3</v>
      </c>
      <c r="H336">
        <v>0</v>
      </c>
      <c r="I336">
        <v>39.99</v>
      </c>
      <c r="J336">
        <v>119.97</v>
      </c>
      <c r="K336" t="s">
        <v>669</v>
      </c>
      <c r="L336" t="s">
        <v>656</v>
      </c>
    </row>
    <row r="337" spans="1:13" x14ac:dyDescent="0.25">
      <c r="A337" t="s">
        <v>1287</v>
      </c>
      <c r="B337" t="s">
        <v>171</v>
      </c>
      <c r="C337" t="s">
        <v>1288</v>
      </c>
      <c r="D337" t="s">
        <v>680</v>
      </c>
      <c r="E337" t="s">
        <v>708</v>
      </c>
      <c r="F337">
        <v>24.99</v>
      </c>
      <c r="G337">
        <v>4</v>
      </c>
      <c r="H337">
        <v>0</v>
      </c>
      <c r="I337">
        <v>24.99</v>
      </c>
      <c r="J337">
        <v>99.96</v>
      </c>
      <c r="K337" t="s">
        <v>675</v>
      </c>
      <c r="L337" t="s">
        <v>656</v>
      </c>
    </row>
    <row r="338" spans="1:13" x14ac:dyDescent="0.25">
      <c r="A338" t="s">
        <v>1289</v>
      </c>
      <c r="B338" t="s">
        <v>171</v>
      </c>
      <c r="C338" t="s">
        <v>1290</v>
      </c>
      <c r="D338" t="s">
        <v>653</v>
      </c>
      <c r="E338" t="s">
        <v>654</v>
      </c>
      <c r="F338">
        <v>39.99</v>
      </c>
      <c r="G338">
        <v>2</v>
      </c>
      <c r="H338">
        <v>15</v>
      </c>
      <c r="I338">
        <v>33.99</v>
      </c>
      <c r="J338">
        <v>67.98</v>
      </c>
      <c r="K338" t="s">
        <v>675</v>
      </c>
      <c r="L338" t="s">
        <v>788</v>
      </c>
    </row>
    <row r="339" spans="1:13" x14ac:dyDescent="0.25">
      <c r="A339" t="s">
        <v>1291</v>
      </c>
      <c r="B339" t="s">
        <v>171</v>
      </c>
      <c r="C339" t="s">
        <v>1025</v>
      </c>
      <c r="D339" t="s">
        <v>672</v>
      </c>
      <c r="E339" t="s">
        <v>673</v>
      </c>
      <c r="F339">
        <v>24.99</v>
      </c>
      <c r="G339">
        <v>2</v>
      </c>
      <c r="H339">
        <v>20</v>
      </c>
      <c r="I339">
        <v>19.989999999999998</v>
      </c>
      <c r="J339">
        <v>39.979999999999997</v>
      </c>
      <c r="K339" t="s">
        <v>655</v>
      </c>
      <c r="L339" t="s">
        <v>656</v>
      </c>
    </row>
    <row r="340" spans="1:13" x14ac:dyDescent="0.25">
      <c r="A340" t="s">
        <v>1292</v>
      </c>
      <c r="B340" t="s">
        <v>171</v>
      </c>
      <c r="C340" t="s">
        <v>1103</v>
      </c>
      <c r="D340" t="s">
        <v>653</v>
      </c>
      <c r="E340" t="s">
        <v>769</v>
      </c>
      <c r="F340">
        <v>49.99</v>
      </c>
      <c r="G340">
        <v>3</v>
      </c>
      <c r="H340">
        <v>0</v>
      </c>
      <c r="I340">
        <v>49.99</v>
      </c>
      <c r="J340">
        <v>149.97</v>
      </c>
      <c r="K340" t="s">
        <v>655</v>
      </c>
      <c r="L340" t="s">
        <v>739</v>
      </c>
    </row>
    <row r="341" spans="1:13" x14ac:dyDescent="0.25">
      <c r="A341" t="s">
        <v>1293</v>
      </c>
      <c r="B341" t="s">
        <v>174</v>
      </c>
      <c r="C341" t="s">
        <v>1294</v>
      </c>
      <c r="D341" t="s">
        <v>667</v>
      </c>
      <c r="E341" t="s">
        <v>699</v>
      </c>
      <c r="F341">
        <v>89.99</v>
      </c>
      <c r="G341">
        <v>2</v>
      </c>
      <c r="H341">
        <v>0</v>
      </c>
      <c r="I341">
        <v>89.99</v>
      </c>
      <c r="J341">
        <v>179.98</v>
      </c>
      <c r="K341" t="s">
        <v>682</v>
      </c>
      <c r="L341" t="s">
        <v>656</v>
      </c>
      <c r="M341">
        <v>5</v>
      </c>
    </row>
    <row r="342" spans="1:13" x14ac:dyDescent="0.25">
      <c r="A342" t="s">
        <v>1295</v>
      </c>
      <c r="B342" t="s">
        <v>174</v>
      </c>
      <c r="C342" t="s">
        <v>1296</v>
      </c>
      <c r="D342" t="s">
        <v>672</v>
      </c>
      <c r="E342" t="s">
        <v>724</v>
      </c>
      <c r="F342">
        <v>89.99</v>
      </c>
      <c r="G342">
        <v>4</v>
      </c>
      <c r="H342">
        <v>0</v>
      </c>
      <c r="I342">
        <v>89.99</v>
      </c>
      <c r="J342">
        <v>359.96</v>
      </c>
      <c r="K342" t="s">
        <v>661</v>
      </c>
      <c r="L342" t="s">
        <v>656</v>
      </c>
      <c r="M342">
        <v>4</v>
      </c>
    </row>
    <row r="343" spans="1:13" x14ac:dyDescent="0.25">
      <c r="A343" t="s">
        <v>1297</v>
      </c>
      <c r="B343" t="s">
        <v>174</v>
      </c>
      <c r="C343" t="s">
        <v>1298</v>
      </c>
      <c r="D343" t="s">
        <v>680</v>
      </c>
      <c r="E343" t="s">
        <v>708</v>
      </c>
      <c r="F343">
        <v>24.99</v>
      </c>
      <c r="G343">
        <v>2</v>
      </c>
      <c r="H343">
        <v>20</v>
      </c>
      <c r="I343">
        <v>19.989999999999998</v>
      </c>
      <c r="J343">
        <v>39.979999999999997</v>
      </c>
      <c r="K343" t="s">
        <v>669</v>
      </c>
      <c r="L343" t="s">
        <v>656</v>
      </c>
    </row>
    <row r="344" spans="1:13" x14ac:dyDescent="0.25">
      <c r="A344" t="s">
        <v>1299</v>
      </c>
      <c r="B344" t="s">
        <v>174</v>
      </c>
      <c r="C344" t="s">
        <v>72</v>
      </c>
      <c r="D344" t="s">
        <v>653</v>
      </c>
      <c r="E344" t="s">
        <v>727</v>
      </c>
      <c r="F344">
        <v>14.99</v>
      </c>
      <c r="G344">
        <v>4</v>
      </c>
      <c r="H344">
        <v>10</v>
      </c>
      <c r="I344">
        <v>13.49</v>
      </c>
      <c r="J344">
        <v>53.96</v>
      </c>
      <c r="K344" t="s">
        <v>669</v>
      </c>
      <c r="L344" t="s">
        <v>656</v>
      </c>
      <c r="M344">
        <v>4</v>
      </c>
    </row>
    <row r="345" spans="1:13" x14ac:dyDescent="0.25">
      <c r="A345" t="s">
        <v>1300</v>
      </c>
      <c r="B345" t="s">
        <v>174</v>
      </c>
      <c r="C345" t="s">
        <v>1301</v>
      </c>
      <c r="D345" t="s">
        <v>680</v>
      </c>
      <c r="E345" t="s">
        <v>708</v>
      </c>
      <c r="F345">
        <v>24.99</v>
      </c>
      <c r="G345">
        <v>2</v>
      </c>
      <c r="H345">
        <v>15</v>
      </c>
      <c r="I345">
        <v>21.24</v>
      </c>
      <c r="J345">
        <v>42.48</v>
      </c>
      <c r="K345" t="s">
        <v>669</v>
      </c>
      <c r="L345" t="s">
        <v>656</v>
      </c>
      <c r="M345">
        <v>5</v>
      </c>
    </row>
    <row r="346" spans="1:13" x14ac:dyDescent="0.25">
      <c r="A346" t="s">
        <v>1302</v>
      </c>
      <c r="B346" t="s">
        <v>174</v>
      </c>
      <c r="C346" t="s">
        <v>1303</v>
      </c>
      <c r="D346" t="s">
        <v>710</v>
      </c>
      <c r="E346" t="s">
        <v>730</v>
      </c>
      <c r="F346">
        <v>39.99</v>
      </c>
      <c r="G346">
        <v>1</v>
      </c>
      <c r="H346">
        <v>0</v>
      </c>
      <c r="I346">
        <v>39.99</v>
      </c>
      <c r="J346">
        <v>39.99</v>
      </c>
      <c r="K346" t="s">
        <v>661</v>
      </c>
      <c r="L346" t="s">
        <v>656</v>
      </c>
    </row>
    <row r="347" spans="1:13" x14ac:dyDescent="0.25">
      <c r="A347" t="s">
        <v>1304</v>
      </c>
      <c r="B347" t="s">
        <v>174</v>
      </c>
      <c r="C347" t="s">
        <v>220</v>
      </c>
      <c r="D347" t="s">
        <v>667</v>
      </c>
      <c r="E347" t="s">
        <v>668</v>
      </c>
      <c r="F347">
        <v>64.989999999999995</v>
      </c>
      <c r="G347">
        <v>2</v>
      </c>
      <c r="H347">
        <v>10</v>
      </c>
      <c r="I347">
        <v>58.49</v>
      </c>
      <c r="J347">
        <v>116.98</v>
      </c>
      <c r="K347" t="s">
        <v>682</v>
      </c>
      <c r="L347" t="s">
        <v>656</v>
      </c>
    </row>
    <row r="348" spans="1:13" x14ac:dyDescent="0.25">
      <c r="A348" t="s">
        <v>1305</v>
      </c>
      <c r="B348" t="s">
        <v>174</v>
      </c>
      <c r="C348" t="s">
        <v>1306</v>
      </c>
      <c r="D348" t="s">
        <v>684</v>
      </c>
      <c r="E348" t="s">
        <v>702</v>
      </c>
      <c r="F348">
        <v>199.99</v>
      </c>
      <c r="G348">
        <v>4</v>
      </c>
      <c r="H348">
        <v>20</v>
      </c>
      <c r="I348">
        <v>159.99</v>
      </c>
      <c r="J348">
        <v>639.96</v>
      </c>
      <c r="K348" t="s">
        <v>669</v>
      </c>
      <c r="L348" t="s">
        <v>656</v>
      </c>
    </row>
    <row r="349" spans="1:13" x14ac:dyDescent="0.25">
      <c r="A349" t="s">
        <v>1307</v>
      </c>
      <c r="B349" t="s">
        <v>174</v>
      </c>
      <c r="C349" t="s">
        <v>1308</v>
      </c>
      <c r="D349" t="s">
        <v>653</v>
      </c>
      <c r="E349" t="s">
        <v>727</v>
      </c>
      <c r="F349">
        <v>14.99</v>
      </c>
      <c r="G349">
        <v>2</v>
      </c>
      <c r="H349">
        <v>10</v>
      </c>
      <c r="I349">
        <v>13.49</v>
      </c>
      <c r="J349">
        <v>26.98</v>
      </c>
      <c r="K349" t="s">
        <v>675</v>
      </c>
      <c r="L349" t="s">
        <v>656</v>
      </c>
      <c r="M349">
        <v>4</v>
      </c>
    </row>
    <row r="350" spans="1:13" x14ac:dyDescent="0.25">
      <c r="A350" t="s">
        <v>1309</v>
      </c>
      <c r="B350" t="s">
        <v>174</v>
      </c>
      <c r="C350" t="s">
        <v>995</v>
      </c>
      <c r="D350" t="s">
        <v>680</v>
      </c>
      <c r="E350" t="s">
        <v>749</v>
      </c>
      <c r="F350">
        <v>14.99</v>
      </c>
      <c r="G350">
        <v>4</v>
      </c>
      <c r="H350">
        <v>0</v>
      </c>
      <c r="I350">
        <v>14.99</v>
      </c>
      <c r="J350">
        <v>59.96</v>
      </c>
      <c r="K350" t="s">
        <v>669</v>
      </c>
      <c r="L350" t="s">
        <v>656</v>
      </c>
      <c r="M350">
        <v>3</v>
      </c>
    </row>
    <row r="351" spans="1:13" x14ac:dyDescent="0.25">
      <c r="A351" t="s">
        <v>1310</v>
      </c>
      <c r="B351" t="s">
        <v>174</v>
      </c>
      <c r="C351" t="s">
        <v>1092</v>
      </c>
      <c r="D351" t="s">
        <v>667</v>
      </c>
      <c r="E351" t="s">
        <v>714</v>
      </c>
      <c r="F351">
        <v>44.99</v>
      </c>
      <c r="G351">
        <v>3</v>
      </c>
      <c r="H351">
        <v>5</v>
      </c>
      <c r="I351">
        <v>42.74</v>
      </c>
      <c r="J351">
        <v>128.22</v>
      </c>
      <c r="K351" t="s">
        <v>669</v>
      </c>
      <c r="L351" t="s">
        <v>788</v>
      </c>
      <c r="M351">
        <v>5</v>
      </c>
    </row>
    <row r="352" spans="1:13" x14ac:dyDescent="0.25">
      <c r="A352" t="s">
        <v>1311</v>
      </c>
      <c r="B352" t="s">
        <v>177</v>
      </c>
      <c r="C352" t="s">
        <v>1046</v>
      </c>
      <c r="D352" t="s">
        <v>667</v>
      </c>
      <c r="E352" t="s">
        <v>668</v>
      </c>
      <c r="F352">
        <v>64.989999999999995</v>
      </c>
      <c r="G352">
        <v>3</v>
      </c>
      <c r="H352">
        <v>15</v>
      </c>
      <c r="I352">
        <v>55.24</v>
      </c>
      <c r="J352">
        <v>165.72</v>
      </c>
      <c r="K352" t="s">
        <v>655</v>
      </c>
      <c r="L352" t="s">
        <v>656</v>
      </c>
    </row>
    <row r="353" spans="1:13" x14ac:dyDescent="0.25">
      <c r="A353" t="s">
        <v>1312</v>
      </c>
      <c r="B353" t="s">
        <v>177</v>
      </c>
      <c r="C353" t="s">
        <v>1313</v>
      </c>
      <c r="D353" t="s">
        <v>667</v>
      </c>
      <c r="E353" t="s">
        <v>668</v>
      </c>
      <c r="F353">
        <v>64.989999999999995</v>
      </c>
      <c r="G353">
        <v>4</v>
      </c>
      <c r="H353">
        <v>15</v>
      </c>
      <c r="I353">
        <v>55.24</v>
      </c>
      <c r="J353">
        <v>220.96</v>
      </c>
      <c r="K353" t="s">
        <v>675</v>
      </c>
      <c r="L353" t="s">
        <v>656</v>
      </c>
      <c r="M353">
        <v>5</v>
      </c>
    </row>
    <row r="354" spans="1:13" x14ac:dyDescent="0.25">
      <c r="A354" t="s">
        <v>1314</v>
      </c>
      <c r="B354" t="s">
        <v>177</v>
      </c>
      <c r="C354" t="s">
        <v>1015</v>
      </c>
      <c r="D354" t="s">
        <v>667</v>
      </c>
      <c r="E354" t="s">
        <v>699</v>
      </c>
      <c r="F354">
        <v>89.99</v>
      </c>
      <c r="G354">
        <v>3</v>
      </c>
      <c r="H354">
        <v>10</v>
      </c>
      <c r="I354">
        <v>80.989999999999995</v>
      </c>
      <c r="J354">
        <v>242.97</v>
      </c>
      <c r="K354" t="s">
        <v>675</v>
      </c>
      <c r="L354" t="s">
        <v>656</v>
      </c>
    </row>
    <row r="355" spans="1:13" x14ac:dyDescent="0.25">
      <c r="A355" t="s">
        <v>1315</v>
      </c>
      <c r="B355" t="s">
        <v>177</v>
      </c>
      <c r="C355" t="s">
        <v>1316</v>
      </c>
      <c r="D355" t="s">
        <v>667</v>
      </c>
      <c r="E355" t="s">
        <v>668</v>
      </c>
      <c r="F355">
        <v>64.989999999999995</v>
      </c>
      <c r="G355">
        <v>2</v>
      </c>
      <c r="H355">
        <v>5</v>
      </c>
      <c r="I355">
        <v>61.74</v>
      </c>
      <c r="J355">
        <v>123.48</v>
      </c>
      <c r="K355" t="s">
        <v>661</v>
      </c>
      <c r="L355" t="s">
        <v>656</v>
      </c>
      <c r="M355">
        <v>5</v>
      </c>
    </row>
    <row r="356" spans="1:13" x14ac:dyDescent="0.25">
      <c r="A356" t="s">
        <v>1317</v>
      </c>
      <c r="B356" t="s">
        <v>177</v>
      </c>
      <c r="C356" t="s">
        <v>353</v>
      </c>
      <c r="D356" t="s">
        <v>667</v>
      </c>
      <c r="E356" t="s">
        <v>699</v>
      </c>
      <c r="F356">
        <v>89.99</v>
      </c>
      <c r="G356">
        <v>3</v>
      </c>
      <c r="H356">
        <v>5</v>
      </c>
      <c r="I356">
        <v>85.49</v>
      </c>
      <c r="J356">
        <v>256.47000000000003</v>
      </c>
      <c r="K356" t="s">
        <v>661</v>
      </c>
      <c r="L356" t="s">
        <v>656</v>
      </c>
    </row>
    <row r="357" spans="1:13" x14ac:dyDescent="0.25">
      <c r="A357" t="s">
        <v>1318</v>
      </c>
      <c r="B357" t="s">
        <v>177</v>
      </c>
      <c r="C357" t="s">
        <v>1165</v>
      </c>
      <c r="D357" t="s">
        <v>653</v>
      </c>
      <c r="E357" t="s">
        <v>827</v>
      </c>
      <c r="F357">
        <v>29.99</v>
      </c>
      <c r="G357">
        <v>2</v>
      </c>
      <c r="H357">
        <v>0</v>
      </c>
      <c r="I357">
        <v>29.99</v>
      </c>
      <c r="J357">
        <v>59.98</v>
      </c>
      <c r="K357" t="s">
        <v>669</v>
      </c>
      <c r="L357" t="s">
        <v>656</v>
      </c>
      <c r="M357">
        <v>4</v>
      </c>
    </row>
    <row r="358" spans="1:13" x14ac:dyDescent="0.25">
      <c r="A358" t="s">
        <v>1319</v>
      </c>
      <c r="B358" t="s">
        <v>180</v>
      </c>
      <c r="C358" t="s">
        <v>811</v>
      </c>
      <c r="D358" t="s">
        <v>710</v>
      </c>
      <c r="E358" t="s">
        <v>711</v>
      </c>
      <c r="F358">
        <v>14.99</v>
      </c>
      <c r="G358">
        <v>3</v>
      </c>
      <c r="H358">
        <v>15</v>
      </c>
      <c r="I358">
        <v>12.74</v>
      </c>
      <c r="J358">
        <v>38.22</v>
      </c>
      <c r="K358" t="s">
        <v>682</v>
      </c>
      <c r="L358" t="s">
        <v>656</v>
      </c>
    </row>
    <row r="359" spans="1:13" x14ac:dyDescent="0.25">
      <c r="A359" t="s">
        <v>1320</v>
      </c>
      <c r="B359" t="s">
        <v>180</v>
      </c>
      <c r="C359" t="s">
        <v>1321</v>
      </c>
      <c r="D359" t="s">
        <v>659</v>
      </c>
      <c r="E359" t="s">
        <v>762</v>
      </c>
      <c r="F359">
        <v>49.99</v>
      </c>
      <c r="G359">
        <v>3</v>
      </c>
      <c r="H359">
        <v>5</v>
      </c>
      <c r="I359">
        <v>47.49</v>
      </c>
      <c r="J359">
        <v>142.47</v>
      </c>
      <c r="K359" t="s">
        <v>675</v>
      </c>
      <c r="L359" t="s">
        <v>785</v>
      </c>
      <c r="M359">
        <v>5</v>
      </c>
    </row>
    <row r="360" spans="1:13" x14ac:dyDescent="0.25">
      <c r="A360" t="s">
        <v>1322</v>
      </c>
      <c r="B360" t="s">
        <v>180</v>
      </c>
      <c r="C360" t="s">
        <v>1323</v>
      </c>
      <c r="D360" t="s">
        <v>659</v>
      </c>
      <c r="E360" t="s">
        <v>660</v>
      </c>
      <c r="F360">
        <v>19.989999999999998</v>
      </c>
      <c r="G360">
        <v>1</v>
      </c>
      <c r="H360">
        <v>20</v>
      </c>
      <c r="I360">
        <v>15.99</v>
      </c>
      <c r="J360">
        <v>15.99</v>
      </c>
      <c r="K360" t="s">
        <v>669</v>
      </c>
      <c r="L360" t="s">
        <v>656</v>
      </c>
    </row>
    <row r="361" spans="1:13" x14ac:dyDescent="0.25">
      <c r="A361" t="s">
        <v>1324</v>
      </c>
      <c r="B361" t="s">
        <v>180</v>
      </c>
      <c r="C361" t="s">
        <v>987</v>
      </c>
      <c r="D361" t="s">
        <v>667</v>
      </c>
      <c r="E361" t="s">
        <v>699</v>
      </c>
      <c r="F361">
        <v>89.99</v>
      </c>
      <c r="G361">
        <v>2</v>
      </c>
      <c r="H361">
        <v>0</v>
      </c>
      <c r="I361">
        <v>89.99</v>
      </c>
      <c r="J361">
        <v>179.98</v>
      </c>
      <c r="K361" t="s">
        <v>675</v>
      </c>
      <c r="L361" t="s">
        <v>656</v>
      </c>
      <c r="M361">
        <v>4</v>
      </c>
    </row>
    <row r="362" spans="1:13" x14ac:dyDescent="0.25">
      <c r="A362" t="s">
        <v>1325</v>
      </c>
      <c r="B362" t="s">
        <v>180</v>
      </c>
      <c r="C362" t="s">
        <v>532</v>
      </c>
      <c r="D362" t="s">
        <v>680</v>
      </c>
      <c r="E362" t="s">
        <v>749</v>
      </c>
      <c r="F362">
        <v>14.99</v>
      </c>
      <c r="G362">
        <v>2</v>
      </c>
      <c r="H362">
        <v>15</v>
      </c>
      <c r="I362">
        <v>12.74</v>
      </c>
      <c r="J362">
        <v>25.48</v>
      </c>
      <c r="K362" t="s">
        <v>675</v>
      </c>
      <c r="L362" t="s">
        <v>656</v>
      </c>
    </row>
    <row r="363" spans="1:13" x14ac:dyDescent="0.25">
      <c r="A363" t="s">
        <v>1326</v>
      </c>
      <c r="B363" t="s">
        <v>180</v>
      </c>
      <c r="C363" t="s">
        <v>1327</v>
      </c>
      <c r="D363" t="s">
        <v>680</v>
      </c>
      <c r="E363" t="s">
        <v>681</v>
      </c>
      <c r="F363">
        <v>19.989999999999998</v>
      </c>
      <c r="G363">
        <v>2</v>
      </c>
      <c r="H363">
        <v>0</v>
      </c>
      <c r="I363">
        <v>19.989999999999998</v>
      </c>
      <c r="J363">
        <v>39.979999999999997</v>
      </c>
      <c r="K363" t="s">
        <v>682</v>
      </c>
      <c r="L363" t="s">
        <v>656</v>
      </c>
    </row>
    <row r="364" spans="1:13" x14ac:dyDescent="0.25">
      <c r="A364" t="s">
        <v>1328</v>
      </c>
      <c r="B364" t="s">
        <v>180</v>
      </c>
      <c r="C364" t="s">
        <v>445</v>
      </c>
      <c r="D364" t="s">
        <v>672</v>
      </c>
      <c r="E364" t="s">
        <v>735</v>
      </c>
      <c r="F364">
        <v>44.99</v>
      </c>
      <c r="G364">
        <v>2</v>
      </c>
      <c r="H364">
        <v>0</v>
      </c>
      <c r="I364">
        <v>44.99</v>
      </c>
      <c r="J364">
        <v>89.98</v>
      </c>
      <c r="K364" t="s">
        <v>682</v>
      </c>
      <c r="L364" t="s">
        <v>656</v>
      </c>
      <c r="M364">
        <v>4</v>
      </c>
    </row>
    <row r="365" spans="1:13" x14ac:dyDescent="0.25">
      <c r="A365" t="s">
        <v>1329</v>
      </c>
      <c r="B365" t="s">
        <v>180</v>
      </c>
      <c r="C365" t="s">
        <v>1330</v>
      </c>
      <c r="D365" t="s">
        <v>710</v>
      </c>
      <c r="E365" t="s">
        <v>744</v>
      </c>
      <c r="F365">
        <v>29.99</v>
      </c>
      <c r="G365">
        <v>1</v>
      </c>
      <c r="H365">
        <v>5</v>
      </c>
      <c r="I365">
        <v>28.49</v>
      </c>
      <c r="J365">
        <v>28.49</v>
      </c>
      <c r="K365" t="s">
        <v>682</v>
      </c>
      <c r="L365" t="s">
        <v>788</v>
      </c>
      <c r="M365">
        <v>5</v>
      </c>
    </row>
    <row r="366" spans="1:13" x14ac:dyDescent="0.25">
      <c r="A366" t="s">
        <v>1331</v>
      </c>
      <c r="B366" t="s">
        <v>180</v>
      </c>
      <c r="C366" t="s">
        <v>1271</v>
      </c>
      <c r="D366" t="s">
        <v>710</v>
      </c>
      <c r="E366" t="s">
        <v>721</v>
      </c>
      <c r="F366">
        <v>24.99</v>
      </c>
      <c r="G366">
        <v>1</v>
      </c>
      <c r="H366">
        <v>0</v>
      </c>
      <c r="I366">
        <v>24.99</v>
      </c>
      <c r="J366">
        <v>24.99</v>
      </c>
      <c r="K366" t="s">
        <v>682</v>
      </c>
      <c r="L366" t="s">
        <v>656</v>
      </c>
    </row>
    <row r="367" spans="1:13" x14ac:dyDescent="0.25">
      <c r="A367" t="s">
        <v>1332</v>
      </c>
      <c r="B367" t="s">
        <v>180</v>
      </c>
      <c r="C367" t="s">
        <v>1333</v>
      </c>
      <c r="D367" t="s">
        <v>672</v>
      </c>
      <c r="E367" t="s">
        <v>724</v>
      </c>
      <c r="F367">
        <v>89.99</v>
      </c>
      <c r="G367">
        <v>3</v>
      </c>
      <c r="H367">
        <v>0</v>
      </c>
      <c r="I367">
        <v>89.99</v>
      </c>
      <c r="J367">
        <v>269.97000000000003</v>
      </c>
      <c r="K367" t="s">
        <v>682</v>
      </c>
      <c r="L367" t="s">
        <v>656</v>
      </c>
    </row>
    <row r="368" spans="1:13" x14ac:dyDescent="0.25">
      <c r="A368" t="s">
        <v>1334</v>
      </c>
      <c r="B368" t="s">
        <v>183</v>
      </c>
      <c r="C368" t="s">
        <v>128</v>
      </c>
      <c r="D368" t="s">
        <v>667</v>
      </c>
      <c r="E368" t="s">
        <v>699</v>
      </c>
      <c r="F368">
        <v>89.99</v>
      </c>
      <c r="G368">
        <v>2</v>
      </c>
      <c r="H368">
        <v>0</v>
      </c>
      <c r="I368">
        <v>89.99</v>
      </c>
      <c r="J368">
        <v>179.98</v>
      </c>
      <c r="K368" t="s">
        <v>655</v>
      </c>
      <c r="L368" t="s">
        <v>656</v>
      </c>
      <c r="M368">
        <v>4</v>
      </c>
    </row>
    <row r="369" spans="1:13" x14ac:dyDescent="0.25">
      <c r="A369" t="s">
        <v>1335</v>
      </c>
      <c r="B369" t="s">
        <v>183</v>
      </c>
      <c r="C369" t="s">
        <v>112</v>
      </c>
      <c r="D369" t="s">
        <v>653</v>
      </c>
      <c r="E369" t="s">
        <v>727</v>
      </c>
      <c r="F369">
        <v>14.99</v>
      </c>
      <c r="G369">
        <v>1</v>
      </c>
      <c r="H369">
        <v>0</v>
      </c>
      <c r="I369">
        <v>14.99</v>
      </c>
      <c r="J369">
        <v>14.99</v>
      </c>
      <c r="K369" t="s">
        <v>669</v>
      </c>
      <c r="L369" t="s">
        <v>656</v>
      </c>
      <c r="M369">
        <v>5</v>
      </c>
    </row>
    <row r="370" spans="1:13" x14ac:dyDescent="0.25">
      <c r="A370" t="s">
        <v>1336</v>
      </c>
      <c r="B370" t="s">
        <v>183</v>
      </c>
      <c r="C370" t="s">
        <v>1337</v>
      </c>
      <c r="D370" t="s">
        <v>672</v>
      </c>
      <c r="E370" t="s">
        <v>735</v>
      </c>
      <c r="F370">
        <v>44.99</v>
      </c>
      <c r="G370">
        <v>1</v>
      </c>
      <c r="H370">
        <v>0</v>
      </c>
      <c r="I370">
        <v>44.99</v>
      </c>
      <c r="J370">
        <v>44.99</v>
      </c>
      <c r="K370" t="s">
        <v>682</v>
      </c>
      <c r="L370" t="s">
        <v>656</v>
      </c>
      <c r="M370">
        <v>5</v>
      </c>
    </row>
    <row r="371" spans="1:13" x14ac:dyDescent="0.25">
      <c r="A371" t="s">
        <v>1338</v>
      </c>
      <c r="B371" t="s">
        <v>183</v>
      </c>
      <c r="C371" t="s">
        <v>1339</v>
      </c>
      <c r="D371" t="s">
        <v>672</v>
      </c>
      <c r="E371" t="s">
        <v>803</v>
      </c>
      <c r="F371">
        <v>69.989999999999995</v>
      </c>
      <c r="G371">
        <v>1</v>
      </c>
      <c r="H371">
        <v>0</v>
      </c>
      <c r="I371">
        <v>69.989999999999995</v>
      </c>
      <c r="J371">
        <v>69.989999999999995</v>
      </c>
      <c r="K371" t="s">
        <v>655</v>
      </c>
      <c r="L371" t="s">
        <v>656</v>
      </c>
      <c r="M371">
        <v>5</v>
      </c>
    </row>
    <row r="372" spans="1:13" x14ac:dyDescent="0.25">
      <c r="A372" t="s">
        <v>1340</v>
      </c>
      <c r="B372" t="s">
        <v>183</v>
      </c>
      <c r="C372" t="s">
        <v>1341</v>
      </c>
      <c r="D372" t="s">
        <v>684</v>
      </c>
      <c r="E372" t="s">
        <v>815</v>
      </c>
      <c r="F372">
        <v>34.99</v>
      </c>
      <c r="G372">
        <v>3</v>
      </c>
      <c r="H372">
        <v>15</v>
      </c>
      <c r="I372">
        <v>29.74</v>
      </c>
      <c r="J372">
        <v>89.22</v>
      </c>
      <c r="K372" t="s">
        <v>661</v>
      </c>
      <c r="L372" t="s">
        <v>656</v>
      </c>
      <c r="M372">
        <v>5</v>
      </c>
    </row>
    <row r="373" spans="1:13" x14ac:dyDescent="0.25">
      <c r="A373" t="s">
        <v>1342</v>
      </c>
      <c r="B373" t="s">
        <v>183</v>
      </c>
      <c r="C373" t="s">
        <v>1343</v>
      </c>
      <c r="D373" t="s">
        <v>684</v>
      </c>
      <c r="E373" t="s">
        <v>702</v>
      </c>
      <c r="F373">
        <v>199.99</v>
      </c>
      <c r="G373">
        <v>1</v>
      </c>
      <c r="H373">
        <v>15</v>
      </c>
      <c r="I373">
        <v>169.99</v>
      </c>
      <c r="J373">
        <v>169.99</v>
      </c>
      <c r="K373" t="s">
        <v>661</v>
      </c>
      <c r="L373" t="s">
        <v>656</v>
      </c>
      <c r="M373">
        <v>4</v>
      </c>
    </row>
    <row r="374" spans="1:13" x14ac:dyDescent="0.25">
      <c r="A374" t="s">
        <v>1344</v>
      </c>
      <c r="B374" t="s">
        <v>183</v>
      </c>
      <c r="C374" t="s">
        <v>1345</v>
      </c>
      <c r="D374" t="s">
        <v>710</v>
      </c>
      <c r="E374" t="s">
        <v>721</v>
      </c>
      <c r="F374">
        <v>24.99</v>
      </c>
      <c r="G374">
        <v>4</v>
      </c>
      <c r="H374">
        <v>5</v>
      </c>
      <c r="I374">
        <v>23.74</v>
      </c>
      <c r="J374">
        <v>94.96</v>
      </c>
      <c r="K374" t="s">
        <v>669</v>
      </c>
      <c r="L374" t="s">
        <v>785</v>
      </c>
      <c r="M374">
        <v>5</v>
      </c>
    </row>
    <row r="375" spans="1:13" x14ac:dyDescent="0.25">
      <c r="A375" t="s">
        <v>1346</v>
      </c>
      <c r="B375" t="s">
        <v>183</v>
      </c>
      <c r="C375" t="s">
        <v>1347</v>
      </c>
      <c r="D375" t="s">
        <v>684</v>
      </c>
      <c r="E375" t="s">
        <v>705</v>
      </c>
      <c r="F375">
        <v>79.989999999999995</v>
      </c>
      <c r="G375">
        <v>1</v>
      </c>
      <c r="H375">
        <v>0</v>
      </c>
      <c r="I375">
        <v>79.989999999999995</v>
      </c>
      <c r="J375">
        <v>79.989999999999995</v>
      </c>
      <c r="K375" t="s">
        <v>675</v>
      </c>
      <c r="L375" t="s">
        <v>656</v>
      </c>
      <c r="M375">
        <v>5</v>
      </c>
    </row>
    <row r="376" spans="1:13" x14ac:dyDescent="0.25">
      <c r="A376" t="s">
        <v>1348</v>
      </c>
      <c r="B376" t="s">
        <v>186</v>
      </c>
      <c r="C376" t="s">
        <v>1349</v>
      </c>
      <c r="D376" t="s">
        <v>672</v>
      </c>
      <c r="E376" t="s">
        <v>673</v>
      </c>
      <c r="F376">
        <v>24.99</v>
      </c>
      <c r="G376">
        <v>4</v>
      </c>
      <c r="H376">
        <v>5</v>
      </c>
      <c r="I376">
        <v>23.74</v>
      </c>
      <c r="J376">
        <v>94.96</v>
      </c>
      <c r="K376" t="s">
        <v>675</v>
      </c>
      <c r="L376" t="s">
        <v>656</v>
      </c>
      <c r="M376">
        <v>4</v>
      </c>
    </row>
    <row r="377" spans="1:13" x14ac:dyDescent="0.25">
      <c r="A377" t="s">
        <v>1350</v>
      </c>
      <c r="B377" t="s">
        <v>189</v>
      </c>
      <c r="C377" t="s">
        <v>1351</v>
      </c>
      <c r="D377" t="s">
        <v>684</v>
      </c>
      <c r="E377" t="s">
        <v>685</v>
      </c>
      <c r="F377">
        <v>49.99</v>
      </c>
      <c r="G377">
        <v>1</v>
      </c>
      <c r="H377">
        <v>0</v>
      </c>
      <c r="I377">
        <v>49.99</v>
      </c>
      <c r="J377">
        <v>49.99</v>
      </c>
      <c r="K377" t="s">
        <v>655</v>
      </c>
      <c r="L377" t="s">
        <v>656</v>
      </c>
    </row>
    <row r="378" spans="1:13" x14ac:dyDescent="0.25">
      <c r="A378" t="s">
        <v>1352</v>
      </c>
      <c r="B378" t="s">
        <v>189</v>
      </c>
      <c r="C378" t="s">
        <v>1353</v>
      </c>
      <c r="D378" t="s">
        <v>710</v>
      </c>
      <c r="E378" t="s">
        <v>721</v>
      </c>
      <c r="F378">
        <v>24.99</v>
      </c>
      <c r="G378">
        <v>2</v>
      </c>
      <c r="H378">
        <v>5</v>
      </c>
      <c r="I378">
        <v>23.74</v>
      </c>
      <c r="J378">
        <v>47.48</v>
      </c>
      <c r="K378" t="s">
        <v>682</v>
      </c>
      <c r="L378" t="s">
        <v>656</v>
      </c>
      <c r="M378">
        <v>2</v>
      </c>
    </row>
    <row r="379" spans="1:13" x14ac:dyDescent="0.25">
      <c r="A379" t="s">
        <v>1354</v>
      </c>
      <c r="B379" t="s">
        <v>192</v>
      </c>
      <c r="C379" t="s">
        <v>1355</v>
      </c>
      <c r="D379" t="s">
        <v>680</v>
      </c>
      <c r="E379" t="s">
        <v>681</v>
      </c>
      <c r="F379">
        <v>19.989999999999998</v>
      </c>
      <c r="G379">
        <v>4</v>
      </c>
      <c r="H379">
        <v>0</v>
      </c>
      <c r="I379">
        <v>19.989999999999998</v>
      </c>
      <c r="J379">
        <v>79.959999999999994</v>
      </c>
      <c r="K379" t="s">
        <v>682</v>
      </c>
      <c r="L379" t="s">
        <v>656</v>
      </c>
      <c r="M379">
        <v>2</v>
      </c>
    </row>
    <row r="380" spans="1:13" x14ac:dyDescent="0.25">
      <c r="A380" t="s">
        <v>1356</v>
      </c>
      <c r="B380" t="s">
        <v>192</v>
      </c>
      <c r="C380" t="s">
        <v>896</v>
      </c>
      <c r="D380" t="s">
        <v>672</v>
      </c>
      <c r="E380" t="s">
        <v>803</v>
      </c>
      <c r="F380">
        <v>69.989999999999995</v>
      </c>
      <c r="G380">
        <v>1</v>
      </c>
      <c r="H380">
        <v>5</v>
      </c>
      <c r="I380">
        <v>66.489999999999995</v>
      </c>
      <c r="J380">
        <v>66.489999999999995</v>
      </c>
      <c r="K380" t="s">
        <v>655</v>
      </c>
      <c r="L380" t="s">
        <v>656</v>
      </c>
      <c r="M380">
        <v>1</v>
      </c>
    </row>
    <row r="381" spans="1:13" x14ac:dyDescent="0.25">
      <c r="A381" t="s">
        <v>1357</v>
      </c>
      <c r="B381" t="s">
        <v>192</v>
      </c>
      <c r="C381" t="s">
        <v>1358</v>
      </c>
      <c r="D381" t="s">
        <v>659</v>
      </c>
      <c r="E381" t="s">
        <v>664</v>
      </c>
      <c r="F381">
        <v>24.99</v>
      </c>
      <c r="G381">
        <v>4</v>
      </c>
      <c r="H381">
        <v>10</v>
      </c>
      <c r="I381">
        <v>22.49</v>
      </c>
      <c r="J381">
        <v>89.96</v>
      </c>
      <c r="K381" t="s">
        <v>675</v>
      </c>
      <c r="L381" t="s">
        <v>656</v>
      </c>
    </row>
    <row r="382" spans="1:13" x14ac:dyDescent="0.25">
      <c r="A382" t="s">
        <v>1359</v>
      </c>
      <c r="B382" t="s">
        <v>192</v>
      </c>
      <c r="C382" t="s">
        <v>1360</v>
      </c>
      <c r="D382" t="s">
        <v>684</v>
      </c>
      <c r="E382" t="s">
        <v>685</v>
      </c>
      <c r="F382">
        <v>49.99</v>
      </c>
      <c r="G382">
        <v>3</v>
      </c>
      <c r="H382">
        <v>0</v>
      </c>
      <c r="I382">
        <v>49.99</v>
      </c>
      <c r="J382">
        <v>149.97</v>
      </c>
      <c r="K382" t="s">
        <v>675</v>
      </c>
      <c r="L382" t="s">
        <v>656</v>
      </c>
      <c r="M382">
        <v>5</v>
      </c>
    </row>
    <row r="383" spans="1:13" x14ac:dyDescent="0.25">
      <c r="A383" t="s">
        <v>1361</v>
      </c>
      <c r="B383" t="s">
        <v>192</v>
      </c>
      <c r="C383" t="s">
        <v>973</v>
      </c>
      <c r="D383" t="s">
        <v>659</v>
      </c>
      <c r="E383" t="s">
        <v>820</v>
      </c>
      <c r="F383">
        <v>39.99</v>
      </c>
      <c r="G383">
        <v>3</v>
      </c>
      <c r="H383">
        <v>0</v>
      </c>
      <c r="I383">
        <v>39.99</v>
      </c>
      <c r="J383">
        <v>119.97</v>
      </c>
      <c r="K383" t="s">
        <v>661</v>
      </c>
      <c r="L383" t="s">
        <v>656</v>
      </c>
      <c r="M383">
        <v>4</v>
      </c>
    </row>
    <row r="384" spans="1:13" x14ac:dyDescent="0.25">
      <c r="A384" t="s">
        <v>1362</v>
      </c>
      <c r="B384" t="s">
        <v>194</v>
      </c>
      <c r="C384" t="s">
        <v>122</v>
      </c>
      <c r="D384" t="s">
        <v>710</v>
      </c>
      <c r="E384" t="s">
        <v>721</v>
      </c>
      <c r="F384">
        <v>24.99</v>
      </c>
      <c r="G384">
        <v>2</v>
      </c>
      <c r="H384">
        <v>0</v>
      </c>
      <c r="I384">
        <v>24.99</v>
      </c>
      <c r="J384">
        <v>49.98</v>
      </c>
      <c r="K384" t="s">
        <v>661</v>
      </c>
      <c r="L384" t="s">
        <v>656</v>
      </c>
      <c r="M384">
        <v>5</v>
      </c>
    </row>
    <row r="385" spans="1:13" x14ac:dyDescent="0.25">
      <c r="A385" t="s">
        <v>1363</v>
      </c>
      <c r="B385" t="s">
        <v>194</v>
      </c>
      <c r="C385" t="s">
        <v>1351</v>
      </c>
      <c r="D385" t="s">
        <v>667</v>
      </c>
      <c r="E385" t="s">
        <v>696</v>
      </c>
      <c r="F385">
        <v>59.99</v>
      </c>
      <c r="G385">
        <v>1</v>
      </c>
      <c r="H385">
        <v>0</v>
      </c>
      <c r="I385">
        <v>59.99</v>
      </c>
      <c r="J385">
        <v>59.99</v>
      </c>
      <c r="K385" t="s">
        <v>682</v>
      </c>
      <c r="L385" t="s">
        <v>656</v>
      </c>
    </row>
    <row r="386" spans="1:13" x14ac:dyDescent="0.25">
      <c r="A386" t="s">
        <v>1364</v>
      </c>
      <c r="B386" t="s">
        <v>194</v>
      </c>
      <c r="C386" t="s">
        <v>695</v>
      </c>
      <c r="D386" t="s">
        <v>653</v>
      </c>
      <c r="E386" t="s">
        <v>827</v>
      </c>
      <c r="F386">
        <v>29.99</v>
      </c>
      <c r="G386">
        <v>2</v>
      </c>
      <c r="H386">
        <v>0</v>
      </c>
      <c r="I386">
        <v>29.99</v>
      </c>
      <c r="J386">
        <v>59.98</v>
      </c>
      <c r="K386" t="s">
        <v>655</v>
      </c>
      <c r="L386" t="s">
        <v>656</v>
      </c>
      <c r="M386">
        <v>4</v>
      </c>
    </row>
    <row r="387" spans="1:13" x14ac:dyDescent="0.25">
      <c r="A387" t="s">
        <v>1365</v>
      </c>
      <c r="B387" t="s">
        <v>197</v>
      </c>
      <c r="C387" t="s">
        <v>1366</v>
      </c>
      <c r="D387" t="s">
        <v>684</v>
      </c>
      <c r="E387" t="s">
        <v>705</v>
      </c>
      <c r="F387">
        <v>79.989999999999995</v>
      </c>
      <c r="G387">
        <v>2</v>
      </c>
      <c r="H387">
        <v>0</v>
      </c>
      <c r="I387">
        <v>79.989999999999995</v>
      </c>
      <c r="J387">
        <v>159.97999999999999</v>
      </c>
      <c r="K387" t="s">
        <v>661</v>
      </c>
      <c r="L387" t="s">
        <v>656</v>
      </c>
    </row>
    <row r="388" spans="1:13" x14ac:dyDescent="0.25">
      <c r="A388" t="s">
        <v>1367</v>
      </c>
      <c r="B388" t="s">
        <v>197</v>
      </c>
      <c r="C388" t="s">
        <v>1368</v>
      </c>
      <c r="D388" t="s">
        <v>653</v>
      </c>
      <c r="E388" t="s">
        <v>727</v>
      </c>
      <c r="F388">
        <v>14.99</v>
      </c>
      <c r="G388">
        <v>3</v>
      </c>
      <c r="H388">
        <v>0</v>
      </c>
      <c r="I388">
        <v>14.99</v>
      </c>
      <c r="J388">
        <v>44.97</v>
      </c>
      <c r="K388" t="s">
        <v>669</v>
      </c>
      <c r="L388" t="s">
        <v>739</v>
      </c>
      <c r="M388">
        <v>5</v>
      </c>
    </row>
    <row r="389" spans="1:13" x14ac:dyDescent="0.25">
      <c r="A389" t="s">
        <v>1369</v>
      </c>
      <c r="B389" t="s">
        <v>197</v>
      </c>
      <c r="C389" t="s">
        <v>1370</v>
      </c>
      <c r="D389" t="s">
        <v>684</v>
      </c>
      <c r="E389" t="s">
        <v>685</v>
      </c>
      <c r="F389">
        <v>49.99</v>
      </c>
      <c r="G389">
        <v>3</v>
      </c>
      <c r="H389">
        <v>0</v>
      </c>
      <c r="I389">
        <v>49.99</v>
      </c>
      <c r="J389">
        <v>149.97</v>
      </c>
      <c r="K389" t="s">
        <v>675</v>
      </c>
      <c r="L389" t="s">
        <v>785</v>
      </c>
      <c r="M389">
        <v>4</v>
      </c>
    </row>
    <row r="390" spans="1:13" x14ac:dyDescent="0.25">
      <c r="A390" t="s">
        <v>1371</v>
      </c>
      <c r="B390" t="s">
        <v>197</v>
      </c>
      <c r="C390" t="s">
        <v>1372</v>
      </c>
      <c r="D390" t="s">
        <v>680</v>
      </c>
      <c r="E390" t="s">
        <v>688</v>
      </c>
      <c r="F390">
        <v>29.99</v>
      </c>
      <c r="G390">
        <v>1</v>
      </c>
      <c r="H390">
        <v>15</v>
      </c>
      <c r="I390">
        <v>25.49</v>
      </c>
      <c r="J390">
        <v>25.49</v>
      </c>
      <c r="K390" t="s">
        <v>675</v>
      </c>
      <c r="L390" t="s">
        <v>656</v>
      </c>
      <c r="M390">
        <v>3</v>
      </c>
    </row>
    <row r="391" spans="1:13" x14ac:dyDescent="0.25">
      <c r="A391" t="s">
        <v>1373</v>
      </c>
      <c r="B391" t="s">
        <v>197</v>
      </c>
      <c r="C391" t="s">
        <v>885</v>
      </c>
      <c r="D391" t="s">
        <v>667</v>
      </c>
      <c r="E391" t="s">
        <v>714</v>
      </c>
      <c r="F391">
        <v>44.99</v>
      </c>
      <c r="G391">
        <v>4</v>
      </c>
      <c r="H391">
        <v>20</v>
      </c>
      <c r="I391">
        <v>35.99</v>
      </c>
      <c r="J391">
        <v>143.96</v>
      </c>
      <c r="K391" t="s">
        <v>669</v>
      </c>
      <c r="L391" t="s">
        <v>656</v>
      </c>
      <c r="M391">
        <v>3</v>
      </c>
    </row>
    <row r="392" spans="1:13" x14ac:dyDescent="0.25">
      <c r="A392" t="s">
        <v>1374</v>
      </c>
      <c r="B392" t="s">
        <v>197</v>
      </c>
      <c r="C392" t="s">
        <v>1375</v>
      </c>
      <c r="D392" t="s">
        <v>672</v>
      </c>
      <c r="E392" t="s">
        <v>803</v>
      </c>
      <c r="F392">
        <v>69.989999999999995</v>
      </c>
      <c r="G392">
        <v>3</v>
      </c>
      <c r="H392">
        <v>5</v>
      </c>
      <c r="I392">
        <v>66.489999999999995</v>
      </c>
      <c r="J392">
        <v>199.47</v>
      </c>
      <c r="K392" t="s">
        <v>661</v>
      </c>
      <c r="L392" t="s">
        <v>656</v>
      </c>
    </row>
    <row r="393" spans="1:13" x14ac:dyDescent="0.25">
      <c r="A393" t="s">
        <v>1376</v>
      </c>
      <c r="B393" t="s">
        <v>197</v>
      </c>
      <c r="C393" t="s">
        <v>1377</v>
      </c>
      <c r="D393" t="s">
        <v>680</v>
      </c>
      <c r="E393" t="s">
        <v>688</v>
      </c>
      <c r="F393">
        <v>29.99</v>
      </c>
      <c r="G393">
        <v>2</v>
      </c>
      <c r="H393">
        <v>15</v>
      </c>
      <c r="I393">
        <v>25.49</v>
      </c>
      <c r="J393">
        <v>50.98</v>
      </c>
      <c r="K393" t="s">
        <v>682</v>
      </c>
      <c r="L393" t="s">
        <v>656</v>
      </c>
      <c r="M393">
        <v>4</v>
      </c>
    </row>
    <row r="394" spans="1:13" x14ac:dyDescent="0.25">
      <c r="A394" t="s">
        <v>1378</v>
      </c>
      <c r="B394" t="s">
        <v>197</v>
      </c>
      <c r="C394" t="s">
        <v>1379</v>
      </c>
      <c r="D394" t="s">
        <v>684</v>
      </c>
      <c r="E394" t="s">
        <v>702</v>
      </c>
      <c r="F394">
        <v>199.99</v>
      </c>
      <c r="G394">
        <v>2</v>
      </c>
      <c r="H394">
        <v>15</v>
      </c>
      <c r="I394">
        <v>169.99</v>
      </c>
      <c r="J394">
        <v>339.98</v>
      </c>
      <c r="K394" t="s">
        <v>675</v>
      </c>
      <c r="L394" t="s">
        <v>656</v>
      </c>
    </row>
    <row r="395" spans="1:13" x14ac:dyDescent="0.25">
      <c r="A395" t="s">
        <v>1380</v>
      </c>
      <c r="B395" t="s">
        <v>197</v>
      </c>
      <c r="C395" t="s">
        <v>1140</v>
      </c>
      <c r="D395" t="s">
        <v>672</v>
      </c>
      <c r="E395" t="s">
        <v>735</v>
      </c>
      <c r="F395">
        <v>44.99</v>
      </c>
      <c r="G395">
        <v>2</v>
      </c>
      <c r="H395">
        <v>0</v>
      </c>
      <c r="I395">
        <v>44.99</v>
      </c>
      <c r="J395">
        <v>89.98</v>
      </c>
      <c r="K395" t="s">
        <v>655</v>
      </c>
      <c r="L395" t="s">
        <v>656</v>
      </c>
      <c r="M395">
        <v>3</v>
      </c>
    </row>
    <row r="396" spans="1:13" x14ac:dyDescent="0.25">
      <c r="A396" t="s">
        <v>1381</v>
      </c>
      <c r="B396" t="s">
        <v>197</v>
      </c>
      <c r="C396" t="s">
        <v>1382</v>
      </c>
      <c r="D396" t="s">
        <v>684</v>
      </c>
      <c r="E396" t="s">
        <v>705</v>
      </c>
      <c r="F396">
        <v>79.989999999999995</v>
      </c>
      <c r="G396">
        <v>2</v>
      </c>
      <c r="H396">
        <v>5</v>
      </c>
      <c r="I396">
        <v>75.989999999999995</v>
      </c>
      <c r="J396">
        <v>151.97999999999999</v>
      </c>
      <c r="K396" t="s">
        <v>661</v>
      </c>
      <c r="L396" t="s">
        <v>785</v>
      </c>
      <c r="M396">
        <v>3</v>
      </c>
    </row>
    <row r="397" spans="1:13" x14ac:dyDescent="0.25">
      <c r="A397" t="s">
        <v>1383</v>
      </c>
      <c r="B397" t="s">
        <v>197</v>
      </c>
      <c r="C397" t="s">
        <v>1384</v>
      </c>
      <c r="D397" t="s">
        <v>659</v>
      </c>
      <c r="E397" t="s">
        <v>664</v>
      </c>
      <c r="F397">
        <v>24.99</v>
      </c>
      <c r="G397">
        <v>1</v>
      </c>
      <c r="H397">
        <v>5</v>
      </c>
      <c r="I397">
        <v>23.74</v>
      </c>
      <c r="J397">
        <v>23.74</v>
      </c>
      <c r="K397" t="s">
        <v>661</v>
      </c>
      <c r="L397" t="s">
        <v>656</v>
      </c>
      <c r="M397">
        <v>5</v>
      </c>
    </row>
    <row r="398" spans="1:13" x14ac:dyDescent="0.25">
      <c r="A398" t="s">
        <v>1385</v>
      </c>
      <c r="B398" t="s">
        <v>197</v>
      </c>
      <c r="C398" t="s">
        <v>1386</v>
      </c>
      <c r="D398" t="s">
        <v>672</v>
      </c>
      <c r="E398" t="s">
        <v>673</v>
      </c>
      <c r="F398">
        <v>24.99</v>
      </c>
      <c r="G398">
        <v>4</v>
      </c>
      <c r="H398">
        <v>10</v>
      </c>
      <c r="I398">
        <v>22.49</v>
      </c>
      <c r="J398">
        <v>89.96</v>
      </c>
      <c r="K398" t="s">
        <v>655</v>
      </c>
      <c r="L398" t="s">
        <v>739</v>
      </c>
      <c r="M398">
        <v>4</v>
      </c>
    </row>
    <row r="399" spans="1:13" x14ac:dyDescent="0.25">
      <c r="A399" t="s">
        <v>1387</v>
      </c>
      <c r="B399" t="s">
        <v>197</v>
      </c>
      <c r="C399" t="s">
        <v>746</v>
      </c>
      <c r="D399" t="s">
        <v>680</v>
      </c>
      <c r="E399" t="s">
        <v>708</v>
      </c>
      <c r="F399">
        <v>24.99</v>
      </c>
      <c r="G399">
        <v>4</v>
      </c>
      <c r="H399">
        <v>5</v>
      </c>
      <c r="I399">
        <v>23.74</v>
      </c>
      <c r="J399">
        <v>94.96</v>
      </c>
      <c r="K399" t="s">
        <v>675</v>
      </c>
      <c r="L399" t="s">
        <v>656</v>
      </c>
      <c r="M399">
        <v>4</v>
      </c>
    </row>
    <row r="400" spans="1:13" x14ac:dyDescent="0.25">
      <c r="A400" t="s">
        <v>1388</v>
      </c>
      <c r="B400" t="s">
        <v>200</v>
      </c>
      <c r="C400" t="s">
        <v>1389</v>
      </c>
      <c r="D400" t="s">
        <v>653</v>
      </c>
      <c r="E400" t="s">
        <v>769</v>
      </c>
      <c r="F400">
        <v>49.99</v>
      </c>
      <c r="G400">
        <v>4</v>
      </c>
      <c r="H400">
        <v>5</v>
      </c>
      <c r="I400">
        <v>47.49</v>
      </c>
      <c r="J400">
        <v>189.96</v>
      </c>
      <c r="K400" t="s">
        <v>682</v>
      </c>
      <c r="L400" t="s">
        <v>656</v>
      </c>
      <c r="M400">
        <v>5</v>
      </c>
    </row>
    <row r="401" spans="1:13" x14ac:dyDescent="0.25">
      <c r="A401" t="s">
        <v>1390</v>
      </c>
      <c r="B401" t="s">
        <v>200</v>
      </c>
      <c r="C401" t="s">
        <v>1391</v>
      </c>
      <c r="D401" t="s">
        <v>659</v>
      </c>
      <c r="E401" t="s">
        <v>762</v>
      </c>
      <c r="F401">
        <v>49.99</v>
      </c>
      <c r="G401">
        <v>2</v>
      </c>
      <c r="H401">
        <v>20</v>
      </c>
      <c r="I401">
        <v>39.99</v>
      </c>
      <c r="J401">
        <v>79.98</v>
      </c>
      <c r="K401" t="s">
        <v>661</v>
      </c>
      <c r="L401" t="s">
        <v>788</v>
      </c>
    </row>
    <row r="402" spans="1:13" x14ac:dyDescent="0.25">
      <c r="A402" t="s">
        <v>1392</v>
      </c>
      <c r="B402" t="s">
        <v>200</v>
      </c>
      <c r="C402" t="s">
        <v>663</v>
      </c>
      <c r="D402" t="s">
        <v>684</v>
      </c>
      <c r="E402" t="s">
        <v>705</v>
      </c>
      <c r="F402">
        <v>79.989999999999995</v>
      </c>
      <c r="G402">
        <v>3</v>
      </c>
      <c r="H402">
        <v>0</v>
      </c>
      <c r="I402">
        <v>79.989999999999995</v>
      </c>
      <c r="J402">
        <v>239.97</v>
      </c>
      <c r="K402" t="s">
        <v>661</v>
      </c>
      <c r="L402" t="s">
        <v>656</v>
      </c>
      <c r="M402">
        <v>5</v>
      </c>
    </row>
    <row r="403" spans="1:13" x14ac:dyDescent="0.25">
      <c r="A403" t="s">
        <v>1393</v>
      </c>
      <c r="B403" t="s">
        <v>200</v>
      </c>
      <c r="C403" t="s">
        <v>1394</v>
      </c>
      <c r="D403" t="s">
        <v>653</v>
      </c>
      <c r="E403" t="s">
        <v>727</v>
      </c>
      <c r="F403">
        <v>14.99</v>
      </c>
      <c r="G403">
        <v>1</v>
      </c>
      <c r="H403">
        <v>5</v>
      </c>
      <c r="I403">
        <v>14.24</v>
      </c>
      <c r="J403">
        <v>14.24</v>
      </c>
      <c r="K403" t="s">
        <v>675</v>
      </c>
      <c r="L403" t="s">
        <v>656</v>
      </c>
      <c r="M403">
        <v>4</v>
      </c>
    </row>
    <row r="404" spans="1:13" x14ac:dyDescent="0.25">
      <c r="A404" t="s">
        <v>1395</v>
      </c>
      <c r="B404" t="s">
        <v>200</v>
      </c>
      <c r="C404" t="s">
        <v>1290</v>
      </c>
      <c r="D404" t="s">
        <v>672</v>
      </c>
      <c r="E404" t="s">
        <v>673</v>
      </c>
      <c r="F404">
        <v>24.99</v>
      </c>
      <c r="G404">
        <v>4</v>
      </c>
      <c r="H404">
        <v>0</v>
      </c>
      <c r="I404">
        <v>24.99</v>
      </c>
      <c r="J404">
        <v>99.96</v>
      </c>
      <c r="K404" t="s">
        <v>661</v>
      </c>
      <c r="L404" t="s">
        <v>656</v>
      </c>
    </row>
    <row r="405" spans="1:13" x14ac:dyDescent="0.25">
      <c r="A405" t="s">
        <v>1396</v>
      </c>
      <c r="B405" t="s">
        <v>200</v>
      </c>
      <c r="C405" t="s">
        <v>1397</v>
      </c>
      <c r="D405" t="s">
        <v>684</v>
      </c>
      <c r="E405" t="s">
        <v>702</v>
      </c>
      <c r="F405">
        <v>199.99</v>
      </c>
      <c r="G405">
        <v>2</v>
      </c>
      <c r="H405">
        <v>20</v>
      </c>
      <c r="I405">
        <v>159.99</v>
      </c>
      <c r="J405">
        <v>319.98</v>
      </c>
      <c r="K405" t="s">
        <v>682</v>
      </c>
      <c r="L405" t="s">
        <v>693</v>
      </c>
      <c r="M405">
        <v>1</v>
      </c>
    </row>
    <row r="406" spans="1:13" x14ac:dyDescent="0.25">
      <c r="A406" t="s">
        <v>1398</v>
      </c>
      <c r="B406" t="s">
        <v>200</v>
      </c>
      <c r="C406" t="s">
        <v>1399</v>
      </c>
      <c r="D406" t="s">
        <v>710</v>
      </c>
      <c r="E406" t="s">
        <v>711</v>
      </c>
      <c r="F406">
        <v>14.99</v>
      </c>
      <c r="G406">
        <v>2</v>
      </c>
      <c r="H406">
        <v>15</v>
      </c>
      <c r="I406">
        <v>12.74</v>
      </c>
      <c r="J406">
        <v>25.48</v>
      </c>
      <c r="K406" t="s">
        <v>682</v>
      </c>
      <c r="L406" t="s">
        <v>656</v>
      </c>
      <c r="M406">
        <v>5</v>
      </c>
    </row>
    <row r="407" spans="1:13" x14ac:dyDescent="0.25">
      <c r="A407" t="s">
        <v>1400</v>
      </c>
      <c r="B407" t="s">
        <v>203</v>
      </c>
      <c r="C407" t="s">
        <v>1401</v>
      </c>
      <c r="D407" t="s">
        <v>684</v>
      </c>
      <c r="E407" t="s">
        <v>815</v>
      </c>
      <c r="F407">
        <v>34.99</v>
      </c>
      <c r="G407">
        <v>2</v>
      </c>
      <c r="H407">
        <v>20</v>
      </c>
      <c r="I407">
        <v>27.99</v>
      </c>
      <c r="J407">
        <v>55.98</v>
      </c>
      <c r="K407" t="s">
        <v>675</v>
      </c>
      <c r="L407" t="s">
        <v>656</v>
      </c>
    </row>
    <row r="408" spans="1:13" x14ac:dyDescent="0.25">
      <c r="A408" t="s">
        <v>1402</v>
      </c>
      <c r="B408" t="s">
        <v>206</v>
      </c>
      <c r="C408" t="s">
        <v>1403</v>
      </c>
      <c r="D408" t="s">
        <v>653</v>
      </c>
      <c r="E408" t="s">
        <v>727</v>
      </c>
      <c r="F408">
        <v>14.99</v>
      </c>
      <c r="G408">
        <v>2</v>
      </c>
      <c r="H408">
        <v>20</v>
      </c>
      <c r="I408">
        <v>11.99</v>
      </c>
      <c r="J408">
        <v>23.98</v>
      </c>
      <c r="K408" t="s">
        <v>682</v>
      </c>
      <c r="L408" t="s">
        <v>656</v>
      </c>
    </row>
    <row r="409" spans="1:13" x14ac:dyDescent="0.25">
      <c r="A409" t="s">
        <v>1404</v>
      </c>
      <c r="B409" t="s">
        <v>206</v>
      </c>
      <c r="C409" t="s">
        <v>666</v>
      </c>
      <c r="D409" t="s">
        <v>672</v>
      </c>
      <c r="E409" t="s">
        <v>735</v>
      </c>
      <c r="F409">
        <v>44.99</v>
      </c>
      <c r="G409">
        <v>3</v>
      </c>
      <c r="H409">
        <v>0</v>
      </c>
      <c r="I409">
        <v>44.99</v>
      </c>
      <c r="J409">
        <v>134.97</v>
      </c>
      <c r="K409" t="s">
        <v>682</v>
      </c>
      <c r="L409" t="s">
        <v>656</v>
      </c>
      <c r="M409">
        <v>5</v>
      </c>
    </row>
    <row r="410" spans="1:13" x14ac:dyDescent="0.25">
      <c r="A410" t="s">
        <v>1405</v>
      </c>
      <c r="B410" t="s">
        <v>206</v>
      </c>
      <c r="C410" t="s">
        <v>1406</v>
      </c>
      <c r="D410" t="s">
        <v>659</v>
      </c>
      <c r="E410" t="s">
        <v>820</v>
      </c>
      <c r="F410">
        <v>39.99</v>
      </c>
      <c r="G410">
        <v>3</v>
      </c>
      <c r="H410">
        <v>0</v>
      </c>
      <c r="I410">
        <v>39.99</v>
      </c>
      <c r="J410">
        <v>119.97</v>
      </c>
      <c r="K410" t="s">
        <v>655</v>
      </c>
      <c r="L410" t="s">
        <v>656</v>
      </c>
      <c r="M410">
        <v>5</v>
      </c>
    </row>
    <row r="411" spans="1:13" x14ac:dyDescent="0.25">
      <c r="A411" t="s">
        <v>1407</v>
      </c>
      <c r="B411" t="s">
        <v>206</v>
      </c>
      <c r="C411" t="s">
        <v>309</v>
      </c>
      <c r="D411" t="s">
        <v>667</v>
      </c>
      <c r="E411" t="s">
        <v>668</v>
      </c>
      <c r="F411">
        <v>64.989999999999995</v>
      </c>
      <c r="G411">
        <v>4</v>
      </c>
      <c r="H411">
        <v>0</v>
      </c>
      <c r="I411">
        <v>64.989999999999995</v>
      </c>
      <c r="J411">
        <v>259.95999999999998</v>
      </c>
      <c r="K411" t="s">
        <v>661</v>
      </c>
      <c r="L411" t="s">
        <v>656</v>
      </c>
      <c r="M411">
        <v>5</v>
      </c>
    </row>
    <row r="412" spans="1:13" x14ac:dyDescent="0.25">
      <c r="A412" t="s">
        <v>1408</v>
      </c>
      <c r="B412" t="s">
        <v>206</v>
      </c>
      <c r="C412" t="s">
        <v>1409</v>
      </c>
      <c r="D412" t="s">
        <v>653</v>
      </c>
      <c r="E412" t="s">
        <v>727</v>
      </c>
      <c r="F412">
        <v>14.99</v>
      </c>
      <c r="G412">
        <v>2</v>
      </c>
      <c r="H412">
        <v>5</v>
      </c>
      <c r="I412">
        <v>14.24</v>
      </c>
      <c r="J412">
        <v>28.48</v>
      </c>
      <c r="K412" t="s">
        <v>682</v>
      </c>
      <c r="L412" t="s">
        <v>656</v>
      </c>
      <c r="M412">
        <v>4</v>
      </c>
    </row>
    <row r="413" spans="1:13" x14ac:dyDescent="0.25">
      <c r="A413" t="s">
        <v>1410</v>
      </c>
      <c r="B413" t="s">
        <v>206</v>
      </c>
      <c r="C413" t="s">
        <v>1411</v>
      </c>
      <c r="D413" t="s">
        <v>684</v>
      </c>
      <c r="E413" t="s">
        <v>705</v>
      </c>
      <c r="F413">
        <v>79.989999999999995</v>
      </c>
      <c r="G413">
        <v>2</v>
      </c>
      <c r="H413">
        <v>5</v>
      </c>
      <c r="I413">
        <v>75.989999999999995</v>
      </c>
      <c r="J413">
        <v>151.97999999999999</v>
      </c>
      <c r="K413" t="s">
        <v>675</v>
      </c>
      <c r="L413" t="s">
        <v>788</v>
      </c>
    </row>
    <row r="414" spans="1:13" x14ac:dyDescent="0.25">
      <c r="A414" t="s">
        <v>1412</v>
      </c>
      <c r="B414" t="s">
        <v>206</v>
      </c>
      <c r="C414" t="s">
        <v>1070</v>
      </c>
      <c r="D414" t="s">
        <v>667</v>
      </c>
      <c r="E414" t="s">
        <v>699</v>
      </c>
      <c r="F414">
        <v>89.99</v>
      </c>
      <c r="G414">
        <v>4</v>
      </c>
      <c r="H414">
        <v>20</v>
      </c>
      <c r="I414">
        <v>71.989999999999995</v>
      </c>
      <c r="J414">
        <v>287.95999999999998</v>
      </c>
      <c r="K414" t="s">
        <v>669</v>
      </c>
      <c r="L414" t="s">
        <v>788</v>
      </c>
    </row>
    <row r="415" spans="1:13" x14ac:dyDescent="0.25">
      <c r="A415" t="s">
        <v>1413</v>
      </c>
      <c r="B415" t="s">
        <v>206</v>
      </c>
      <c r="C415" t="s">
        <v>1414</v>
      </c>
      <c r="D415" t="s">
        <v>653</v>
      </c>
      <c r="E415" t="s">
        <v>827</v>
      </c>
      <c r="F415">
        <v>29.99</v>
      </c>
      <c r="G415">
        <v>3</v>
      </c>
      <c r="H415">
        <v>10</v>
      </c>
      <c r="I415">
        <v>26.99</v>
      </c>
      <c r="J415">
        <v>80.97</v>
      </c>
      <c r="K415" t="s">
        <v>682</v>
      </c>
      <c r="L415" t="s">
        <v>656</v>
      </c>
    </row>
    <row r="416" spans="1:13" x14ac:dyDescent="0.25">
      <c r="A416" t="s">
        <v>1415</v>
      </c>
      <c r="B416" t="s">
        <v>209</v>
      </c>
      <c r="C416" t="s">
        <v>1416</v>
      </c>
      <c r="D416" t="s">
        <v>659</v>
      </c>
      <c r="E416" t="s">
        <v>762</v>
      </c>
      <c r="F416">
        <v>49.99</v>
      </c>
      <c r="G416">
        <v>1</v>
      </c>
      <c r="H416">
        <v>0</v>
      </c>
      <c r="I416">
        <v>49.99</v>
      </c>
      <c r="J416">
        <v>49.99</v>
      </c>
      <c r="K416" t="s">
        <v>682</v>
      </c>
      <c r="L416" t="s">
        <v>656</v>
      </c>
      <c r="M416">
        <v>5</v>
      </c>
    </row>
    <row r="417" spans="1:13" x14ac:dyDescent="0.25">
      <c r="A417" t="s">
        <v>1417</v>
      </c>
      <c r="B417" t="s">
        <v>209</v>
      </c>
      <c r="C417" t="s">
        <v>1418</v>
      </c>
      <c r="D417" t="s">
        <v>684</v>
      </c>
      <c r="E417" t="s">
        <v>702</v>
      </c>
      <c r="F417">
        <v>199.99</v>
      </c>
      <c r="G417">
        <v>1</v>
      </c>
      <c r="H417">
        <v>0</v>
      </c>
      <c r="I417">
        <v>199.99</v>
      </c>
      <c r="J417">
        <v>199.99</v>
      </c>
      <c r="K417" t="s">
        <v>661</v>
      </c>
      <c r="L417" t="s">
        <v>656</v>
      </c>
      <c r="M417">
        <v>4</v>
      </c>
    </row>
    <row r="418" spans="1:13" x14ac:dyDescent="0.25">
      <c r="A418" t="s">
        <v>1419</v>
      </c>
      <c r="B418" t="s">
        <v>209</v>
      </c>
      <c r="C418" t="s">
        <v>1420</v>
      </c>
      <c r="D418" t="s">
        <v>680</v>
      </c>
      <c r="E418" t="s">
        <v>749</v>
      </c>
      <c r="F418">
        <v>14.99</v>
      </c>
      <c r="G418">
        <v>4</v>
      </c>
      <c r="H418">
        <v>20</v>
      </c>
      <c r="I418">
        <v>11.99</v>
      </c>
      <c r="J418">
        <v>47.96</v>
      </c>
      <c r="K418" t="s">
        <v>675</v>
      </c>
      <c r="L418" t="s">
        <v>788</v>
      </c>
    </row>
    <row r="419" spans="1:13" x14ac:dyDescent="0.25">
      <c r="A419" t="s">
        <v>1421</v>
      </c>
      <c r="B419" t="s">
        <v>209</v>
      </c>
      <c r="C419" t="s">
        <v>1422</v>
      </c>
      <c r="D419" t="s">
        <v>659</v>
      </c>
      <c r="E419" t="s">
        <v>820</v>
      </c>
      <c r="F419">
        <v>39.99</v>
      </c>
      <c r="G419">
        <v>1</v>
      </c>
      <c r="H419">
        <v>10</v>
      </c>
      <c r="I419">
        <v>35.99</v>
      </c>
      <c r="J419">
        <v>35.99</v>
      </c>
      <c r="K419" t="s">
        <v>661</v>
      </c>
      <c r="L419" t="s">
        <v>656</v>
      </c>
      <c r="M419">
        <v>5</v>
      </c>
    </row>
    <row r="420" spans="1:13" x14ac:dyDescent="0.25">
      <c r="A420" t="s">
        <v>1423</v>
      </c>
      <c r="B420" t="s">
        <v>209</v>
      </c>
      <c r="C420" t="s">
        <v>1409</v>
      </c>
      <c r="D420" t="s">
        <v>653</v>
      </c>
      <c r="E420" t="s">
        <v>727</v>
      </c>
      <c r="F420">
        <v>14.99</v>
      </c>
      <c r="G420">
        <v>3</v>
      </c>
      <c r="H420">
        <v>20</v>
      </c>
      <c r="I420">
        <v>11.99</v>
      </c>
      <c r="J420">
        <v>35.97</v>
      </c>
      <c r="K420" t="s">
        <v>669</v>
      </c>
      <c r="L420" t="s">
        <v>656</v>
      </c>
      <c r="M420">
        <v>4</v>
      </c>
    </row>
    <row r="421" spans="1:13" x14ac:dyDescent="0.25">
      <c r="A421" t="s">
        <v>1424</v>
      </c>
      <c r="B421" t="s">
        <v>209</v>
      </c>
      <c r="C421" t="s">
        <v>1425</v>
      </c>
      <c r="D421" t="s">
        <v>653</v>
      </c>
      <c r="E421" t="s">
        <v>727</v>
      </c>
      <c r="F421">
        <v>14.99</v>
      </c>
      <c r="G421">
        <v>3</v>
      </c>
      <c r="H421">
        <v>0</v>
      </c>
      <c r="I421">
        <v>14.99</v>
      </c>
      <c r="J421">
        <v>44.97</v>
      </c>
      <c r="K421" t="s">
        <v>669</v>
      </c>
      <c r="L421" t="s">
        <v>656</v>
      </c>
    </row>
    <row r="422" spans="1:13" x14ac:dyDescent="0.25">
      <c r="A422" t="s">
        <v>1426</v>
      </c>
      <c r="B422" t="s">
        <v>209</v>
      </c>
      <c r="C422" t="s">
        <v>1420</v>
      </c>
      <c r="D422" t="s">
        <v>659</v>
      </c>
      <c r="E422" t="s">
        <v>664</v>
      </c>
      <c r="F422">
        <v>24.99</v>
      </c>
      <c r="G422">
        <v>2</v>
      </c>
      <c r="H422">
        <v>0</v>
      </c>
      <c r="I422">
        <v>24.99</v>
      </c>
      <c r="J422">
        <v>49.98</v>
      </c>
      <c r="K422" t="s">
        <v>669</v>
      </c>
      <c r="L422" t="s">
        <v>656</v>
      </c>
      <c r="M422">
        <v>3</v>
      </c>
    </row>
    <row r="423" spans="1:13" x14ac:dyDescent="0.25">
      <c r="A423" t="s">
        <v>1427</v>
      </c>
      <c r="B423" t="s">
        <v>209</v>
      </c>
      <c r="C423" t="s">
        <v>1428</v>
      </c>
      <c r="D423" t="s">
        <v>684</v>
      </c>
      <c r="E423" t="s">
        <v>705</v>
      </c>
      <c r="F423">
        <v>79.989999999999995</v>
      </c>
      <c r="G423">
        <v>1</v>
      </c>
      <c r="H423">
        <v>0</v>
      </c>
      <c r="I423">
        <v>79.989999999999995</v>
      </c>
      <c r="J423">
        <v>79.989999999999995</v>
      </c>
      <c r="K423" t="s">
        <v>661</v>
      </c>
      <c r="L423" t="s">
        <v>656</v>
      </c>
      <c r="M423">
        <v>3</v>
      </c>
    </row>
    <row r="424" spans="1:13" x14ac:dyDescent="0.25">
      <c r="A424" t="s">
        <v>1429</v>
      </c>
      <c r="B424" t="s">
        <v>209</v>
      </c>
      <c r="C424" t="s">
        <v>1430</v>
      </c>
      <c r="D424" t="s">
        <v>710</v>
      </c>
      <c r="E424" t="s">
        <v>721</v>
      </c>
      <c r="F424">
        <v>24.99</v>
      </c>
      <c r="G424">
        <v>2</v>
      </c>
      <c r="H424">
        <v>5</v>
      </c>
      <c r="I424">
        <v>23.74</v>
      </c>
      <c r="J424">
        <v>47.48</v>
      </c>
      <c r="K424" t="s">
        <v>655</v>
      </c>
      <c r="L424" t="s">
        <v>656</v>
      </c>
      <c r="M424">
        <v>5</v>
      </c>
    </row>
    <row r="425" spans="1:13" x14ac:dyDescent="0.25">
      <c r="A425" t="s">
        <v>1431</v>
      </c>
      <c r="B425" t="s">
        <v>212</v>
      </c>
      <c r="C425" t="s">
        <v>1176</v>
      </c>
      <c r="D425" t="s">
        <v>659</v>
      </c>
      <c r="E425" t="s">
        <v>660</v>
      </c>
      <c r="F425">
        <v>19.989999999999998</v>
      </c>
      <c r="G425">
        <v>2</v>
      </c>
      <c r="H425">
        <v>10</v>
      </c>
      <c r="I425">
        <v>17.989999999999998</v>
      </c>
      <c r="J425">
        <v>35.979999999999997</v>
      </c>
      <c r="K425" t="s">
        <v>661</v>
      </c>
      <c r="L425" t="s">
        <v>656</v>
      </c>
    </row>
    <row r="426" spans="1:13" x14ac:dyDescent="0.25">
      <c r="A426" t="s">
        <v>1432</v>
      </c>
      <c r="B426" t="s">
        <v>212</v>
      </c>
      <c r="C426" t="s">
        <v>927</v>
      </c>
      <c r="D426" t="s">
        <v>667</v>
      </c>
      <c r="E426" t="s">
        <v>699</v>
      </c>
      <c r="F426">
        <v>89.99</v>
      </c>
      <c r="G426">
        <v>3</v>
      </c>
      <c r="H426">
        <v>15</v>
      </c>
      <c r="I426">
        <v>76.489999999999995</v>
      </c>
      <c r="J426">
        <v>229.47</v>
      </c>
      <c r="K426" t="s">
        <v>682</v>
      </c>
      <c r="L426" t="s">
        <v>656</v>
      </c>
      <c r="M426">
        <v>4</v>
      </c>
    </row>
    <row r="427" spans="1:13" x14ac:dyDescent="0.25">
      <c r="A427" t="s">
        <v>1433</v>
      </c>
      <c r="B427" t="s">
        <v>212</v>
      </c>
      <c r="C427" t="s">
        <v>1434</v>
      </c>
      <c r="D427" t="s">
        <v>667</v>
      </c>
      <c r="E427" t="s">
        <v>668</v>
      </c>
      <c r="F427">
        <v>64.989999999999995</v>
      </c>
      <c r="G427">
        <v>1</v>
      </c>
      <c r="H427">
        <v>0</v>
      </c>
      <c r="I427">
        <v>64.989999999999995</v>
      </c>
      <c r="J427">
        <v>64.989999999999995</v>
      </c>
      <c r="K427" t="s">
        <v>675</v>
      </c>
      <c r="L427" t="s">
        <v>693</v>
      </c>
      <c r="M427">
        <v>4</v>
      </c>
    </row>
    <row r="428" spans="1:13" x14ac:dyDescent="0.25">
      <c r="A428" t="s">
        <v>1435</v>
      </c>
      <c r="B428" t="s">
        <v>212</v>
      </c>
      <c r="C428" t="s">
        <v>1436</v>
      </c>
      <c r="D428" t="s">
        <v>680</v>
      </c>
      <c r="E428" t="s">
        <v>749</v>
      </c>
      <c r="F428">
        <v>14.99</v>
      </c>
      <c r="G428">
        <v>4</v>
      </c>
      <c r="H428">
        <v>5</v>
      </c>
      <c r="I428">
        <v>14.24</v>
      </c>
      <c r="J428">
        <v>56.96</v>
      </c>
      <c r="K428" t="s">
        <v>682</v>
      </c>
      <c r="L428" t="s">
        <v>656</v>
      </c>
      <c r="M428">
        <v>4</v>
      </c>
    </row>
    <row r="429" spans="1:13" x14ac:dyDescent="0.25">
      <c r="A429" t="s">
        <v>1437</v>
      </c>
      <c r="B429" t="s">
        <v>212</v>
      </c>
      <c r="C429" t="s">
        <v>1438</v>
      </c>
      <c r="D429" t="s">
        <v>667</v>
      </c>
      <c r="E429" t="s">
        <v>696</v>
      </c>
      <c r="F429">
        <v>59.99</v>
      </c>
      <c r="G429">
        <v>2</v>
      </c>
      <c r="H429">
        <v>20</v>
      </c>
      <c r="I429">
        <v>47.99</v>
      </c>
      <c r="J429">
        <v>95.98</v>
      </c>
      <c r="K429" t="s">
        <v>661</v>
      </c>
      <c r="L429" t="s">
        <v>656</v>
      </c>
      <c r="M429">
        <v>4</v>
      </c>
    </row>
    <row r="430" spans="1:13" x14ac:dyDescent="0.25">
      <c r="A430" t="s">
        <v>1439</v>
      </c>
      <c r="B430" t="s">
        <v>212</v>
      </c>
      <c r="C430" t="s">
        <v>1440</v>
      </c>
      <c r="D430" t="s">
        <v>680</v>
      </c>
      <c r="E430" t="s">
        <v>688</v>
      </c>
      <c r="F430">
        <v>29.99</v>
      </c>
      <c r="G430">
        <v>1</v>
      </c>
      <c r="H430">
        <v>0</v>
      </c>
      <c r="I430">
        <v>29.99</v>
      </c>
      <c r="J430">
        <v>29.99</v>
      </c>
      <c r="K430" t="s">
        <v>675</v>
      </c>
      <c r="L430" t="s">
        <v>656</v>
      </c>
    </row>
    <row r="431" spans="1:13" x14ac:dyDescent="0.25">
      <c r="A431" t="s">
        <v>1441</v>
      </c>
      <c r="B431" t="s">
        <v>212</v>
      </c>
      <c r="C431" t="s">
        <v>807</v>
      </c>
      <c r="D431" t="s">
        <v>684</v>
      </c>
      <c r="E431" t="s">
        <v>705</v>
      </c>
      <c r="F431">
        <v>79.989999999999995</v>
      </c>
      <c r="G431">
        <v>3</v>
      </c>
      <c r="H431">
        <v>15</v>
      </c>
      <c r="I431">
        <v>67.989999999999995</v>
      </c>
      <c r="J431">
        <v>203.97</v>
      </c>
      <c r="K431" t="s">
        <v>661</v>
      </c>
      <c r="L431" t="s">
        <v>656</v>
      </c>
      <c r="M431">
        <v>4</v>
      </c>
    </row>
    <row r="432" spans="1:13" x14ac:dyDescent="0.25">
      <c r="A432" t="s">
        <v>1442</v>
      </c>
      <c r="B432" t="s">
        <v>212</v>
      </c>
      <c r="C432" t="s">
        <v>1443</v>
      </c>
      <c r="D432" t="s">
        <v>667</v>
      </c>
      <c r="E432" t="s">
        <v>696</v>
      </c>
      <c r="F432">
        <v>59.99</v>
      </c>
      <c r="G432">
        <v>2</v>
      </c>
      <c r="H432">
        <v>0</v>
      </c>
      <c r="I432">
        <v>59.99</v>
      </c>
      <c r="J432">
        <v>119.98</v>
      </c>
      <c r="K432" t="s">
        <v>682</v>
      </c>
      <c r="L432" t="s">
        <v>656</v>
      </c>
      <c r="M432">
        <v>5</v>
      </c>
    </row>
    <row r="433" spans="1:13" x14ac:dyDescent="0.25">
      <c r="A433" t="s">
        <v>1444</v>
      </c>
      <c r="B433" t="s">
        <v>212</v>
      </c>
      <c r="C433" t="s">
        <v>1445</v>
      </c>
      <c r="D433" t="s">
        <v>667</v>
      </c>
      <c r="E433" t="s">
        <v>699</v>
      </c>
      <c r="F433">
        <v>89.99</v>
      </c>
      <c r="G433">
        <v>2</v>
      </c>
      <c r="H433">
        <v>10</v>
      </c>
      <c r="I433">
        <v>80.989999999999995</v>
      </c>
      <c r="J433">
        <v>161.97999999999999</v>
      </c>
      <c r="K433" t="s">
        <v>661</v>
      </c>
      <c r="L433" t="s">
        <v>656</v>
      </c>
      <c r="M433">
        <v>5</v>
      </c>
    </row>
    <row r="434" spans="1:13" x14ac:dyDescent="0.25">
      <c r="A434" t="s">
        <v>1446</v>
      </c>
      <c r="B434" t="s">
        <v>212</v>
      </c>
      <c r="C434" t="s">
        <v>1306</v>
      </c>
      <c r="D434" t="s">
        <v>684</v>
      </c>
      <c r="E434" t="s">
        <v>702</v>
      </c>
      <c r="F434">
        <v>199.99</v>
      </c>
      <c r="G434">
        <v>2</v>
      </c>
      <c r="H434">
        <v>0</v>
      </c>
      <c r="I434">
        <v>199.99</v>
      </c>
      <c r="J434">
        <v>399.98</v>
      </c>
      <c r="K434" t="s">
        <v>682</v>
      </c>
      <c r="L434" t="s">
        <v>656</v>
      </c>
      <c r="M434">
        <v>5</v>
      </c>
    </row>
    <row r="435" spans="1:13" x14ac:dyDescent="0.25">
      <c r="A435" t="s">
        <v>1447</v>
      </c>
      <c r="B435" t="s">
        <v>212</v>
      </c>
      <c r="C435" t="s">
        <v>392</v>
      </c>
      <c r="D435" t="s">
        <v>680</v>
      </c>
      <c r="E435" t="s">
        <v>681</v>
      </c>
      <c r="F435">
        <v>19.989999999999998</v>
      </c>
      <c r="G435">
        <v>3</v>
      </c>
      <c r="H435">
        <v>0</v>
      </c>
      <c r="I435">
        <v>19.989999999999998</v>
      </c>
      <c r="J435">
        <v>59.97</v>
      </c>
      <c r="K435" t="s">
        <v>669</v>
      </c>
      <c r="L435" t="s">
        <v>739</v>
      </c>
      <c r="M435">
        <v>4</v>
      </c>
    </row>
    <row r="436" spans="1:13" x14ac:dyDescent="0.25">
      <c r="A436" t="s">
        <v>1448</v>
      </c>
      <c r="B436" t="s">
        <v>212</v>
      </c>
      <c r="C436" t="s">
        <v>1434</v>
      </c>
      <c r="D436" t="s">
        <v>672</v>
      </c>
      <c r="E436" t="s">
        <v>803</v>
      </c>
      <c r="F436">
        <v>69.989999999999995</v>
      </c>
      <c r="G436">
        <v>1</v>
      </c>
      <c r="H436">
        <v>20</v>
      </c>
      <c r="I436">
        <v>55.99</v>
      </c>
      <c r="J436">
        <v>55.99</v>
      </c>
      <c r="K436" t="s">
        <v>661</v>
      </c>
      <c r="L436" t="s">
        <v>656</v>
      </c>
    </row>
    <row r="437" spans="1:13" x14ac:dyDescent="0.25">
      <c r="A437" t="s">
        <v>1449</v>
      </c>
      <c r="B437" t="s">
        <v>212</v>
      </c>
      <c r="C437" t="s">
        <v>1450</v>
      </c>
      <c r="D437" t="s">
        <v>672</v>
      </c>
      <c r="E437" t="s">
        <v>803</v>
      </c>
      <c r="F437">
        <v>69.989999999999995</v>
      </c>
      <c r="G437">
        <v>1</v>
      </c>
      <c r="H437">
        <v>15</v>
      </c>
      <c r="I437">
        <v>59.49</v>
      </c>
      <c r="J437">
        <v>59.49</v>
      </c>
      <c r="K437" t="s">
        <v>682</v>
      </c>
      <c r="L437" t="s">
        <v>656</v>
      </c>
      <c r="M437">
        <v>4</v>
      </c>
    </row>
    <row r="438" spans="1:13" x14ac:dyDescent="0.25">
      <c r="A438" t="s">
        <v>1451</v>
      </c>
      <c r="B438" t="s">
        <v>212</v>
      </c>
      <c r="C438" t="s">
        <v>913</v>
      </c>
      <c r="D438" t="s">
        <v>653</v>
      </c>
      <c r="E438" t="s">
        <v>769</v>
      </c>
      <c r="F438">
        <v>49.99</v>
      </c>
      <c r="G438">
        <v>2</v>
      </c>
      <c r="H438">
        <v>0</v>
      </c>
      <c r="I438">
        <v>49.99</v>
      </c>
      <c r="J438">
        <v>99.98</v>
      </c>
      <c r="K438" t="s">
        <v>669</v>
      </c>
      <c r="L438" t="s">
        <v>656</v>
      </c>
      <c r="M438">
        <v>1</v>
      </c>
    </row>
    <row r="439" spans="1:13" x14ac:dyDescent="0.25">
      <c r="A439" t="s">
        <v>1452</v>
      </c>
      <c r="B439" t="s">
        <v>212</v>
      </c>
      <c r="C439" t="s">
        <v>1453</v>
      </c>
      <c r="D439" t="s">
        <v>653</v>
      </c>
      <c r="E439" t="s">
        <v>727</v>
      </c>
      <c r="F439">
        <v>14.99</v>
      </c>
      <c r="G439">
        <v>3</v>
      </c>
      <c r="H439">
        <v>0</v>
      </c>
      <c r="I439">
        <v>14.99</v>
      </c>
      <c r="J439">
        <v>44.97</v>
      </c>
      <c r="K439" t="s">
        <v>661</v>
      </c>
      <c r="L439" t="s">
        <v>656</v>
      </c>
      <c r="M439">
        <v>5</v>
      </c>
    </row>
    <row r="440" spans="1:13" x14ac:dyDescent="0.25">
      <c r="A440" t="s">
        <v>1454</v>
      </c>
      <c r="B440" t="s">
        <v>215</v>
      </c>
      <c r="C440" t="s">
        <v>1455</v>
      </c>
      <c r="D440" t="s">
        <v>667</v>
      </c>
      <c r="E440" t="s">
        <v>668</v>
      </c>
      <c r="F440">
        <v>64.989999999999995</v>
      </c>
      <c r="G440">
        <v>2</v>
      </c>
      <c r="H440">
        <v>15</v>
      </c>
      <c r="I440">
        <v>55.24</v>
      </c>
      <c r="J440">
        <v>110.48</v>
      </c>
      <c r="K440" t="s">
        <v>661</v>
      </c>
      <c r="L440" t="s">
        <v>656</v>
      </c>
      <c r="M440">
        <v>4</v>
      </c>
    </row>
    <row r="441" spans="1:13" x14ac:dyDescent="0.25">
      <c r="A441" t="s">
        <v>1456</v>
      </c>
      <c r="B441" t="s">
        <v>215</v>
      </c>
      <c r="C441" t="s">
        <v>1457</v>
      </c>
      <c r="D441" t="s">
        <v>684</v>
      </c>
      <c r="E441" t="s">
        <v>702</v>
      </c>
      <c r="F441">
        <v>199.99</v>
      </c>
      <c r="G441">
        <v>2</v>
      </c>
      <c r="H441">
        <v>0</v>
      </c>
      <c r="I441">
        <v>199.99</v>
      </c>
      <c r="J441">
        <v>399.98</v>
      </c>
      <c r="K441" t="s">
        <v>655</v>
      </c>
      <c r="L441" t="s">
        <v>656</v>
      </c>
    </row>
    <row r="442" spans="1:13" x14ac:dyDescent="0.25">
      <c r="A442" t="s">
        <v>1458</v>
      </c>
      <c r="B442" t="s">
        <v>215</v>
      </c>
      <c r="C442" t="s">
        <v>704</v>
      </c>
      <c r="D442" t="s">
        <v>710</v>
      </c>
      <c r="E442" t="s">
        <v>721</v>
      </c>
      <c r="F442">
        <v>24.99</v>
      </c>
      <c r="G442">
        <v>2</v>
      </c>
      <c r="H442">
        <v>5</v>
      </c>
      <c r="I442">
        <v>23.74</v>
      </c>
      <c r="J442">
        <v>47.48</v>
      </c>
      <c r="K442" t="s">
        <v>669</v>
      </c>
      <c r="L442" t="s">
        <v>656</v>
      </c>
      <c r="M442">
        <v>4</v>
      </c>
    </row>
    <row r="443" spans="1:13" x14ac:dyDescent="0.25">
      <c r="A443" t="s">
        <v>1459</v>
      </c>
      <c r="B443" t="s">
        <v>215</v>
      </c>
      <c r="C443" t="s">
        <v>1460</v>
      </c>
      <c r="D443" t="s">
        <v>659</v>
      </c>
      <c r="E443" t="s">
        <v>820</v>
      </c>
      <c r="F443">
        <v>39.99</v>
      </c>
      <c r="G443">
        <v>4</v>
      </c>
      <c r="H443">
        <v>0</v>
      </c>
      <c r="I443">
        <v>39.99</v>
      </c>
      <c r="J443">
        <v>159.96</v>
      </c>
      <c r="K443" t="s">
        <v>669</v>
      </c>
      <c r="L443" t="s">
        <v>656</v>
      </c>
    </row>
    <row r="444" spans="1:13" x14ac:dyDescent="0.25">
      <c r="A444" t="s">
        <v>1461</v>
      </c>
      <c r="B444" t="s">
        <v>215</v>
      </c>
      <c r="C444" t="s">
        <v>880</v>
      </c>
      <c r="D444" t="s">
        <v>710</v>
      </c>
      <c r="E444" t="s">
        <v>711</v>
      </c>
      <c r="F444">
        <v>14.99</v>
      </c>
      <c r="G444">
        <v>4</v>
      </c>
      <c r="H444">
        <v>15</v>
      </c>
      <c r="I444">
        <v>12.74</v>
      </c>
      <c r="J444">
        <v>50.96</v>
      </c>
      <c r="K444" t="s">
        <v>682</v>
      </c>
      <c r="L444" t="s">
        <v>656</v>
      </c>
      <c r="M444">
        <v>3</v>
      </c>
    </row>
    <row r="445" spans="1:13" x14ac:dyDescent="0.25">
      <c r="A445" t="s">
        <v>1462</v>
      </c>
      <c r="B445" t="s">
        <v>215</v>
      </c>
      <c r="C445" t="s">
        <v>1463</v>
      </c>
      <c r="D445" t="s">
        <v>684</v>
      </c>
      <c r="E445" t="s">
        <v>705</v>
      </c>
      <c r="F445">
        <v>79.989999999999995</v>
      </c>
      <c r="G445">
        <v>2</v>
      </c>
      <c r="H445">
        <v>0</v>
      </c>
      <c r="I445">
        <v>79.989999999999995</v>
      </c>
      <c r="J445">
        <v>159.97999999999999</v>
      </c>
      <c r="K445" t="s">
        <v>675</v>
      </c>
      <c r="L445" t="s">
        <v>656</v>
      </c>
      <c r="M445">
        <v>3</v>
      </c>
    </row>
    <row r="446" spans="1:13" x14ac:dyDescent="0.25">
      <c r="A446" t="s">
        <v>1464</v>
      </c>
      <c r="B446" t="s">
        <v>215</v>
      </c>
      <c r="C446" t="s">
        <v>1465</v>
      </c>
      <c r="D446" t="s">
        <v>667</v>
      </c>
      <c r="E446" t="s">
        <v>714</v>
      </c>
      <c r="F446">
        <v>44.99</v>
      </c>
      <c r="G446">
        <v>4</v>
      </c>
      <c r="H446">
        <v>20</v>
      </c>
      <c r="I446">
        <v>35.99</v>
      </c>
      <c r="J446">
        <v>143.96</v>
      </c>
      <c r="K446" t="s">
        <v>682</v>
      </c>
      <c r="L446" t="s">
        <v>656</v>
      </c>
      <c r="M446">
        <v>4</v>
      </c>
    </row>
    <row r="447" spans="1:13" x14ac:dyDescent="0.25">
      <c r="A447" t="s">
        <v>1466</v>
      </c>
      <c r="B447" t="s">
        <v>215</v>
      </c>
      <c r="C447" t="s">
        <v>1467</v>
      </c>
      <c r="D447" t="s">
        <v>672</v>
      </c>
      <c r="E447" t="s">
        <v>735</v>
      </c>
      <c r="F447">
        <v>44.99</v>
      </c>
      <c r="G447">
        <v>1</v>
      </c>
      <c r="H447">
        <v>15</v>
      </c>
      <c r="I447">
        <v>38.24</v>
      </c>
      <c r="J447">
        <v>38.24</v>
      </c>
      <c r="K447" t="s">
        <v>682</v>
      </c>
      <c r="L447" t="s">
        <v>656</v>
      </c>
      <c r="M447">
        <v>4</v>
      </c>
    </row>
    <row r="448" spans="1:13" x14ac:dyDescent="0.25">
      <c r="A448" t="s">
        <v>1468</v>
      </c>
      <c r="B448" t="s">
        <v>215</v>
      </c>
      <c r="C448" t="s">
        <v>1231</v>
      </c>
      <c r="D448" t="s">
        <v>684</v>
      </c>
      <c r="E448" t="s">
        <v>815</v>
      </c>
      <c r="F448">
        <v>34.99</v>
      </c>
      <c r="G448">
        <v>2</v>
      </c>
      <c r="H448">
        <v>5</v>
      </c>
      <c r="I448">
        <v>33.24</v>
      </c>
      <c r="J448">
        <v>66.48</v>
      </c>
      <c r="K448" t="s">
        <v>669</v>
      </c>
      <c r="L448" t="s">
        <v>656</v>
      </c>
      <c r="M448">
        <v>4</v>
      </c>
    </row>
    <row r="449" spans="1:13" x14ac:dyDescent="0.25">
      <c r="A449" t="s">
        <v>1469</v>
      </c>
      <c r="B449" t="s">
        <v>215</v>
      </c>
      <c r="C449" t="s">
        <v>1470</v>
      </c>
      <c r="D449" t="s">
        <v>672</v>
      </c>
      <c r="E449" t="s">
        <v>735</v>
      </c>
      <c r="F449">
        <v>44.99</v>
      </c>
      <c r="G449">
        <v>1</v>
      </c>
      <c r="H449">
        <v>5</v>
      </c>
      <c r="I449">
        <v>42.74</v>
      </c>
      <c r="J449">
        <v>42.74</v>
      </c>
      <c r="K449" t="s">
        <v>661</v>
      </c>
      <c r="L449" t="s">
        <v>656</v>
      </c>
      <c r="M449">
        <v>5</v>
      </c>
    </row>
    <row r="450" spans="1:13" x14ac:dyDescent="0.25">
      <c r="A450" t="s">
        <v>1471</v>
      </c>
      <c r="B450" t="s">
        <v>215</v>
      </c>
      <c r="C450" t="s">
        <v>1472</v>
      </c>
      <c r="D450" t="s">
        <v>659</v>
      </c>
      <c r="E450" t="s">
        <v>762</v>
      </c>
      <c r="F450">
        <v>49.99</v>
      </c>
      <c r="G450">
        <v>2</v>
      </c>
      <c r="H450">
        <v>5</v>
      </c>
      <c r="I450">
        <v>47.49</v>
      </c>
      <c r="J450">
        <v>94.98</v>
      </c>
      <c r="K450" t="s">
        <v>675</v>
      </c>
      <c r="L450" t="s">
        <v>788</v>
      </c>
      <c r="M450">
        <v>3</v>
      </c>
    </row>
    <row r="451" spans="1:13" x14ac:dyDescent="0.25">
      <c r="A451" t="s">
        <v>1473</v>
      </c>
      <c r="B451" t="s">
        <v>215</v>
      </c>
      <c r="C451" t="s">
        <v>128</v>
      </c>
      <c r="D451" t="s">
        <v>653</v>
      </c>
      <c r="E451" t="s">
        <v>727</v>
      </c>
      <c r="F451">
        <v>14.99</v>
      </c>
      <c r="G451">
        <v>4</v>
      </c>
      <c r="H451">
        <v>10</v>
      </c>
      <c r="I451">
        <v>13.49</v>
      </c>
      <c r="J451">
        <v>53.96</v>
      </c>
      <c r="K451" t="s">
        <v>675</v>
      </c>
      <c r="L451" t="s">
        <v>656</v>
      </c>
      <c r="M451">
        <v>4</v>
      </c>
    </row>
    <row r="452" spans="1:13" x14ac:dyDescent="0.25">
      <c r="A452" t="s">
        <v>1474</v>
      </c>
      <c r="B452" t="s">
        <v>215</v>
      </c>
      <c r="C452" t="s">
        <v>1475</v>
      </c>
      <c r="D452" t="s">
        <v>659</v>
      </c>
      <c r="E452" t="s">
        <v>820</v>
      </c>
      <c r="F452">
        <v>39.99</v>
      </c>
      <c r="G452">
        <v>4</v>
      </c>
      <c r="H452">
        <v>0</v>
      </c>
      <c r="I452">
        <v>39.99</v>
      </c>
      <c r="J452">
        <v>159.96</v>
      </c>
      <c r="K452" t="s">
        <v>661</v>
      </c>
      <c r="L452" t="s">
        <v>656</v>
      </c>
    </row>
    <row r="453" spans="1:13" x14ac:dyDescent="0.25">
      <c r="A453" t="s">
        <v>1476</v>
      </c>
      <c r="B453" t="s">
        <v>215</v>
      </c>
      <c r="C453" t="s">
        <v>170</v>
      </c>
      <c r="D453" t="s">
        <v>667</v>
      </c>
      <c r="E453" t="s">
        <v>668</v>
      </c>
      <c r="F453">
        <v>64.989999999999995</v>
      </c>
      <c r="G453">
        <v>2</v>
      </c>
      <c r="H453">
        <v>0</v>
      </c>
      <c r="I453">
        <v>64.989999999999995</v>
      </c>
      <c r="J453">
        <v>129.97999999999999</v>
      </c>
      <c r="K453" t="s">
        <v>669</v>
      </c>
      <c r="L453" t="s">
        <v>693</v>
      </c>
    </row>
    <row r="454" spans="1:13" x14ac:dyDescent="0.25">
      <c r="A454" t="s">
        <v>1477</v>
      </c>
      <c r="B454" t="s">
        <v>218</v>
      </c>
      <c r="C454" t="s">
        <v>917</v>
      </c>
      <c r="D454" t="s">
        <v>684</v>
      </c>
      <c r="E454" t="s">
        <v>685</v>
      </c>
      <c r="F454">
        <v>49.99</v>
      </c>
      <c r="G454">
        <v>4</v>
      </c>
      <c r="H454">
        <v>0</v>
      </c>
      <c r="I454">
        <v>49.99</v>
      </c>
      <c r="J454">
        <v>199.96</v>
      </c>
      <c r="K454" t="s">
        <v>655</v>
      </c>
      <c r="L454" t="s">
        <v>656</v>
      </c>
      <c r="M454">
        <v>4</v>
      </c>
    </row>
    <row r="455" spans="1:13" x14ac:dyDescent="0.25">
      <c r="A455" t="s">
        <v>1478</v>
      </c>
      <c r="B455" t="s">
        <v>218</v>
      </c>
      <c r="C455" t="s">
        <v>1479</v>
      </c>
      <c r="D455" t="s">
        <v>684</v>
      </c>
      <c r="E455" t="s">
        <v>705</v>
      </c>
      <c r="F455">
        <v>79.989999999999995</v>
      </c>
      <c r="G455">
        <v>3</v>
      </c>
      <c r="H455">
        <v>0</v>
      </c>
      <c r="I455">
        <v>79.989999999999995</v>
      </c>
      <c r="J455">
        <v>239.97</v>
      </c>
      <c r="K455" t="s">
        <v>655</v>
      </c>
      <c r="L455" t="s">
        <v>656</v>
      </c>
      <c r="M455">
        <v>5</v>
      </c>
    </row>
    <row r="456" spans="1:13" x14ac:dyDescent="0.25">
      <c r="A456" t="s">
        <v>1480</v>
      </c>
      <c r="B456" t="s">
        <v>218</v>
      </c>
      <c r="C456" t="s">
        <v>636</v>
      </c>
      <c r="D456" t="s">
        <v>672</v>
      </c>
      <c r="E456" t="s">
        <v>735</v>
      </c>
      <c r="F456">
        <v>44.99</v>
      </c>
      <c r="G456">
        <v>2</v>
      </c>
      <c r="H456">
        <v>15</v>
      </c>
      <c r="I456">
        <v>38.24</v>
      </c>
      <c r="J456">
        <v>76.48</v>
      </c>
      <c r="K456" t="s">
        <v>655</v>
      </c>
      <c r="L456" t="s">
        <v>656</v>
      </c>
      <c r="M456">
        <v>5</v>
      </c>
    </row>
    <row r="457" spans="1:13" x14ac:dyDescent="0.25">
      <c r="A457" t="s">
        <v>1481</v>
      </c>
      <c r="B457" t="s">
        <v>218</v>
      </c>
      <c r="C457" t="s">
        <v>1482</v>
      </c>
      <c r="D457" t="s">
        <v>672</v>
      </c>
      <c r="E457" t="s">
        <v>724</v>
      </c>
      <c r="F457">
        <v>89.99</v>
      </c>
      <c r="G457">
        <v>3</v>
      </c>
      <c r="H457">
        <v>5</v>
      </c>
      <c r="I457">
        <v>85.49</v>
      </c>
      <c r="J457">
        <v>256.47000000000003</v>
      </c>
      <c r="K457" t="s">
        <v>661</v>
      </c>
      <c r="L457" t="s">
        <v>788</v>
      </c>
      <c r="M457">
        <v>3</v>
      </c>
    </row>
    <row r="458" spans="1:13" x14ac:dyDescent="0.25">
      <c r="A458" t="s">
        <v>1483</v>
      </c>
      <c r="B458" t="s">
        <v>218</v>
      </c>
      <c r="C458" t="s">
        <v>1484</v>
      </c>
      <c r="D458" t="s">
        <v>710</v>
      </c>
      <c r="E458" t="s">
        <v>730</v>
      </c>
      <c r="F458">
        <v>39.99</v>
      </c>
      <c r="G458">
        <v>4</v>
      </c>
      <c r="H458">
        <v>0</v>
      </c>
      <c r="I458">
        <v>39.99</v>
      </c>
      <c r="J458">
        <v>159.96</v>
      </c>
      <c r="K458" t="s">
        <v>661</v>
      </c>
      <c r="L458" t="s">
        <v>656</v>
      </c>
      <c r="M458">
        <v>4</v>
      </c>
    </row>
    <row r="459" spans="1:13" x14ac:dyDescent="0.25">
      <c r="A459" t="s">
        <v>1485</v>
      </c>
      <c r="B459" t="s">
        <v>218</v>
      </c>
      <c r="C459" t="s">
        <v>968</v>
      </c>
      <c r="D459" t="s">
        <v>684</v>
      </c>
      <c r="E459" t="s">
        <v>685</v>
      </c>
      <c r="F459">
        <v>49.99</v>
      </c>
      <c r="G459">
        <v>3</v>
      </c>
      <c r="H459">
        <v>0</v>
      </c>
      <c r="I459">
        <v>49.99</v>
      </c>
      <c r="J459">
        <v>149.97</v>
      </c>
      <c r="K459" t="s">
        <v>661</v>
      </c>
      <c r="L459" t="s">
        <v>656</v>
      </c>
      <c r="M459">
        <v>5</v>
      </c>
    </row>
    <row r="460" spans="1:13" x14ac:dyDescent="0.25">
      <c r="A460" t="s">
        <v>1486</v>
      </c>
      <c r="B460" t="s">
        <v>218</v>
      </c>
      <c r="C460" t="s">
        <v>538</v>
      </c>
      <c r="D460" t="s">
        <v>680</v>
      </c>
      <c r="E460" t="s">
        <v>749</v>
      </c>
      <c r="F460">
        <v>14.99</v>
      </c>
      <c r="G460">
        <v>4</v>
      </c>
      <c r="H460">
        <v>10</v>
      </c>
      <c r="I460">
        <v>13.49</v>
      </c>
      <c r="J460">
        <v>53.96</v>
      </c>
      <c r="K460" t="s">
        <v>669</v>
      </c>
      <c r="L460" t="s">
        <v>656</v>
      </c>
      <c r="M460">
        <v>5</v>
      </c>
    </row>
    <row r="461" spans="1:13" x14ac:dyDescent="0.25">
      <c r="A461" t="s">
        <v>1487</v>
      </c>
      <c r="B461" t="s">
        <v>218</v>
      </c>
      <c r="C461" t="s">
        <v>1488</v>
      </c>
      <c r="D461" t="s">
        <v>653</v>
      </c>
      <c r="E461" t="s">
        <v>769</v>
      </c>
      <c r="F461">
        <v>49.99</v>
      </c>
      <c r="G461">
        <v>2</v>
      </c>
      <c r="H461">
        <v>20</v>
      </c>
      <c r="I461">
        <v>39.99</v>
      </c>
      <c r="J461">
        <v>79.98</v>
      </c>
      <c r="K461" t="s">
        <v>675</v>
      </c>
      <c r="L461" t="s">
        <v>656</v>
      </c>
      <c r="M461">
        <v>5</v>
      </c>
    </row>
    <row r="462" spans="1:13" x14ac:dyDescent="0.25">
      <c r="A462" t="s">
        <v>1489</v>
      </c>
      <c r="B462" t="s">
        <v>218</v>
      </c>
      <c r="C462" t="s">
        <v>286</v>
      </c>
      <c r="D462" t="s">
        <v>710</v>
      </c>
      <c r="E462" t="s">
        <v>744</v>
      </c>
      <c r="F462">
        <v>29.99</v>
      </c>
      <c r="G462">
        <v>2</v>
      </c>
      <c r="H462">
        <v>20</v>
      </c>
      <c r="I462">
        <v>23.99</v>
      </c>
      <c r="J462">
        <v>47.98</v>
      </c>
      <c r="K462" t="s">
        <v>675</v>
      </c>
      <c r="L462" t="s">
        <v>656</v>
      </c>
    </row>
    <row r="463" spans="1:13" x14ac:dyDescent="0.25">
      <c r="A463" t="s">
        <v>1490</v>
      </c>
      <c r="B463" t="s">
        <v>218</v>
      </c>
      <c r="C463" t="s">
        <v>1050</v>
      </c>
      <c r="D463" t="s">
        <v>672</v>
      </c>
      <c r="E463" t="s">
        <v>724</v>
      </c>
      <c r="F463">
        <v>89.99</v>
      </c>
      <c r="G463">
        <v>1</v>
      </c>
      <c r="H463">
        <v>0</v>
      </c>
      <c r="I463">
        <v>89.99</v>
      </c>
      <c r="J463">
        <v>89.99</v>
      </c>
      <c r="K463" t="s">
        <v>682</v>
      </c>
      <c r="L463" t="s">
        <v>785</v>
      </c>
      <c r="M463">
        <v>4</v>
      </c>
    </row>
    <row r="464" spans="1:13" x14ac:dyDescent="0.25">
      <c r="A464" t="s">
        <v>1491</v>
      </c>
      <c r="B464" t="s">
        <v>218</v>
      </c>
      <c r="C464" t="s">
        <v>1492</v>
      </c>
      <c r="D464" t="s">
        <v>659</v>
      </c>
      <c r="E464" t="s">
        <v>660</v>
      </c>
      <c r="F464">
        <v>19.989999999999998</v>
      </c>
      <c r="G464">
        <v>3</v>
      </c>
      <c r="H464">
        <v>0</v>
      </c>
      <c r="I464">
        <v>19.989999999999998</v>
      </c>
      <c r="J464">
        <v>59.97</v>
      </c>
      <c r="K464" t="s">
        <v>661</v>
      </c>
      <c r="L464" t="s">
        <v>656</v>
      </c>
    </row>
    <row r="465" spans="1:13" x14ac:dyDescent="0.25">
      <c r="A465" t="s">
        <v>1493</v>
      </c>
      <c r="B465" t="s">
        <v>221</v>
      </c>
      <c r="C465" t="s">
        <v>1494</v>
      </c>
      <c r="D465" t="s">
        <v>667</v>
      </c>
      <c r="E465" t="s">
        <v>696</v>
      </c>
      <c r="F465">
        <v>59.99</v>
      </c>
      <c r="G465">
        <v>4</v>
      </c>
      <c r="H465">
        <v>5</v>
      </c>
      <c r="I465">
        <v>56.99</v>
      </c>
      <c r="J465">
        <v>227.96</v>
      </c>
      <c r="K465" t="s">
        <v>655</v>
      </c>
      <c r="L465" t="s">
        <v>656</v>
      </c>
      <c r="M465">
        <v>5</v>
      </c>
    </row>
    <row r="466" spans="1:13" x14ac:dyDescent="0.25">
      <c r="A466" t="s">
        <v>1495</v>
      </c>
      <c r="B466" t="s">
        <v>221</v>
      </c>
      <c r="C466" t="s">
        <v>1496</v>
      </c>
      <c r="D466" t="s">
        <v>653</v>
      </c>
      <c r="E466" t="s">
        <v>727</v>
      </c>
      <c r="F466">
        <v>14.99</v>
      </c>
      <c r="G466">
        <v>2</v>
      </c>
      <c r="H466">
        <v>5</v>
      </c>
      <c r="I466">
        <v>14.24</v>
      </c>
      <c r="J466">
        <v>28.48</v>
      </c>
      <c r="K466" t="s">
        <v>655</v>
      </c>
      <c r="L466" t="s">
        <v>656</v>
      </c>
      <c r="M466">
        <v>5</v>
      </c>
    </row>
    <row r="467" spans="1:13" x14ac:dyDescent="0.25">
      <c r="A467" t="s">
        <v>1497</v>
      </c>
      <c r="B467" t="s">
        <v>221</v>
      </c>
      <c r="C467" t="s">
        <v>1498</v>
      </c>
      <c r="D467" t="s">
        <v>659</v>
      </c>
      <c r="E467" t="s">
        <v>762</v>
      </c>
      <c r="F467">
        <v>49.99</v>
      </c>
      <c r="G467">
        <v>1</v>
      </c>
      <c r="H467">
        <v>20</v>
      </c>
      <c r="I467">
        <v>39.99</v>
      </c>
      <c r="J467">
        <v>39.99</v>
      </c>
      <c r="K467" t="s">
        <v>661</v>
      </c>
      <c r="L467" t="s">
        <v>656</v>
      </c>
      <c r="M467">
        <v>5</v>
      </c>
    </row>
    <row r="468" spans="1:13" x14ac:dyDescent="0.25">
      <c r="A468" t="s">
        <v>1499</v>
      </c>
      <c r="B468" t="s">
        <v>221</v>
      </c>
      <c r="C468" t="s">
        <v>1167</v>
      </c>
      <c r="D468" t="s">
        <v>659</v>
      </c>
      <c r="E468" t="s">
        <v>820</v>
      </c>
      <c r="F468">
        <v>39.99</v>
      </c>
      <c r="G468">
        <v>2</v>
      </c>
      <c r="H468">
        <v>0</v>
      </c>
      <c r="I468">
        <v>39.99</v>
      </c>
      <c r="J468">
        <v>79.98</v>
      </c>
      <c r="K468" t="s">
        <v>682</v>
      </c>
      <c r="L468" t="s">
        <v>656</v>
      </c>
      <c r="M468">
        <v>4</v>
      </c>
    </row>
    <row r="469" spans="1:13" x14ac:dyDescent="0.25">
      <c r="A469" t="s">
        <v>1500</v>
      </c>
      <c r="B469" t="s">
        <v>221</v>
      </c>
      <c r="C469" t="s">
        <v>773</v>
      </c>
      <c r="D469" t="s">
        <v>710</v>
      </c>
      <c r="E469" t="s">
        <v>744</v>
      </c>
      <c r="F469">
        <v>29.99</v>
      </c>
      <c r="G469">
        <v>4</v>
      </c>
      <c r="H469">
        <v>0</v>
      </c>
      <c r="I469">
        <v>29.99</v>
      </c>
      <c r="J469">
        <v>119.96</v>
      </c>
      <c r="K469" t="s">
        <v>661</v>
      </c>
      <c r="L469" t="s">
        <v>656</v>
      </c>
      <c r="M469">
        <v>4</v>
      </c>
    </row>
    <row r="470" spans="1:13" x14ac:dyDescent="0.25">
      <c r="A470" t="s">
        <v>1501</v>
      </c>
      <c r="B470" t="s">
        <v>221</v>
      </c>
      <c r="C470" t="s">
        <v>196</v>
      </c>
      <c r="D470" t="s">
        <v>684</v>
      </c>
      <c r="E470" t="s">
        <v>702</v>
      </c>
      <c r="F470">
        <v>199.99</v>
      </c>
      <c r="G470">
        <v>3</v>
      </c>
      <c r="H470">
        <v>0</v>
      </c>
      <c r="I470">
        <v>199.99</v>
      </c>
      <c r="J470">
        <v>599.97</v>
      </c>
      <c r="K470" t="s">
        <v>661</v>
      </c>
      <c r="L470" t="s">
        <v>656</v>
      </c>
    </row>
    <row r="471" spans="1:13" x14ac:dyDescent="0.25">
      <c r="A471" t="s">
        <v>1502</v>
      </c>
      <c r="B471" t="s">
        <v>221</v>
      </c>
      <c r="C471" t="s">
        <v>1503</v>
      </c>
      <c r="D471" t="s">
        <v>672</v>
      </c>
      <c r="E471" t="s">
        <v>724</v>
      </c>
      <c r="F471">
        <v>89.99</v>
      </c>
      <c r="G471">
        <v>4</v>
      </c>
      <c r="H471">
        <v>10</v>
      </c>
      <c r="I471">
        <v>80.989999999999995</v>
      </c>
      <c r="J471">
        <v>323.95999999999998</v>
      </c>
      <c r="K471" t="s">
        <v>669</v>
      </c>
      <c r="L471" t="s">
        <v>739</v>
      </c>
    </row>
    <row r="472" spans="1:13" x14ac:dyDescent="0.25">
      <c r="A472" t="s">
        <v>1504</v>
      </c>
      <c r="B472" t="s">
        <v>221</v>
      </c>
      <c r="C472" t="s">
        <v>1005</v>
      </c>
      <c r="D472" t="s">
        <v>667</v>
      </c>
      <c r="E472" t="s">
        <v>696</v>
      </c>
      <c r="F472">
        <v>59.99</v>
      </c>
      <c r="G472">
        <v>3</v>
      </c>
      <c r="H472">
        <v>5</v>
      </c>
      <c r="I472">
        <v>56.99</v>
      </c>
      <c r="J472">
        <v>170.97</v>
      </c>
      <c r="K472" t="s">
        <v>682</v>
      </c>
      <c r="L472" t="s">
        <v>656</v>
      </c>
    </row>
    <row r="473" spans="1:13" x14ac:dyDescent="0.25">
      <c r="A473" t="s">
        <v>1505</v>
      </c>
      <c r="B473" t="s">
        <v>221</v>
      </c>
      <c r="C473" t="s">
        <v>1506</v>
      </c>
      <c r="D473" t="s">
        <v>680</v>
      </c>
      <c r="E473" t="s">
        <v>708</v>
      </c>
      <c r="F473">
        <v>24.99</v>
      </c>
      <c r="G473">
        <v>4</v>
      </c>
      <c r="H473">
        <v>15</v>
      </c>
      <c r="I473">
        <v>21.24</v>
      </c>
      <c r="J473">
        <v>84.96</v>
      </c>
      <c r="K473" t="s">
        <v>675</v>
      </c>
      <c r="L473" t="s">
        <v>656</v>
      </c>
      <c r="M473">
        <v>4</v>
      </c>
    </row>
    <row r="474" spans="1:13" x14ac:dyDescent="0.25">
      <c r="A474" t="s">
        <v>1507</v>
      </c>
      <c r="B474" t="s">
        <v>221</v>
      </c>
      <c r="C474" t="s">
        <v>1508</v>
      </c>
      <c r="D474" t="s">
        <v>653</v>
      </c>
      <c r="E474" t="s">
        <v>727</v>
      </c>
      <c r="F474">
        <v>14.99</v>
      </c>
      <c r="G474">
        <v>2</v>
      </c>
      <c r="H474">
        <v>0</v>
      </c>
      <c r="I474">
        <v>14.99</v>
      </c>
      <c r="J474">
        <v>29.98</v>
      </c>
      <c r="K474" t="s">
        <v>675</v>
      </c>
      <c r="L474" t="s">
        <v>656</v>
      </c>
      <c r="M474">
        <v>3</v>
      </c>
    </row>
    <row r="475" spans="1:13" x14ac:dyDescent="0.25">
      <c r="A475" t="s">
        <v>1509</v>
      </c>
      <c r="B475" t="s">
        <v>221</v>
      </c>
      <c r="C475" t="s">
        <v>1510</v>
      </c>
      <c r="D475" t="s">
        <v>710</v>
      </c>
      <c r="E475" t="s">
        <v>744</v>
      </c>
      <c r="F475">
        <v>29.99</v>
      </c>
      <c r="G475">
        <v>3</v>
      </c>
      <c r="H475">
        <v>5</v>
      </c>
      <c r="I475">
        <v>28.49</v>
      </c>
      <c r="J475">
        <v>85.47</v>
      </c>
      <c r="K475" t="s">
        <v>675</v>
      </c>
      <c r="L475" t="s">
        <v>656</v>
      </c>
    </row>
    <row r="476" spans="1:13" x14ac:dyDescent="0.25">
      <c r="A476" t="s">
        <v>1511</v>
      </c>
      <c r="B476" t="s">
        <v>221</v>
      </c>
      <c r="C476" t="s">
        <v>1403</v>
      </c>
      <c r="D476" t="s">
        <v>684</v>
      </c>
      <c r="E476" t="s">
        <v>685</v>
      </c>
      <c r="F476">
        <v>49.99</v>
      </c>
      <c r="G476">
        <v>4</v>
      </c>
      <c r="H476">
        <v>10</v>
      </c>
      <c r="I476">
        <v>44.99</v>
      </c>
      <c r="J476">
        <v>179.96</v>
      </c>
      <c r="K476" t="s">
        <v>669</v>
      </c>
      <c r="L476" t="s">
        <v>656</v>
      </c>
    </row>
    <row r="477" spans="1:13" x14ac:dyDescent="0.25">
      <c r="A477" t="s">
        <v>1512</v>
      </c>
      <c r="B477" t="s">
        <v>221</v>
      </c>
      <c r="C477" t="s">
        <v>891</v>
      </c>
      <c r="D477" t="s">
        <v>659</v>
      </c>
      <c r="E477" t="s">
        <v>664</v>
      </c>
      <c r="F477">
        <v>24.99</v>
      </c>
      <c r="G477">
        <v>2</v>
      </c>
      <c r="H477">
        <v>5</v>
      </c>
      <c r="I477">
        <v>23.74</v>
      </c>
      <c r="J477">
        <v>47.48</v>
      </c>
      <c r="K477" t="s">
        <v>669</v>
      </c>
      <c r="L477" t="s">
        <v>656</v>
      </c>
      <c r="M477">
        <v>4</v>
      </c>
    </row>
    <row r="478" spans="1:13" x14ac:dyDescent="0.25">
      <c r="A478" t="s">
        <v>1513</v>
      </c>
      <c r="B478" t="s">
        <v>224</v>
      </c>
      <c r="C478" t="s">
        <v>1370</v>
      </c>
      <c r="D478" t="s">
        <v>680</v>
      </c>
      <c r="E478" t="s">
        <v>681</v>
      </c>
      <c r="F478">
        <v>19.989999999999998</v>
      </c>
      <c r="G478">
        <v>4</v>
      </c>
      <c r="H478">
        <v>5</v>
      </c>
      <c r="I478">
        <v>18.989999999999998</v>
      </c>
      <c r="J478">
        <v>75.959999999999994</v>
      </c>
      <c r="K478" t="s">
        <v>655</v>
      </c>
      <c r="L478" t="s">
        <v>656</v>
      </c>
      <c r="M478">
        <v>4</v>
      </c>
    </row>
    <row r="479" spans="1:13" x14ac:dyDescent="0.25">
      <c r="A479" t="s">
        <v>1514</v>
      </c>
      <c r="B479" t="s">
        <v>224</v>
      </c>
      <c r="C479" t="s">
        <v>930</v>
      </c>
      <c r="D479" t="s">
        <v>653</v>
      </c>
      <c r="E479" t="s">
        <v>727</v>
      </c>
      <c r="F479">
        <v>14.99</v>
      </c>
      <c r="G479">
        <v>4</v>
      </c>
      <c r="H479">
        <v>15</v>
      </c>
      <c r="I479">
        <v>12.74</v>
      </c>
      <c r="J479">
        <v>50.96</v>
      </c>
      <c r="K479" t="s">
        <v>661</v>
      </c>
      <c r="L479" t="s">
        <v>656</v>
      </c>
      <c r="M479">
        <v>4</v>
      </c>
    </row>
    <row r="480" spans="1:13" x14ac:dyDescent="0.25">
      <c r="A480" t="s">
        <v>1515</v>
      </c>
      <c r="B480" t="s">
        <v>224</v>
      </c>
      <c r="C480" t="s">
        <v>1414</v>
      </c>
      <c r="D480" t="s">
        <v>659</v>
      </c>
      <c r="E480" t="s">
        <v>660</v>
      </c>
      <c r="F480">
        <v>19.989999999999998</v>
      </c>
      <c r="G480">
        <v>3</v>
      </c>
      <c r="H480">
        <v>0</v>
      </c>
      <c r="I480">
        <v>19.989999999999998</v>
      </c>
      <c r="J480">
        <v>59.97</v>
      </c>
      <c r="K480" t="s">
        <v>669</v>
      </c>
      <c r="L480" t="s">
        <v>656</v>
      </c>
    </row>
    <row r="481" spans="1:13" x14ac:dyDescent="0.25">
      <c r="A481" t="s">
        <v>1516</v>
      </c>
      <c r="B481" t="s">
        <v>224</v>
      </c>
      <c r="C481" t="s">
        <v>151</v>
      </c>
      <c r="D481" t="s">
        <v>667</v>
      </c>
      <c r="E481" t="s">
        <v>668</v>
      </c>
      <c r="F481">
        <v>64.989999999999995</v>
      </c>
      <c r="G481">
        <v>1</v>
      </c>
      <c r="H481">
        <v>10</v>
      </c>
      <c r="I481">
        <v>58.49</v>
      </c>
      <c r="J481">
        <v>58.49</v>
      </c>
      <c r="K481" t="s">
        <v>661</v>
      </c>
      <c r="L481" t="s">
        <v>656</v>
      </c>
    </row>
    <row r="482" spans="1:13" x14ac:dyDescent="0.25">
      <c r="A482" t="s">
        <v>1517</v>
      </c>
      <c r="B482" t="s">
        <v>224</v>
      </c>
      <c r="C482" t="s">
        <v>1518</v>
      </c>
      <c r="D482" t="s">
        <v>667</v>
      </c>
      <c r="E482" t="s">
        <v>699</v>
      </c>
      <c r="F482">
        <v>89.99</v>
      </c>
      <c r="G482">
        <v>3</v>
      </c>
      <c r="H482">
        <v>5</v>
      </c>
      <c r="I482">
        <v>85.49</v>
      </c>
      <c r="J482">
        <v>256.47000000000003</v>
      </c>
      <c r="K482" t="s">
        <v>675</v>
      </c>
      <c r="L482" t="s">
        <v>656</v>
      </c>
      <c r="M482">
        <v>5</v>
      </c>
    </row>
    <row r="483" spans="1:13" x14ac:dyDescent="0.25">
      <c r="A483" t="s">
        <v>1519</v>
      </c>
      <c r="B483" t="s">
        <v>224</v>
      </c>
      <c r="C483" t="s">
        <v>1520</v>
      </c>
      <c r="D483" t="s">
        <v>684</v>
      </c>
      <c r="E483" t="s">
        <v>815</v>
      </c>
      <c r="F483">
        <v>34.99</v>
      </c>
      <c r="G483">
        <v>1</v>
      </c>
      <c r="H483">
        <v>0</v>
      </c>
      <c r="I483">
        <v>34.99</v>
      </c>
      <c r="J483">
        <v>34.99</v>
      </c>
      <c r="K483" t="s">
        <v>682</v>
      </c>
      <c r="L483" t="s">
        <v>656</v>
      </c>
      <c r="M483">
        <v>5</v>
      </c>
    </row>
    <row r="484" spans="1:13" x14ac:dyDescent="0.25">
      <c r="A484" t="s">
        <v>1521</v>
      </c>
      <c r="B484" t="s">
        <v>224</v>
      </c>
      <c r="C484" t="s">
        <v>377</v>
      </c>
      <c r="D484" t="s">
        <v>667</v>
      </c>
      <c r="E484" t="s">
        <v>668</v>
      </c>
      <c r="F484">
        <v>64.989999999999995</v>
      </c>
      <c r="G484">
        <v>4</v>
      </c>
      <c r="H484">
        <v>0</v>
      </c>
      <c r="I484">
        <v>64.989999999999995</v>
      </c>
      <c r="J484">
        <v>259.95999999999998</v>
      </c>
      <c r="K484" t="s">
        <v>682</v>
      </c>
      <c r="L484" t="s">
        <v>656</v>
      </c>
    </row>
    <row r="485" spans="1:13" x14ac:dyDescent="0.25">
      <c r="A485" t="s">
        <v>1522</v>
      </c>
      <c r="B485" t="s">
        <v>224</v>
      </c>
      <c r="C485" t="s">
        <v>1523</v>
      </c>
      <c r="D485" t="s">
        <v>672</v>
      </c>
      <c r="E485" t="s">
        <v>803</v>
      </c>
      <c r="F485">
        <v>69.989999999999995</v>
      </c>
      <c r="G485">
        <v>1</v>
      </c>
      <c r="H485">
        <v>15</v>
      </c>
      <c r="I485">
        <v>59.49</v>
      </c>
      <c r="J485">
        <v>59.49</v>
      </c>
      <c r="K485" t="s">
        <v>675</v>
      </c>
      <c r="L485" t="s">
        <v>656</v>
      </c>
      <c r="M485">
        <v>4</v>
      </c>
    </row>
    <row r="486" spans="1:13" x14ac:dyDescent="0.25">
      <c r="A486" t="s">
        <v>1524</v>
      </c>
      <c r="B486" t="s">
        <v>224</v>
      </c>
      <c r="C486" t="s">
        <v>1525</v>
      </c>
      <c r="D486" t="s">
        <v>659</v>
      </c>
      <c r="E486" t="s">
        <v>660</v>
      </c>
      <c r="F486">
        <v>19.989999999999998</v>
      </c>
      <c r="G486">
        <v>3</v>
      </c>
      <c r="H486">
        <v>10</v>
      </c>
      <c r="I486">
        <v>17.989999999999998</v>
      </c>
      <c r="J486">
        <v>53.97</v>
      </c>
      <c r="K486" t="s">
        <v>675</v>
      </c>
      <c r="L486" t="s">
        <v>656</v>
      </c>
      <c r="M486">
        <v>4</v>
      </c>
    </row>
    <row r="487" spans="1:13" x14ac:dyDescent="0.25">
      <c r="A487" t="s">
        <v>1526</v>
      </c>
      <c r="B487" t="s">
        <v>224</v>
      </c>
      <c r="C487" t="s">
        <v>1527</v>
      </c>
      <c r="D487" t="s">
        <v>680</v>
      </c>
      <c r="E487" t="s">
        <v>708</v>
      </c>
      <c r="F487">
        <v>24.99</v>
      </c>
      <c r="G487">
        <v>3</v>
      </c>
      <c r="H487">
        <v>15</v>
      </c>
      <c r="I487">
        <v>21.24</v>
      </c>
      <c r="J487">
        <v>63.72</v>
      </c>
      <c r="K487" t="s">
        <v>682</v>
      </c>
      <c r="L487" t="s">
        <v>656</v>
      </c>
      <c r="M487">
        <v>4</v>
      </c>
    </row>
    <row r="488" spans="1:13" x14ac:dyDescent="0.25">
      <c r="A488" t="s">
        <v>1528</v>
      </c>
      <c r="B488" t="s">
        <v>224</v>
      </c>
      <c r="C488" t="s">
        <v>1529</v>
      </c>
      <c r="D488" t="s">
        <v>659</v>
      </c>
      <c r="E488" t="s">
        <v>820</v>
      </c>
      <c r="F488">
        <v>39.99</v>
      </c>
      <c r="G488">
        <v>3</v>
      </c>
      <c r="H488">
        <v>0</v>
      </c>
      <c r="I488">
        <v>39.99</v>
      </c>
      <c r="J488">
        <v>119.97</v>
      </c>
      <c r="K488" t="s">
        <v>682</v>
      </c>
      <c r="L488" t="s">
        <v>656</v>
      </c>
    </row>
    <row r="489" spans="1:13" x14ac:dyDescent="0.25">
      <c r="A489" t="s">
        <v>1530</v>
      </c>
      <c r="B489" t="s">
        <v>224</v>
      </c>
      <c r="C489" t="s">
        <v>1531</v>
      </c>
      <c r="D489" t="s">
        <v>667</v>
      </c>
      <c r="E489" t="s">
        <v>696</v>
      </c>
      <c r="F489">
        <v>59.99</v>
      </c>
      <c r="G489">
        <v>2</v>
      </c>
      <c r="H489">
        <v>15</v>
      </c>
      <c r="I489">
        <v>50.99</v>
      </c>
      <c r="J489">
        <v>101.98</v>
      </c>
      <c r="K489" t="s">
        <v>655</v>
      </c>
      <c r="L489" t="s">
        <v>656</v>
      </c>
      <c r="M489">
        <v>5</v>
      </c>
    </row>
    <row r="490" spans="1:13" x14ac:dyDescent="0.25">
      <c r="A490" t="s">
        <v>1532</v>
      </c>
      <c r="B490" t="s">
        <v>224</v>
      </c>
      <c r="C490" t="s">
        <v>1533</v>
      </c>
      <c r="D490" t="s">
        <v>653</v>
      </c>
      <c r="E490" t="s">
        <v>769</v>
      </c>
      <c r="F490">
        <v>49.99</v>
      </c>
      <c r="G490">
        <v>1</v>
      </c>
      <c r="H490">
        <v>0</v>
      </c>
      <c r="I490">
        <v>49.99</v>
      </c>
      <c r="J490">
        <v>49.99</v>
      </c>
      <c r="K490" t="s">
        <v>669</v>
      </c>
      <c r="L490" t="s">
        <v>656</v>
      </c>
      <c r="M490">
        <v>2</v>
      </c>
    </row>
    <row r="491" spans="1:13" x14ac:dyDescent="0.25">
      <c r="A491" t="s">
        <v>1534</v>
      </c>
      <c r="B491" t="s">
        <v>227</v>
      </c>
      <c r="C491" t="s">
        <v>1064</v>
      </c>
      <c r="D491" t="s">
        <v>680</v>
      </c>
      <c r="E491" t="s">
        <v>749</v>
      </c>
      <c r="F491">
        <v>14.99</v>
      </c>
      <c r="G491">
        <v>2</v>
      </c>
      <c r="H491">
        <v>0</v>
      </c>
      <c r="I491">
        <v>14.99</v>
      </c>
      <c r="J491">
        <v>29.98</v>
      </c>
      <c r="K491" t="s">
        <v>661</v>
      </c>
      <c r="L491" t="s">
        <v>656</v>
      </c>
      <c r="M491">
        <v>5</v>
      </c>
    </row>
    <row r="492" spans="1:13" x14ac:dyDescent="0.25">
      <c r="A492" t="s">
        <v>1535</v>
      </c>
      <c r="B492" t="s">
        <v>227</v>
      </c>
      <c r="C492" t="s">
        <v>1536</v>
      </c>
      <c r="D492" t="s">
        <v>710</v>
      </c>
      <c r="E492" t="s">
        <v>721</v>
      </c>
      <c r="F492">
        <v>24.99</v>
      </c>
      <c r="G492">
        <v>3</v>
      </c>
      <c r="H492">
        <v>15</v>
      </c>
      <c r="I492">
        <v>21.24</v>
      </c>
      <c r="J492">
        <v>63.72</v>
      </c>
      <c r="K492" t="s">
        <v>669</v>
      </c>
      <c r="L492" t="s">
        <v>656</v>
      </c>
    </row>
    <row r="493" spans="1:13" x14ac:dyDescent="0.25">
      <c r="A493" t="s">
        <v>1537</v>
      </c>
      <c r="B493" t="s">
        <v>227</v>
      </c>
      <c r="C493" t="s">
        <v>981</v>
      </c>
      <c r="D493" t="s">
        <v>653</v>
      </c>
      <c r="E493" t="s">
        <v>827</v>
      </c>
      <c r="F493">
        <v>29.99</v>
      </c>
      <c r="G493">
        <v>1</v>
      </c>
      <c r="H493">
        <v>0</v>
      </c>
      <c r="I493">
        <v>29.99</v>
      </c>
      <c r="J493">
        <v>29.99</v>
      </c>
      <c r="K493" t="s">
        <v>661</v>
      </c>
      <c r="L493" t="s">
        <v>656</v>
      </c>
    </row>
    <row r="494" spans="1:13" x14ac:dyDescent="0.25">
      <c r="A494" t="s">
        <v>1538</v>
      </c>
      <c r="B494" t="s">
        <v>227</v>
      </c>
      <c r="C494" t="s">
        <v>1539</v>
      </c>
      <c r="D494" t="s">
        <v>659</v>
      </c>
      <c r="E494" t="s">
        <v>820</v>
      </c>
      <c r="F494">
        <v>39.99</v>
      </c>
      <c r="G494">
        <v>2</v>
      </c>
      <c r="H494">
        <v>15</v>
      </c>
      <c r="I494">
        <v>33.99</v>
      </c>
      <c r="J494">
        <v>67.98</v>
      </c>
      <c r="K494" t="s">
        <v>682</v>
      </c>
      <c r="L494" t="s">
        <v>656</v>
      </c>
      <c r="M494">
        <v>5</v>
      </c>
    </row>
    <row r="495" spans="1:13" x14ac:dyDescent="0.25">
      <c r="A495" t="s">
        <v>1540</v>
      </c>
      <c r="B495" t="s">
        <v>227</v>
      </c>
      <c r="C495" t="s">
        <v>1068</v>
      </c>
      <c r="D495" t="s">
        <v>672</v>
      </c>
      <c r="E495" t="s">
        <v>803</v>
      </c>
      <c r="F495">
        <v>69.989999999999995</v>
      </c>
      <c r="G495">
        <v>1</v>
      </c>
      <c r="H495">
        <v>15</v>
      </c>
      <c r="I495">
        <v>59.49</v>
      </c>
      <c r="J495">
        <v>59.49</v>
      </c>
      <c r="K495" t="s">
        <v>682</v>
      </c>
      <c r="L495" t="s">
        <v>656</v>
      </c>
      <c r="M495">
        <v>4</v>
      </c>
    </row>
    <row r="496" spans="1:13" x14ac:dyDescent="0.25">
      <c r="A496" t="s">
        <v>1541</v>
      </c>
      <c r="B496" t="s">
        <v>227</v>
      </c>
      <c r="C496" t="s">
        <v>1542</v>
      </c>
      <c r="D496" t="s">
        <v>710</v>
      </c>
      <c r="E496" t="s">
        <v>744</v>
      </c>
      <c r="F496">
        <v>29.99</v>
      </c>
      <c r="G496">
        <v>1</v>
      </c>
      <c r="H496">
        <v>15</v>
      </c>
      <c r="I496">
        <v>25.49</v>
      </c>
      <c r="J496">
        <v>25.49</v>
      </c>
      <c r="K496" t="s">
        <v>682</v>
      </c>
      <c r="L496" t="s">
        <v>656</v>
      </c>
      <c r="M496">
        <v>5</v>
      </c>
    </row>
    <row r="497" spans="1:13" x14ac:dyDescent="0.25">
      <c r="A497" t="s">
        <v>1543</v>
      </c>
      <c r="B497" t="s">
        <v>227</v>
      </c>
      <c r="C497" t="s">
        <v>1544</v>
      </c>
      <c r="D497" t="s">
        <v>672</v>
      </c>
      <c r="E497" t="s">
        <v>724</v>
      </c>
      <c r="F497">
        <v>89.99</v>
      </c>
      <c r="G497">
        <v>3</v>
      </c>
      <c r="H497">
        <v>20</v>
      </c>
      <c r="I497">
        <v>71.989999999999995</v>
      </c>
      <c r="J497">
        <v>215.97</v>
      </c>
      <c r="K497" t="s">
        <v>655</v>
      </c>
      <c r="L497" t="s">
        <v>656</v>
      </c>
      <c r="M497">
        <v>5</v>
      </c>
    </row>
    <row r="498" spans="1:13" x14ac:dyDescent="0.25">
      <c r="A498" t="s">
        <v>1545</v>
      </c>
      <c r="B498" t="s">
        <v>227</v>
      </c>
      <c r="C498" t="s">
        <v>1546</v>
      </c>
      <c r="D498" t="s">
        <v>659</v>
      </c>
      <c r="E498" t="s">
        <v>820</v>
      </c>
      <c r="F498">
        <v>39.99</v>
      </c>
      <c r="G498">
        <v>1</v>
      </c>
      <c r="H498">
        <v>15</v>
      </c>
      <c r="I498">
        <v>33.99</v>
      </c>
      <c r="J498">
        <v>33.99</v>
      </c>
      <c r="K498" t="s">
        <v>655</v>
      </c>
      <c r="L498" t="s">
        <v>656</v>
      </c>
      <c r="M498">
        <v>3</v>
      </c>
    </row>
    <row r="499" spans="1:13" x14ac:dyDescent="0.25">
      <c r="A499" t="s">
        <v>1547</v>
      </c>
      <c r="B499" t="s">
        <v>230</v>
      </c>
      <c r="C499" t="s">
        <v>1025</v>
      </c>
      <c r="D499" t="s">
        <v>684</v>
      </c>
      <c r="E499" t="s">
        <v>685</v>
      </c>
      <c r="F499">
        <v>49.99</v>
      </c>
      <c r="G499">
        <v>3</v>
      </c>
      <c r="H499">
        <v>15</v>
      </c>
      <c r="I499">
        <v>42.49</v>
      </c>
      <c r="J499">
        <v>127.47</v>
      </c>
      <c r="K499" t="s">
        <v>655</v>
      </c>
      <c r="L499" t="s">
        <v>656</v>
      </c>
      <c r="M499">
        <v>5</v>
      </c>
    </row>
    <row r="500" spans="1:13" x14ac:dyDescent="0.25">
      <c r="A500" t="s">
        <v>1548</v>
      </c>
      <c r="B500" t="s">
        <v>230</v>
      </c>
      <c r="C500" t="s">
        <v>1549</v>
      </c>
      <c r="D500" t="s">
        <v>710</v>
      </c>
      <c r="E500" t="s">
        <v>730</v>
      </c>
      <c r="F500">
        <v>39.99</v>
      </c>
      <c r="G500">
        <v>4</v>
      </c>
      <c r="H500">
        <v>0</v>
      </c>
      <c r="I500">
        <v>39.99</v>
      </c>
      <c r="J500">
        <v>159.96</v>
      </c>
      <c r="K500" t="s">
        <v>682</v>
      </c>
      <c r="L500" t="s">
        <v>656</v>
      </c>
      <c r="M500">
        <v>1</v>
      </c>
    </row>
    <row r="501" spans="1:13" x14ac:dyDescent="0.25">
      <c r="A501" t="s">
        <v>1550</v>
      </c>
      <c r="B501" t="s">
        <v>230</v>
      </c>
      <c r="C501" t="s">
        <v>1251</v>
      </c>
      <c r="D501" t="s">
        <v>710</v>
      </c>
      <c r="E501" t="s">
        <v>744</v>
      </c>
      <c r="F501">
        <v>29.99</v>
      </c>
      <c r="G501">
        <v>2</v>
      </c>
      <c r="H501">
        <v>0</v>
      </c>
      <c r="I501">
        <v>29.99</v>
      </c>
      <c r="J501">
        <v>59.98</v>
      </c>
      <c r="K501" t="s">
        <v>669</v>
      </c>
      <c r="L501" t="s">
        <v>656</v>
      </c>
      <c r="M501">
        <v>5</v>
      </c>
    </row>
    <row r="502" spans="1:13" x14ac:dyDescent="0.25">
      <c r="A502" t="s">
        <v>1551</v>
      </c>
      <c r="B502" t="s">
        <v>230</v>
      </c>
      <c r="C502" t="s">
        <v>1552</v>
      </c>
      <c r="D502" t="s">
        <v>653</v>
      </c>
      <c r="E502" t="s">
        <v>769</v>
      </c>
      <c r="F502">
        <v>49.99</v>
      </c>
      <c r="G502">
        <v>2</v>
      </c>
      <c r="H502">
        <v>0</v>
      </c>
      <c r="I502">
        <v>49.99</v>
      </c>
      <c r="J502">
        <v>99.98</v>
      </c>
      <c r="K502" t="s">
        <v>675</v>
      </c>
      <c r="L502" t="s">
        <v>656</v>
      </c>
      <c r="M502">
        <v>4</v>
      </c>
    </row>
    <row r="503" spans="1:13" x14ac:dyDescent="0.25">
      <c r="A503" t="s">
        <v>1553</v>
      </c>
      <c r="B503" t="s">
        <v>230</v>
      </c>
      <c r="C503" t="s">
        <v>1050</v>
      </c>
      <c r="D503" t="s">
        <v>667</v>
      </c>
      <c r="E503" t="s">
        <v>699</v>
      </c>
      <c r="F503">
        <v>89.99</v>
      </c>
      <c r="G503">
        <v>2</v>
      </c>
      <c r="H503">
        <v>0</v>
      </c>
      <c r="I503">
        <v>89.99</v>
      </c>
      <c r="J503">
        <v>179.98</v>
      </c>
      <c r="K503" t="s">
        <v>669</v>
      </c>
      <c r="L503" t="s">
        <v>656</v>
      </c>
      <c r="M503">
        <v>2</v>
      </c>
    </row>
    <row r="504" spans="1:13" x14ac:dyDescent="0.25">
      <c r="A504" t="s">
        <v>1554</v>
      </c>
      <c r="B504" t="s">
        <v>230</v>
      </c>
      <c r="C504" t="s">
        <v>880</v>
      </c>
      <c r="D504" t="s">
        <v>680</v>
      </c>
      <c r="E504" t="s">
        <v>688</v>
      </c>
      <c r="F504">
        <v>29.99</v>
      </c>
      <c r="G504">
        <v>3</v>
      </c>
      <c r="H504">
        <v>5</v>
      </c>
      <c r="I504">
        <v>28.49</v>
      </c>
      <c r="J504">
        <v>85.47</v>
      </c>
      <c r="K504" t="s">
        <v>661</v>
      </c>
      <c r="L504" t="s">
        <v>656</v>
      </c>
    </row>
    <row r="505" spans="1:13" x14ac:dyDescent="0.25">
      <c r="A505" t="s">
        <v>1555</v>
      </c>
      <c r="B505" t="s">
        <v>230</v>
      </c>
      <c r="C505" t="s">
        <v>1556</v>
      </c>
      <c r="D505" t="s">
        <v>659</v>
      </c>
      <c r="E505" t="s">
        <v>820</v>
      </c>
      <c r="F505">
        <v>39.99</v>
      </c>
      <c r="G505">
        <v>2</v>
      </c>
      <c r="H505">
        <v>0</v>
      </c>
      <c r="I505">
        <v>39.99</v>
      </c>
      <c r="J505">
        <v>79.98</v>
      </c>
      <c r="K505" t="s">
        <v>661</v>
      </c>
      <c r="L505" t="s">
        <v>656</v>
      </c>
      <c r="M505">
        <v>2</v>
      </c>
    </row>
    <row r="506" spans="1:13" x14ac:dyDescent="0.25">
      <c r="A506" t="s">
        <v>1557</v>
      </c>
      <c r="B506" t="s">
        <v>230</v>
      </c>
      <c r="C506" t="s">
        <v>1558</v>
      </c>
      <c r="D506" t="s">
        <v>667</v>
      </c>
      <c r="E506" t="s">
        <v>668</v>
      </c>
      <c r="F506">
        <v>64.989999999999995</v>
      </c>
      <c r="G506">
        <v>4</v>
      </c>
      <c r="H506">
        <v>0</v>
      </c>
      <c r="I506">
        <v>64.989999999999995</v>
      </c>
      <c r="J506">
        <v>259.95999999999998</v>
      </c>
      <c r="K506" t="s">
        <v>661</v>
      </c>
      <c r="L506" t="s">
        <v>656</v>
      </c>
      <c r="M506">
        <v>5</v>
      </c>
    </row>
    <row r="507" spans="1:13" x14ac:dyDescent="0.25">
      <c r="A507" t="s">
        <v>1559</v>
      </c>
      <c r="B507" t="s">
        <v>230</v>
      </c>
      <c r="C507" t="s">
        <v>1560</v>
      </c>
      <c r="D507" t="s">
        <v>667</v>
      </c>
      <c r="E507" t="s">
        <v>696</v>
      </c>
      <c r="F507">
        <v>59.99</v>
      </c>
      <c r="G507">
        <v>2</v>
      </c>
      <c r="H507">
        <v>10</v>
      </c>
      <c r="I507">
        <v>53.99</v>
      </c>
      <c r="J507">
        <v>107.98</v>
      </c>
      <c r="K507" t="s">
        <v>655</v>
      </c>
      <c r="L507" t="s">
        <v>788</v>
      </c>
      <c r="M507">
        <v>4</v>
      </c>
    </row>
    <row r="508" spans="1:13" x14ac:dyDescent="0.25">
      <c r="A508" t="s">
        <v>1561</v>
      </c>
      <c r="B508" t="s">
        <v>230</v>
      </c>
      <c r="C508" t="s">
        <v>1562</v>
      </c>
      <c r="D508" t="s">
        <v>653</v>
      </c>
      <c r="E508" t="s">
        <v>827</v>
      </c>
      <c r="F508">
        <v>29.99</v>
      </c>
      <c r="G508">
        <v>4</v>
      </c>
      <c r="H508">
        <v>0</v>
      </c>
      <c r="I508">
        <v>29.99</v>
      </c>
      <c r="J508">
        <v>119.96</v>
      </c>
      <c r="K508" t="s">
        <v>661</v>
      </c>
      <c r="L508" t="s">
        <v>656</v>
      </c>
      <c r="M508">
        <v>4</v>
      </c>
    </row>
    <row r="509" spans="1:13" x14ac:dyDescent="0.25">
      <c r="A509" t="s">
        <v>1563</v>
      </c>
      <c r="B509" t="s">
        <v>230</v>
      </c>
      <c r="C509" t="s">
        <v>943</v>
      </c>
      <c r="D509" t="s">
        <v>667</v>
      </c>
      <c r="E509" t="s">
        <v>668</v>
      </c>
      <c r="F509">
        <v>64.989999999999995</v>
      </c>
      <c r="G509">
        <v>2</v>
      </c>
      <c r="H509">
        <v>20</v>
      </c>
      <c r="I509">
        <v>51.99</v>
      </c>
      <c r="J509">
        <v>103.98</v>
      </c>
      <c r="K509" t="s">
        <v>661</v>
      </c>
      <c r="L509" t="s">
        <v>656</v>
      </c>
    </row>
    <row r="510" spans="1:13" x14ac:dyDescent="0.25">
      <c r="A510" t="s">
        <v>1564</v>
      </c>
      <c r="B510" t="s">
        <v>230</v>
      </c>
      <c r="C510" t="s">
        <v>1565</v>
      </c>
      <c r="D510" t="s">
        <v>667</v>
      </c>
      <c r="E510" t="s">
        <v>668</v>
      </c>
      <c r="F510">
        <v>64.989999999999995</v>
      </c>
      <c r="G510">
        <v>1</v>
      </c>
      <c r="H510">
        <v>0</v>
      </c>
      <c r="I510">
        <v>64.989999999999995</v>
      </c>
      <c r="J510">
        <v>64.989999999999995</v>
      </c>
      <c r="K510" t="s">
        <v>669</v>
      </c>
      <c r="L510" t="s">
        <v>656</v>
      </c>
      <c r="M510">
        <v>5</v>
      </c>
    </row>
    <row r="511" spans="1:13" x14ac:dyDescent="0.25">
      <c r="A511" t="s">
        <v>1566</v>
      </c>
      <c r="B511" t="s">
        <v>233</v>
      </c>
      <c r="C511" t="s">
        <v>1525</v>
      </c>
      <c r="D511" t="s">
        <v>653</v>
      </c>
      <c r="E511" t="s">
        <v>769</v>
      </c>
      <c r="F511">
        <v>49.99</v>
      </c>
      <c r="G511">
        <v>3</v>
      </c>
      <c r="H511">
        <v>0</v>
      </c>
      <c r="I511">
        <v>49.99</v>
      </c>
      <c r="J511">
        <v>149.97</v>
      </c>
      <c r="K511" t="s">
        <v>655</v>
      </c>
      <c r="L511" t="s">
        <v>656</v>
      </c>
      <c r="M511">
        <v>5</v>
      </c>
    </row>
    <row r="512" spans="1:13" x14ac:dyDescent="0.25">
      <c r="A512" t="s">
        <v>1567</v>
      </c>
      <c r="B512" t="s">
        <v>233</v>
      </c>
      <c r="C512" t="s">
        <v>798</v>
      </c>
      <c r="D512" t="s">
        <v>667</v>
      </c>
      <c r="E512" t="s">
        <v>699</v>
      </c>
      <c r="F512">
        <v>89.99</v>
      </c>
      <c r="G512">
        <v>1</v>
      </c>
      <c r="H512">
        <v>0</v>
      </c>
      <c r="I512">
        <v>89.99</v>
      </c>
      <c r="J512">
        <v>89.99</v>
      </c>
      <c r="K512" t="s">
        <v>655</v>
      </c>
      <c r="L512" t="s">
        <v>656</v>
      </c>
      <c r="M512">
        <v>4</v>
      </c>
    </row>
    <row r="513" spans="1:13" x14ac:dyDescent="0.25">
      <c r="A513" t="s">
        <v>1568</v>
      </c>
      <c r="B513" t="s">
        <v>233</v>
      </c>
      <c r="C513" t="s">
        <v>1569</v>
      </c>
      <c r="D513" t="s">
        <v>680</v>
      </c>
      <c r="E513" t="s">
        <v>749</v>
      </c>
      <c r="F513">
        <v>14.99</v>
      </c>
      <c r="G513">
        <v>3</v>
      </c>
      <c r="H513">
        <v>20</v>
      </c>
      <c r="I513">
        <v>11.99</v>
      </c>
      <c r="J513">
        <v>35.97</v>
      </c>
      <c r="K513" t="s">
        <v>661</v>
      </c>
      <c r="L513" t="s">
        <v>656</v>
      </c>
      <c r="M513">
        <v>5</v>
      </c>
    </row>
    <row r="514" spans="1:13" x14ac:dyDescent="0.25">
      <c r="A514" t="s">
        <v>1570</v>
      </c>
      <c r="B514" t="s">
        <v>233</v>
      </c>
      <c r="C514" t="s">
        <v>1571</v>
      </c>
      <c r="D514" t="s">
        <v>680</v>
      </c>
      <c r="E514" t="s">
        <v>688</v>
      </c>
      <c r="F514">
        <v>29.99</v>
      </c>
      <c r="G514">
        <v>4</v>
      </c>
      <c r="H514">
        <v>0</v>
      </c>
      <c r="I514">
        <v>29.99</v>
      </c>
      <c r="J514">
        <v>119.96</v>
      </c>
      <c r="K514" t="s">
        <v>655</v>
      </c>
      <c r="L514" t="s">
        <v>788</v>
      </c>
      <c r="M514">
        <v>4</v>
      </c>
    </row>
    <row r="515" spans="1:13" x14ac:dyDescent="0.25">
      <c r="A515" t="s">
        <v>1572</v>
      </c>
      <c r="B515" t="s">
        <v>233</v>
      </c>
      <c r="C515" t="s">
        <v>1286</v>
      </c>
      <c r="D515" t="s">
        <v>684</v>
      </c>
      <c r="E515" t="s">
        <v>705</v>
      </c>
      <c r="F515">
        <v>79.989999999999995</v>
      </c>
      <c r="G515">
        <v>2</v>
      </c>
      <c r="H515">
        <v>20</v>
      </c>
      <c r="I515">
        <v>63.99</v>
      </c>
      <c r="J515">
        <v>127.98</v>
      </c>
      <c r="K515" t="s">
        <v>669</v>
      </c>
      <c r="L515" t="s">
        <v>656</v>
      </c>
      <c r="M515">
        <v>5</v>
      </c>
    </row>
    <row r="516" spans="1:13" x14ac:dyDescent="0.25">
      <c r="A516" t="s">
        <v>1573</v>
      </c>
      <c r="B516" t="s">
        <v>236</v>
      </c>
      <c r="C516" t="s">
        <v>1574</v>
      </c>
      <c r="D516" t="s">
        <v>659</v>
      </c>
      <c r="E516" t="s">
        <v>664</v>
      </c>
      <c r="F516">
        <v>24.99</v>
      </c>
      <c r="G516">
        <v>2</v>
      </c>
      <c r="H516">
        <v>15</v>
      </c>
      <c r="I516">
        <v>21.24</v>
      </c>
      <c r="J516">
        <v>42.48</v>
      </c>
      <c r="K516" t="s">
        <v>675</v>
      </c>
      <c r="L516" t="s">
        <v>656</v>
      </c>
    </row>
    <row r="517" spans="1:13" x14ac:dyDescent="0.25">
      <c r="A517" t="s">
        <v>1575</v>
      </c>
      <c r="B517" t="s">
        <v>236</v>
      </c>
      <c r="C517" t="s">
        <v>943</v>
      </c>
      <c r="D517" t="s">
        <v>710</v>
      </c>
      <c r="E517" t="s">
        <v>730</v>
      </c>
      <c r="F517">
        <v>39.99</v>
      </c>
      <c r="G517">
        <v>1</v>
      </c>
      <c r="H517">
        <v>10</v>
      </c>
      <c r="I517">
        <v>35.99</v>
      </c>
      <c r="J517">
        <v>35.99</v>
      </c>
      <c r="K517" t="s">
        <v>669</v>
      </c>
      <c r="L517" t="s">
        <v>656</v>
      </c>
      <c r="M517">
        <v>4</v>
      </c>
    </row>
    <row r="518" spans="1:13" x14ac:dyDescent="0.25">
      <c r="A518" t="s">
        <v>1576</v>
      </c>
      <c r="B518" t="s">
        <v>236</v>
      </c>
      <c r="C518" t="s">
        <v>377</v>
      </c>
      <c r="D518" t="s">
        <v>680</v>
      </c>
      <c r="E518" t="s">
        <v>681</v>
      </c>
      <c r="F518">
        <v>19.989999999999998</v>
      </c>
      <c r="G518">
        <v>1</v>
      </c>
      <c r="H518">
        <v>0</v>
      </c>
      <c r="I518">
        <v>19.989999999999998</v>
      </c>
      <c r="J518">
        <v>19.989999999999998</v>
      </c>
      <c r="K518" t="s">
        <v>669</v>
      </c>
      <c r="L518" t="s">
        <v>656</v>
      </c>
    </row>
    <row r="519" spans="1:13" x14ac:dyDescent="0.25">
      <c r="A519" t="s">
        <v>1577</v>
      </c>
      <c r="B519" t="s">
        <v>236</v>
      </c>
      <c r="C519" t="s">
        <v>1578</v>
      </c>
      <c r="D519" t="s">
        <v>684</v>
      </c>
      <c r="E519" t="s">
        <v>705</v>
      </c>
      <c r="F519">
        <v>79.989999999999995</v>
      </c>
      <c r="G519">
        <v>1</v>
      </c>
      <c r="H519">
        <v>20</v>
      </c>
      <c r="I519">
        <v>63.99</v>
      </c>
      <c r="J519">
        <v>63.99</v>
      </c>
      <c r="K519" t="s">
        <v>675</v>
      </c>
      <c r="L519" t="s">
        <v>656</v>
      </c>
      <c r="M519">
        <v>4</v>
      </c>
    </row>
    <row r="520" spans="1:13" x14ac:dyDescent="0.25">
      <c r="A520" t="s">
        <v>1579</v>
      </c>
      <c r="B520" t="s">
        <v>236</v>
      </c>
      <c r="C520" t="s">
        <v>1193</v>
      </c>
      <c r="D520" t="s">
        <v>653</v>
      </c>
      <c r="E520" t="s">
        <v>654</v>
      </c>
      <c r="F520">
        <v>39.99</v>
      </c>
      <c r="G520">
        <v>1</v>
      </c>
      <c r="H520">
        <v>0</v>
      </c>
      <c r="I520">
        <v>39.99</v>
      </c>
      <c r="J520">
        <v>39.99</v>
      </c>
      <c r="K520" t="s">
        <v>655</v>
      </c>
      <c r="L520" t="s">
        <v>656</v>
      </c>
    </row>
    <row r="521" spans="1:13" x14ac:dyDescent="0.25">
      <c r="A521" t="s">
        <v>1580</v>
      </c>
      <c r="B521" t="s">
        <v>236</v>
      </c>
      <c r="C521" t="s">
        <v>945</v>
      </c>
      <c r="D521" t="s">
        <v>684</v>
      </c>
      <c r="E521" t="s">
        <v>815</v>
      </c>
      <c r="F521">
        <v>34.99</v>
      </c>
      <c r="G521">
        <v>3</v>
      </c>
      <c r="H521">
        <v>0</v>
      </c>
      <c r="I521">
        <v>34.99</v>
      </c>
      <c r="J521">
        <v>104.97</v>
      </c>
      <c r="K521" t="s">
        <v>675</v>
      </c>
      <c r="L521" t="s">
        <v>656</v>
      </c>
    </row>
    <row r="522" spans="1:13" x14ac:dyDescent="0.25">
      <c r="A522" t="s">
        <v>1581</v>
      </c>
      <c r="B522" t="s">
        <v>236</v>
      </c>
      <c r="C522" t="s">
        <v>1582</v>
      </c>
      <c r="D522" t="s">
        <v>710</v>
      </c>
      <c r="E522" t="s">
        <v>730</v>
      </c>
      <c r="F522">
        <v>39.99</v>
      </c>
      <c r="G522">
        <v>1</v>
      </c>
      <c r="H522">
        <v>10</v>
      </c>
      <c r="I522">
        <v>35.99</v>
      </c>
      <c r="J522">
        <v>35.99</v>
      </c>
      <c r="K522" t="s">
        <v>661</v>
      </c>
      <c r="L522" t="s">
        <v>656</v>
      </c>
      <c r="M522">
        <v>2</v>
      </c>
    </row>
    <row r="523" spans="1:13" x14ac:dyDescent="0.25">
      <c r="A523" t="s">
        <v>1583</v>
      </c>
      <c r="B523" t="s">
        <v>236</v>
      </c>
      <c r="C523" t="s">
        <v>1072</v>
      </c>
      <c r="D523" t="s">
        <v>680</v>
      </c>
      <c r="E523" t="s">
        <v>688</v>
      </c>
      <c r="F523">
        <v>29.99</v>
      </c>
      <c r="G523">
        <v>1</v>
      </c>
      <c r="H523">
        <v>20</v>
      </c>
      <c r="I523">
        <v>23.99</v>
      </c>
      <c r="J523">
        <v>23.99</v>
      </c>
      <c r="K523" t="s">
        <v>661</v>
      </c>
      <c r="L523" t="s">
        <v>785</v>
      </c>
      <c r="M523">
        <v>4</v>
      </c>
    </row>
    <row r="524" spans="1:13" x14ac:dyDescent="0.25">
      <c r="A524" t="s">
        <v>1584</v>
      </c>
      <c r="B524" t="s">
        <v>236</v>
      </c>
      <c r="C524" t="s">
        <v>1585</v>
      </c>
      <c r="D524" t="s">
        <v>684</v>
      </c>
      <c r="E524" t="s">
        <v>815</v>
      </c>
      <c r="F524">
        <v>34.99</v>
      </c>
      <c r="G524">
        <v>1</v>
      </c>
      <c r="H524">
        <v>10</v>
      </c>
      <c r="I524">
        <v>31.49</v>
      </c>
      <c r="J524">
        <v>31.49</v>
      </c>
      <c r="K524" t="s">
        <v>661</v>
      </c>
      <c r="L524" t="s">
        <v>656</v>
      </c>
      <c r="M524">
        <v>5</v>
      </c>
    </row>
    <row r="525" spans="1:13" x14ac:dyDescent="0.25">
      <c r="A525" t="s">
        <v>1586</v>
      </c>
      <c r="B525" t="s">
        <v>236</v>
      </c>
      <c r="C525" t="s">
        <v>1587</v>
      </c>
      <c r="D525" t="s">
        <v>672</v>
      </c>
      <c r="E525" t="s">
        <v>673</v>
      </c>
      <c r="F525">
        <v>24.99</v>
      </c>
      <c r="G525">
        <v>1</v>
      </c>
      <c r="H525">
        <v>10</v>
      </c>
      <c r="I525">
        <v>22.49</v>
      </c>
      <c r="J525">
        <v>22.49</v>
      </c>
      <c r="K525" t="s">
        <v>669</v>
      </c>
      <c r="L525" t="s">
        <v>656</v>
      </c>
    </row>
    <row r="526" spans="1:13" x14ac:dyDescent="0.25">
      <c r="A526" t="s">
        <v>1588</v>
      </c>
      <c r="B526" t="s">
        <v>236</v>
      </c>
      <c r="C526" t="s">
        <v>1229</v>
      </c>
      <c r="D526" t="s">
        <v>684</v>
      </c>
      <c r="E526" t="s">
        <v>702</v>
      </c>
      <c r="F526">
        <v>199.99</v>
      </c>
      <c r="G526">
        <v>4</v>
      </c>
      <c r="H526">
        <v>15</v>
      </c>
      <c r="I526">
        <v>169.99</v>
      </c>
      <c r="J526">
        <v>679.96</v>
      </c>
      <c r="K526" t="s">
        <v>661</v>
      </c>
      <c r="L526" t="s">
        <v>785</v>
      </c>
      <c r="M526">
        <v>2</v>
      </c>
    </row>
    <row r="527" spans="1:13" x14ac:dyDescent="0.25">
      <c r="A527" t="s">
        <v>1589</v>
      </c>
      <c r="B527" t="s">
        <v>236</v>
      </c>
      <c r="C527" t="s">
        <v>1590</v>
      </c>
      <c r="D527" t="s">
        <v>653</v>
      </c>
      <c r="E527" t="s">
        <v>727</v>
      </c>
      <c r="F527">
        <v>14.99</v>
      </c>
      <c r="G527">
        <v>4</v>
      </c>
      <c r="H527">
        <v>0</v>
      </c>
      <c r="I527">
        <v>14.99</v>
      </c>
      <c r="J527">
        <v>59.96</v>
      </c>
      <c r="K527" t="s">
        <v>655</v>
      </c>
      <c r="L527" t="s">
        <v>656</v>
      </c>
      <c r="M527">
        <v>4</v>
      </c>
    </row>
    <row r="528" spans="1:13" x14ac:dyDescent="0.25">
      <c r="A528" t="s">
        <v>1591</v>
      </c>
      <c r="B528" t="s">
        <v>236</v>
      </c>
      <c r="C528" t="s">
        <v>1592</v>
      </c>
      <c r="D528" t="s">
        <v>680</v>
      </c>
      <c r="E528" t="s">
        <v>708</v>
      </c>
      <c r="F528">
        <v>24.99</v>
      </c>
      <c r="G528">
        <v>1</v>
      </c>
      <c r="H528">
        <v>15</v>
      </c>
      <c r="I528">
        <v>21.24</v>
      </c>
      <c r="J528">
        <v>21.24</v>
      </c>
      <c r="K528" t="s">
        <v>661</v>
      </c>
      <c r="L528" t="s">
        <v>656</v>
      </c>
    </row>
    <row r="529" spans="1:13" x14ac:dyDescent="0.25">
      <c r="A529" t="s">
        <v>1593</v>
      </c>
      <c r="B529" t="s">
        <v>236</v>
      </c>
      <c r="C529" t="s">
        <v>1068</v>
      </c>
      <c r="D529" t="s">
        <v>672</v>
      </c>
      <c r="E529" t="s">
        <v>735</v>
      </c>
      <c r="F529">
        <v>44.99</v>
      </c>
      <c r="G529">
        <v>2</v>
      </c>
      <c r="H529">
        <v>0</v>
      </c>
      <c r="I529">
        <v>44.99</v>
      </c>
      <c r="J529">
        <v>89.98</v>
      </c>
      <c r="K529" t="s">
        <v>661</v>
      </c>
      <c r="L529" t="s">
        <v>656</v>
      </c>
    </row>
    <row r="530" spans="1:13" x14ac:dyDescent="0.25">
      <c r="A530" t="s">
        <v>1594</v>
      </c>
      <c r="B530" t="s">
        <v>236</v>
      </c>
      <c r="C530" t="s">
        <v>920</v>
      </c>
      <c r="D530" t="s">
        <v>659</v>
      </c>
      <c r="E530" t="s">
        <v>762</v>
      </c>
      <c r="F530">
        <v>49.99</v>
      </c>
      <c r="G530">
        <v>4</v>
      </c>
      <c r="H530">
        <v>20</v>
      </c>
      <c r="I530">
        <v>39.99</v>
      </c>
      <c r="J530">
        <v>159.96</v>
      </c>
      <c r="K530" t="s">
        <v>669</v>
      </c>
      <c r="L530" t="s">
        <v>656</v>
      </c>
      <c r="M530">
        <v>4</v>
      </c>
    </row>
    <row r="531" spans="1:13" x14ac:dyDescent="0.25">
      <c r="A531" t="s">
        <v>1595</v>
      </c>
      <c r="B531" t="s">
        <v>239</v>
      </c>
      <c r="C531" t="s">
        <v>1596</v>
      </c>
      <c r="D531" t="s">
        <v>680</v>
      </c>
      <c r="E531" t="s">
        <v>681</v>
      </c>
      <c r="F531">
        <v>19.989999999999998</v>
      </c>
      <c r="G531">
        <v>2</v>
      </c>
      <c r="H531">
        <v>10</v>
      </c>
      <c r="I531">
        <v>17.989999999999998</v>
      </c>
      <c r="J531">
        <v>35.979999999999997</v>
      </c>
      <c r="K531" t="s">
        <v>669</v>
      </c>
      <c r="L531" t="s">
        <v>656</v>
      </c>
      <c r="M531">
        <v>2</v>
      </c>
    </row>
    <row r="532" spans="1:13" x14ac:dyDescent="0.25">
      <c r="A532" t="s">
        <v>1597</v>
      </c>
      <c r="B532" t="s">
        <v>239</v>
      </c>
      <c r="C532" t="s">
        <v>1598</v>
      </c>
      <c r="D532" t="s">
        <v>667</v>
      </c>
      <c r="E532" t="s">
        <v>696</v>
      </c>
      <c r="F532">
        <v>59.99</v>
      </c>
      <c r="G532">
        <v>1</v>
      </c>
      <c r="H532">
        <v>10</v>
      </c>
      <c r="I532">
        <v>53.99</v>
      </c>
      <c r="J532">
        <v>53.99</v>
      </c>
      <c r="K532" t="s">
        <v>655</v>
      </c>
      <c r="L532" t="s">
        <v>656</v>
      </c>
    </row>
    <row r="533" spans="1:13" x14ac:dyDescent="0.25">
      <c r="A533" t="s">
        <v>1599</v>
      </c>
      <c r="B533" t="s">
        <v>239</v>
      </c>
      <c r="C533" t="s">
        <v>1600</v>
      </c>
      <c r="D533" t="s">
        <v>684</v>
      </c>
      <c r="E533" t="s">
        <v>702</v>
      </c>
      <c r="F533">
        <v>199.99</v>
      </c>
      <c r="G533">
        <v>2</v>
      </c>
      <c r="H533">
        <v>5</v>
      </c>
      <c r="I533">
        <v>189.99</v>
      </c>
      <c r="J533">
        <v>379.98</v>
      </c>
      <c r="K533" t="s">
        <v>661</v>
      </c>
      <c r="L533" t="s">
        <v>656</v>
      </c>
      <c r="M533">
        <v>5</v>
      </c>
    </row>
    <row r="534" spans="1:13" x14ac:dyDescent="0.25">
      <c r="A534" t="s">
        <v>1601</v>
      </c>
      <c r="B534" t="s">
        <v>239</v>
      </c>
      <c r="C534" t="s">
        <v>1602</v>
      </c>
      <c r="D534" t="s">
        <v>684</v>
      </c>
      <c r="E534" t="s">
        <v>705</v>
      </c>
      <c r="F534">
        <v>79.989999999999995</v>
      </c>
      <c r="G534">
        <v>1</v>
      </c>
      <c r="H534">
        <v>0</v>
      </c>
      <c r="I534">
        <v>79.989999999999995</v>
      </c>
      <c r="J534">
        <v>79.989999999999995</v>
      </c>
      <c r="K534" t="s">
        <v>655</v>
      </c>
      <c r="L534" t="s">
        <v>788</v>
      </c>
      <c r="M534">
        <v>4</v>
      </c>
    </row>
    <row r="535" spans="1:13" x14ac:dyDescent="0.25">
      <c r="A535" t="s">
        <v>1603</v>
      </c>
      <c r="B535" t="s">
        <v>239</v>
      </c>
      <c r="C535" t="s">
        <v>1604</v>
      </c>
      <c r="D535" t="s">
        <v>653</v>
      </c>
      <c r="E535" t="s">
        <v>769</v>
      </c>
      <c r="F535">
        <v>49.99</v>
      </c>
      <c r="G535">
        <v>1</v>
      </c>
      <c r="H535">
        <v>10</v>
      </c>
      <c r="I535">
        <v>44.99</v>
      </c>
      <c r="J535">
        <v>44.99</v>
      </c>
      <c r="K535" t="s">
        <v>669</v>
      </c>
      <c r="L535" t="s">
        <v>656</v>
      </c>
    </row>
    <row r="536" spans="1:13" x14ac:dyDescent="0.25">
      <c r="A536" t="s">
        <v>1605</v>
      </c>
      <c r="B536" t="s">
        <v>239</v>
      </c>
      <c r="C536" t="s">
        <v>1606</v>
      </c>
      <c r="D536" t="s">
        <v>680</v>
      </c>
      <c r="E536" t="s">
        <v>688</v>
      </c>
      <c r="F536">
        <v>29.99</v>
      </c>
      <c r="G536">
        <v>2</v>
      </c>
      <c r="H536">
        <v>0</v>
      </c>
      <c r="I536">
        <v>29.99</v>
      </c>
      <c r="J536">
        <v>59.98</v>
      </c>
      <c r="K536" t="s">
        <v>655</v>
      </c>
      <c r="L536" t="s">
        <v>656</v>
      </c>
      <c r="M536">
        <v>2</v>
      </c>
    </row>
    <row r="537" spans="1:13" x14ac:dyDescent="0.25">
      <c r="A537" t="s">
        <v>1607</v>
      </c>
      <c r="B537" t="s">
        <v>239</v>
      </c>
      <c r="C537" t="s">
        <v>1608</v>
      </c>
      <c r="D537" t="s">
        <v>680</v>
      </c>
      <c r="E537" t="s">
        <v>749</v>
      </c>
      <c r="F537">
        <v>14.99</v>
      </c>
      <c r="G537">
        <v>1</v>
      </c>
      <c r="H537">
        <v>15</v>
      </c>
      <c r="I537">
        <v>12.74</v>
      </c>
      <c r="J537">
        <v>12.74</v>
      </c>
      <c r="K537" t="s">
        <v>655</v>
      </c>
      <c r="L537" t="s">
        <v>739</v>
      </c>
      <c r="M537">
        <v>5</v>
      </c>
    </row>
    <row r="538" spans="1:13" x14ac:dyDescent="0.25">
      <c r="A538" t="s">
        <v>1609</v>
      </c>
      <c r="B538" t="s">
        <v>239</v>
      </c>
      <c r="C538" t="s">
        <v>1610</v>
      </c>
      <c r="D538" t="s">
        <v>680</v>
      </c>
      <c r="E538" t="s">
        <v>708</v>
      </c>
      <c r="F538">
        <v>24.99</v>
      </c>
      <c r="G538">
        <v>3</v>
      </c>
      <c r="H538">
        <v>0</v>
      </c>
      <c r="I538">
        <v>24.99</v>
      </c>
      <c r="J538">
        <v>74.97</v>
      </c>
      <c r="K538" t="s">
        <v>655</v>
      </c>
      <c r="L538" t="s">
        <v>656</v>
      </c>
      <c r="M538">
        <v>4</v>
      </c>
    </row>
    <row r="539" spans="1:13" x14ac:dyDescent="0.25">
      <c r="A539" t="s">
        <v>1611</v>
      </c>
      <c r="B539" t="s">
        <v>239</v>
      </c>
      <c r="C539" t="s">
        <v>1612</v>
      </c>
      <c r="D539" t="s">
        <v>710</v>
      </c>
      <c r="E539" t="s">
        <v>711</v>
      </c>
      <c r="F539">
        <v>14.99</v>
      </c>
      <c r="G539">
        <v>2</v>
      </c>
      <c r="H539">
        <v>5</v>
      </c>
      <c r="I539">
        <v>14.24</v>
      </c>
      <c r="J539">
        <v>28.48</v>
      </c>
      <c r="K539" t="s">
        <v>669</v>
      </c>
      <c r="L539" t="s">
        <v>656</v>
      </c>
      <c r="M539">
        <v>5</v>
      </c>
    </row>
    <row r="540" spans="1:13" x14ac:dyDescent="0.25">
      <c r="A540" t="s">
        <v>1613</v>
      </c>
      <c r="B540" t="s">
        <v>239</v>
      </c>
      <c r="C540" t="s">
        <v>671</v>
      </c>
      <c r="D540" t="s">
        <v>667</v>
      </c>
      <c r="E540" t="s">
        <v>696</v>
      </c>
      <c r="F540">
        <v>59.99</v>
      </c>
      <c r="G540">
        <v>4</v>
      </c>
      <c r="H540">
        <v>0</v>
      </c>
      <c r="I540">
        <v>59.99</v>
      </c>
      <c r="J540">
        <v>239.96</v>
      </c>
      <c r="K540" t="s">
        <v>675</v>
      </c>
      <c r="L540" t="s">
        <v>656</v>
      </c>
    </row>
    <row r="541" spans="1:13" x14ac:dyDescent="0.25">
      <c r="A541" t="s">
        <v>1614</v>
      </c>
      <c r="B541" t="s">
        <v>239</v>
      </c>
      <c r="C541" t="s">
        <v>1615</v>
      </c>
      <c r="D541" t="s">
        <v>672</v>
      </c>
      <c r="E541" t="s">
        <v>673</v>
      </c>
      <c r="F541">
        <v>24.99</v>
      </c>
      <c r="G541">
        <v>3</v>
      </c>
      <c r="H541">
        <v>0</v>
      </c>
      <c r="I541">
        <v>24.99</v>
      </c>
      <c r="J541">
        <v>74.97</v>
      </c>
      <c r="K541" t="s">
        <v>655</v>
      </c>
      <c r="L541" t="s">
        <v>656</v>
      </c>
      <c r="M541">
        <v>5</v>
      </c>
    </row>
    <row r="542" spans="1:13" x14ac:dyDescent="0.25">
      <c r="A542" t="s">
        <v>1616</v>
      </c>
      <c r="B542" t="s">
        <v>239</v>
      </c>
      <c r="C542" t="s">
        <v>1617</v>
      </c>
      <c r="D542" t="s">
        <v>680</v>
      </c>
      <c r="E542" t="s">
        <v>708</v>
      </c>
      <c r="F542">
        <v>24.99</v>
      </c>
      <c r="G542">
        <v>1</v>
      </c>
      <c r="H542">
        <v>15</v>
      </c>
      <c r="I542">
        <v>21.24</v>
      </c>
      <c r="J542">
        <v>21.24</v>
      </c>
      <c r="K542" t="s">
        <v>655</v>
      </c>
      <c r="L542" t="s">
        <v>656</v>
      </c>
      <c r="M542">
        <v>4</v>
      </c>
    </row>
    <row r="543" spans="1:13" x14ac:dyDescent="0.25">
      <c r="A543" t="s">
        <v>1618</v>
      </c>
      <c r="B543" t="s">
        <v>239</v>
      </c>
      <c r="C543" t="s">
        <v>977</v>
      </c>
      <c r="D543" t="s">
        <v>710</v>
      </c>
      <c r="E543" t="s">
        <v>711</v>
      </c>
      <c r="F543">
        <v>14.99</v>
      </c>
      <c r="G543">
        <v>3</v>
      </c>
      <c r="H543">
        <v>10</v>
      </c>
      <c r="I543">
        <v>13.49</v>
      </c>
      <c r="J543">
        <v>40.47</v>
      </c>
      <c r="K543" t="s">
        <v>655</v>
      </c>
      <c r="L543" t="s">
        <v>788</v>
      </c>
      <c r="M543">
        <v>5</v>
      </c>
    </row>
    <row r="544" spans="1:13" x14ac:dyDescent="0.25">
      <c r="A544" t="s">
        <v>1619</v>
      </c>
      <c r="B544" t="s">
        <v>239</v>
      </c>
      <c r="C544" t="s">
        <v>1009</v>
      </c>
      <c r="D544" t="s">
        <v>672</v>
      </c>
      <c r="E544" t="s">
        <v>735</v>
      </c>
      <c r="F544">
        <v>44.99</v>
      </c>
      <c r="G544">
        <v>2</v>
      </c>
      <c r="H544">
        <v>10</v>
      </c>
      <c r="I544">
        <v>40.49</v>
      </c>
      <c r="J544">
        <v>80.98</v>
      </c>
      <c r="K544" t="s">
        <v>655</v>
      </c>
      <c r="L544" t="s">
        <v>656</v>
      </c>
      <c r="M544">
        <v>5</v>
      </c>
    </row>
    <row r="545" spans="1:13" x14ac:dyDescent="0.25">
      <c r="A545" t="s">
        <v>1620</v>
      </c>
      <c r="B545" t="s">
        <v>239</v>
      </c>
      <c r="C545" t="s">
        <v>1201</v>
      </c>
      <c r="D545" t="s">
        <v>653</v>
      </c>
      <c r="E545" t="s">
        <v>769</v>
      </c>
      <c r="F545">
        <v>49.99</v>
      </c>
      <c r="G545">
        <v>2</v>
      </c>
      <c r="H545">
        <v>0</v>
      </c>
      <c r="I545">
        <v>49.99</v>
      </c>
      <c r="J545">
        <v>99.98</v>
      </c>
      <c r="K545" t="s">
        <v>682</v>
      </c>
      <c r="L545" t="s">
        <v>656</v>
      </c>
      <c r="M545">
        <v>3</v>
      </c>
    </row>
    <row r="546" spans="1:13" x14ac:dyDescent="0.25">
      <c r="A546" t="s">
        <v>1621</v>
      </c>
      <c r="B546" t="s">
        <v>242</v>
      </c>
      <c r="C546" t="s">
        <v>1048</v>
      </c>
      <c r="D546" t="s">
        <v>684</v>
      </c>
      <c r="E546" t="s">
        <v>685</v>
      </c>
      <c r="F546">
        <v>49.99</v>
      </c>
      <c r="G546">
        <v>2</v>
      </c>
      <c r="H546">
        <v>10</v>
      </c>
      <c r="I546">
        <v>44.99</v>
      </c>
      <c r="J546">
        <v>89.98</v>
      </c>
      <c r="K546" t="s">
        <v>669</v>
      </c>
      <c r="L546" t="s">
        <v>656</v>
      </c>
      <c r="M546">
        <v>1</v>
      </c>
    </row>
    <row r="547" spans="1:13" x14ac:dyDescent="0.25">
      <c r="A547" t="s">
        <v>1622</v>
      </c>
      <c r="B547" t="s">
        <v>242</v>
      </c>
      <c r="C547" t="s">
        <v>1623</v>
      </c>
      <c r="D547" t="s">
        <v>680</v>
      </c>
      <c r="E547" t="s">
        <v>681</v>
      </c>
      <c r="F547">
        <v>19.989999999999998</v>
      </c>
      <c r="G547">
        <v>4</v>
      </c>
      <c r="H547">
        <v>15</v>
      </c>
      <c r="I547">
        <v>16.989999999999998</v>
      </c>
      <c r="J547">
        <v>67.959999999999994</v>
      </c>
      <c r="K547" t="s">
        <v>682</v>
      </c>
      <c r="L547" t="s">
        <v>656</v>
      </c>
      <c r="M547">
        <v>4</v>
      </c>
    </row>
    <row r="548" spans="1:13" x14ac:dyDescent="0.25">
      <c r="A548" t="s">
        <v>1624</v>
      </c>
      <c r="B548" t="s">
        <v>245</v>
      </c>
      <c r="C548" t="s">
        <v>1625</v>
      </c>
      <c r="D548" t="s">
        <v>667</v>
      </c>
      <c r="E548" t="s">
        <v>668</v>
      </c>
      <c r="F548">
        <v>64.989999999999995</v>
      </c>
      <c r="G548">
        <v>3</v>
      </c>
      <c r="H548">
        <v>0</v>
      </c>
      <c r="I548">
        <v>64.989999999999995</v>
      </c>
      <c r="J548">
        <v>194.97</v>
      </c>
      <c r="K548" t="s">
        <v>682</v>
      </c>
      <c r="L548" t="s">
        <v>656</v>
      </c>
    </row>
    <row r="549" spans="1:13" x14ac:dyDescent="0.25">
      <c r="A549" t="s">
        <v>1626</v>
      </c>
      <c r="B549" t="s">
        <v>245</v>
      </c>
      <c r="C549" t="s">
        <v>1627</v>
      </c>
      <c r="D549" t="s">
        <v>653</v>
      </c>
      <c r="E549" t="s">
        <v>727</v>
      </c>
      <c r="F549">
        <v>14.99</v>
      </c>
      <c r="G549">
        <v>1</v>
      </c>
      <c r="H549">
        <v>15</v>
      </c>
      <c r="I549">
        <v>12.74</v>
      </c>
      <c r="J549">
        <v>12.74</v>
      </c>
      <c r="K549" t="s">
        <v>661</v>
      </c>
      <c r="L549" t="s">
        <v>788</v>
      </c>
      <c r="M549">
        <v>5</v>
      </c>
    </row>
    <row r="550" spans="1:13" x14ac:dyDescent="0.25">
      <c r="A550" t="s">
        <v>1628</v>
      </c>
      <c r="B550" t="s">
        <v>245</v>
      </c>
      <c r="C550" t="s">
        <v>1389</v>
      </c>
      <c r="D550" t="s">
        <v>659</v>
      </c>
      <c r="E550" t="s">
        <v>762</v>
      </c>
      <c r="F550">
        <v>49.99</v>
      </c>
      <c r="G550">
        <v>4</v>
      </c>
      <c r="H550">
        <v>15</v>
      </c>
      <c r="I550">
        <v>42.49</v>
      </c>
      <c r="J550">
        <v>169.96</v>
      </c>
      <c r="K550" t="s">
        <v>661</v>
      </c>
      <c r="L550" t="s">
        <v>656</v>
      </c>
      <c r="M550">
        <v>3</v>
      </c>
    </row>
    <row r="551" spans="1:13" x14ac:dyDescent="0.25">
      <c r="A551" t="s">
        <v>1629</v>
      </c>
      <c r="B551" t="s">
        <v>245</v>
      </c>
      <c r="C551" t="s">
        <v>768</v>
      </c>
      <c r="D551" t="s">
        <v>653</v>
      </c>
      <c r="E551" t="s">
        <v>769</v>
      </c>
      <c r="F551">
        <v>49.99</v>
      </c>
      <c r="G551">
        <v>2</v>
      </c>
      <c r="H551">
        <v>20</v>
      </c>
      <c r="I551">
        <v>39.99</v>
      </c>
      <c r="J551">
        <v>79.98</v>
      </c>
      <c r="K551" t="s">
        <v>669</v>
      </c>
      <c r="L551" t="s">
        <v>656</v>
      </c>
      <c r="M551">
        <v>3</v>
      </c>
    </row>
    <row r="552" spans="1:13" x14ac:dyDescent="0.25">
      <c r="A552" t="s">
        <v>1630</v>
      </c>
      <c r="B552" t="s">
        <v>245</v>
      </c>
      <c r="C552" t="s">
        <v>1450</v>
      </c>
      <c r="D552" t="s">
        <v>680</v>
      </c>
      <c r="E552" t="s">
        <v>749</v>
      </c>
      <c r="F552">
        <v>14.99</v>
      </c>
      <c r="G552">
        <v>3</v>
      </c>
      <c r="H552">
        <v>15</v>
      </c>
      <c r="I552">
        <v>12.74</v>
      </c>
      <c r="J552">
        <v>38.22</v>
      </c>
      <c r="K552" t="s">
        <v>682</v>
      </c>
      <c r="L552" t="s">
        <v>656</v>
      </c>
      <c r="M552">
        <v>3</v>
      </c>
    </row>
    <row r="553" spans="1:13" x14ac:dyDescent="0.25">
      <c r="A553" t="s">
        <v>1631</v>
      </c>
      <c r="B553" t="s">
        <v>245</v>
      </c>
      <c r="C553" t="s">
        <v>1560</v>
      </c>
      <c r="D553" t="s">
        <v>710</v>
      </c>
      <c r="E553" t="s">
        <v>744</v>
      </c>
      <c r="F553">
        <v>29.99</v>
      </c>
      <c r="G553">
        <v>1</v>
      </c>
      <c r="H553">
        <v>20</v>
      </c>
      <c r="I553">
        <v>23.99</v>
      </c>
      <c r="J553">
        <v>23.99</v>
      </c>
      <c r="K553" t="s">
        <v>655</v>
      </c>
      <c r="L553" t="s">
        <v>788</v>
      </c>
      <c r="M553">
        <v>4</v>
      </c>
    </row>
    <row r="554" spans="1:13" x14ac:dyDescent="0.25">
      <c r="A554" t="s">
        <v>1632</v>
      </c>
      <c r="B554" t="s">
        <v>245</v>
      </c>
      <c r="C554" t="s">
        <v>1211</v>
      </c>
      <c r="D554" t="s">
        <v>710</v>
      </c>
      <c r="E554" t="s">
        <v>711</v>
      </c>
      <c r="F554">
        <v>14.99</v>
      </c>
      <c r="G554">
        <v>2</v>
      </c>
      <c r="H554">
        <v>0</v>
      </c>
      <c r="I554">
        <v>14.99</v>
      </c>
      <c r="J554">
        <v>29.98</v>
      </c>
      <c r="K554" t="s">
        <v>682</v>
      </c>
      <c r="L554" t="s">
        <v>656</v>
      </c>
    </row>
    <row r="555" spans="1:13" x14ac:dyDescent="0.25">
      <c r="A555" t="s">
        <v>1633</v>
      </c>
      <c r="B555" t="s">
        <v>245</v>
      </c>
      <c r="C555" t="s">
        <v>1147</v>
      </c>
      <c r="D555" t="s">
        <v>672</v>
      </c>
      <c r="E555" t="s">
        <v>735</v>
      </c>
      <c r="F555">
        <v>44.99</v>
      </c>
      <c r="G555">
        <v>2</v>
      </c>
      <c r="H555">
        <v>20</v>
      </c>
      <c r="I555">
        <v>35.99</v>
      </c>
      <c r="J555">
        <v>71.98</v>
      </c>
      <c r="K555" t="s">
        <v>682</v>
      </c>
      <c r="L555" t="s">
        <v>656</v>
      </c>
      <c r="M555">
        <v>3</v>
      </c>
    </row>
    <row r="556" spans="1:13" x14ac:dyDescent="0.25">
      <c r="A556" t="s">
        <v>1634</v>
      </c>
      <c r="B556" t="s">
        <v>245</v>
      </c>
      <c r="C556" t="s">
        <v>1635</v>
      </c>
      <c r="D556" t="s">
        <v>667</v>
      </c>
      <c r="E556" t="s">
        <v>696</v>
      </c>
      <c r="F556">
        <v>59.99</v>
      </c>
      <c r="G556">
        <v>1</v>
      </c>
      <c r="H556">
        <v>0</v>
      </c>
      <c r="I556">
        <v>59.99</v>
      </c>
      <c r="J556">
        <v>59.99</v>
      </c>
      <c r="K556" t="s">
        <v>682</v>
      </c>
      <c r="L556" t="s">
        <v>656</v>
      </c>
      <c r="M556">
        <v>4</v>
      </c>
    </row>
    <row r="557" spans="1:13" x14ac:dyDescent="0.25">
      <c r="A557" t="s">
        <v>1636</v>
      </c>
      <c r="B557" t="s">
        <v>245</v>
      </c>
      <c r="C557" t="s">
        <v>1637</v>
      </c>
      <c r="D557" t="s">
        <v>667</v>
      </c>
      <c r="E557" t="s">
        <v>699</v>
      </c>
      <c r="F557">
        <v>89.99</v>
      </c>
      <c r="G557">
        <v>2</v>
      </c>
      <c r="H557">
        <v>10</v>
      </c>
      <c r="I557">
        <v>80.989999999999995</v>
      </c>
      <c r="J557">
        <v>161.97999999999999</v>
      </c>
      <c r="K557" t="s">
        <v>661</v>
      </c>
      <c r="L557" t="s">
        <v>656</v>
      </c>
    </row>
    <row r="558" spans="1:13" x14ac:dyDescent="0.25">
      <c r="A558" t="s">
        <v>1638</v>
      </c>
      <c r="B558" t="s">
        <v>245</v>
      </c>
      <c r="C558" t="s">
        <v>704</v>
      </c>
      <c r="D558" t="s">
        <v>659</v>
      </c>
      <c r="E558" t="s">
        <v>762</v>
      </c>
      <c r="F558">
        <v>49.99</v>
      </c>
      <c r="G558">
        <v>3</v>
      </c>
      <c r="H558">
        <v>0</v>
      </c>
      <c r="I558">
        <v>49.99</v>
      </c>
      <c r="J558">
        <v>149.97</v>
      </c>
      <c r="K558" t="s">
        <v>682</v>
      </c>
      <c r="L558" t="s">
        <v>656</v>
      </c>
      <c r="M558">
        <v>5</v>
      </c>
    </row>
    <row r="559" spans="1:13" x14ac:dyDescent="0.25">
      <c r="A559" t="s">
        <v>1639</v>
      </c>
      <c r="B559" t="s">
        <v>245</v>
      </c>
      <c r="C559" t="s">
        <v>1640</v>
      </c>
      <c r="D559" t="s">
        <v>653</v>
      </c>
      <c r="E559" t="s">
        <v>827</v>
      </c>
      <c r="F559">
        <v>29.99</v>
      </c>
      <c r="G559">
        <v>2</v>
      </c>
      <c r="H559">
        <v>20</v>
      </c>
      <c r="I559">
        <v>23.99</v>
      </c>
      <c r="J559">
        <v>47.98</v>
      </c>
      <c r="K559" t="s">
        <v>682</v>
      </c>
      <c r="L559" t="s">
        <v>693</v>
      </c>
    </row>
    <row r="560" spans="1:13" x14ac:dyDescent="0.25">
      <c r="A560" t="s">
        <v>1641</v>
      </c>
      <c r="B560" t="s">
        <v>245</v>
      </c>
      <c r="C560" t="s">
        <v>1642</v>
      </c>
      <c r="D560" t="s">
        <v>710</v>
      </c>
      <c r="E560" t="s">
        <v>744</v>
      </c>
      <c r="F560">
        <v>29.99</v>
      </c>
      <c r="G560">
        <v>4</v>
      </c>
      <c r="H560">
        <v>10</v>
      </c>
      <c r="I560">
        <v>26.99</v>
      </c>
      <c r="J560">
        <v>107.96</v>
      </c>
      <c r="K560" t="s">
        <v>675</v>
      </c>
      <c r="L560" t="s">
        <v>656</v>
      </c>
    </row>
    <row r="561" spans="1:13" x14ac:dyDescent="0.25">
      <c r="A561" t="s">
        <v>1643</v>
      </c>
      <c r="B561" t="s">
        <v>245</v>
      </c>
      <c r="C561" t="s">
        <v>781</v>
      </c>
      <c r="D561" t="s">
        <v>659</v>
      </c>
      <c r="E561" t="s">
        <v>664</v>
      </c>
      <c r="F561">
        <v>24.99</v>
      </c>
      <c r="G561">
        <v>3</v>
      </c>
      <c r="H561">
        <v>20</v>
      </c>
      <c r="I561">
        <v>19.989999999999998</v>
      </c>
      <c r="J561">
        <v>59.97</v>
      </c>
      <c r="K561" t="s">
        <v>661</v>
      </c>
      <c r="L561" t="s">
        <v>788</v>
      </c>
    </row>
    <row r="562" spans="1:13" x14ac:dyDescent="0.25">
      <c r="A562" t="s">
        <v>1644</v>
      </c>
      <c r="B562" t="s">
        <v>248</v>
      </c>
      <c r="C562" t="s">
        <v>448</v>
      </c>
      <c r="D562" t="s">
        <v>680</v>
      </c>
      <c r="E562" t="s">
        <v>749</v>
      </c>
      <c r="F562">
        <v>14.99</v>
      </c>
      <c r="G562">
        <v>4</v>
      </c>
      <c r="H562">
        <v>15</v>
      </c>
      <c r="I562">
        <v>12.74</v>
      </c>
      <c r="J562">
        <v>50.96</v>
      </c>
      <c r="K562" t="s">
        <v>675</v>
      </c>
      <c r="L562" t="s">
        <v>739</v>
      </c>
      <c r="M562">
        <v>2</v>
      </c>
    </row>
    <row r="563" spans="1:13" x14ac:dyDescent="0.25">
      <c r="A563" t="s">
        <v>1645</v>
      </c>
      <c r="B563" t="s">
        <v>248</v>
      </c>
      <c r="C563" t="s">
        <v>1604</v>
      </c>
      <c r="D563" t="s">
        <v>672</v>
      </c>
      <c r="E563" t="s">
        <v>803</v>
      </c>
      <c r="F563">
        <v>69.989999999999995</v>
      </c>
      <c r="G563">
        <v>2</v>
      </c>
      <c r="H563">
        <v>10</v>
      </c>
      <c r="I563">
        <v>62.99</v>
      </c>
      <c r="J563">
        <v>125.98</v>
      </c>
      <c r="K563" t="s">
        <v>655</v>
      </c>
      <c r="L563" t="s">
        <v>656</v>
      </c>
      <c r="M563">
        <v>5</v>
      </c>
    </row>
    <row r="564" spans="1:13" x14ac:dyDescent="0.25">
      <c r="A564" t="s">
        <v>1646</v>
      </c>
      <c r="B564" t="s">
        <v>248</v>
      </c>
      <c r="C564" t="s">
        <v>1647</v>
      </c>
      <c r="D564" t="s">
        <v>710</v>
      </c>
      <c r="E564" t="s">
        <v>744</v>
      </c>
      <c r="F564">
        <v>29.99</v>
      </c>
      <c r="G564">
        <v>3</v>
      </c>
      <c r="H564">
        <v>10</v>
      </c>
      <c r="I564">
        <v>26.99</v>
      </c>
      <c r="J564">
        <v>80.97</v>
      </c>
      <c r="K564" t="s">
        <v>669</v>
      </c>
      <c r="L564" t="s">
        <v>656</v>
      </c>
    </row>
    <row r="565" spans="1:13" x14ac:dyDescent="0.25">
      <c r="A565" t="s">
        <v>1648</v>
      </c>
      <c r="B565" t="s">
        <v>251</v>
      </c>
      <c r="C565" t="s">
        <v>1649</v>
      </c>
      <c r="D565" t="s">
        <v>710</v>
      </c>
      <c r="E565" t="s">
        <v>711</v>
      </c>
      <c r="F565">
        <v>14.99</v>
      </c>
      <c r="G565">
        <v>2</v>
      </c>
      <c r="H565">
        <v>0</v>
      </c>
      <c r="I565">
        <v>14.99</v>
      </c>
      <c r="J565">
        <v>29.98</v>
      </c>
      <c r="K565" t="s">
        <v>669</v>
      </c>
      <c r="L565" t="s">
        <v>656</v>
      </c>
      <c r="M565">
        <v>4</v>
      </c>
    </row>
    <row r="566" spans="1:13" x14ac:dyDescent="0.25">
      <c r="A566" t="s">
        <v>1650</v>
      </c>
      <c r="B566" t="s">
        <v>251</v>
      </c>
      <c r="C566" t="s">
        <v>1651</v>
      </c>
      <c r="D566" t="s">
        <v>659</v>
      </c>
      <c r="E566" t="s">
        <v>762</v>
      </c>
      <c r="F566">
        <v>49.99</v>
      </c>
      <c r="G566">
        <v>1</v>
      </c>
      <c r="H566">
        <v>5</v>
      </c>
      <c r="I566">
        <v>47.49</v>
      </c>
      <c r="J566">
        <v>47.49</v>
      </c>
      <c r="K566" t="s">
        <v>682</v>
      </c>
      <c r="L566" t="s">
        <v>656</v>
      </c>
      <c r="M566">
        <v>4</v>
      </c>
    </row>
    <row r="567" spans="1:13" x14ac:dyDescent="0.25">
      <c r="A567" t="s">
        <v>1652</v>
      </c>
      <c r="B567" t="s">
        <v>251</v>
      </c>
      <c r="C567" t="s">
        <v>1653</v>
      </c>
      <c r="D567" t="s">
        <v>672</v>
      </c>
      <c r="E567" t="s">
        <v>735</v>
      </c>
      <c r="F567">
        <v>44.99</v>
      </c>
      <c r="G567">
        <v>2</v>
      </c>
      <c r="H567">
        <v>0</v>
      </c>
      <c r="I567">
        <v>44.99</v>
      </c>
      <c r="J567">
        <v>89.98</v>
      </c>
      <c r="K567" t="s">
        <v>669</v>
      </c>
      <c r="L567" t="s">
        <v>656</v>
      </c>
      <c r="M567">
        <v>4</v>
      </c>
    </row>
    <row r="568" spans="1:13" x14ac:dyDescent="0.25">
      <c r="A568" t="s">
        <v>1654</v>
      </c>
      <c r="B568" t="s">
        <v>251</v>
      </c>
      <c r="C568" t="s">
        <v>1655</v>
      </c>
      <c r="D568" t="s">
        <v>710</v>
      </c>
      <c r="E568" t="s">
        <v>730</v>
      </c>
      <c r="F568">
        <v>39.99</v>
      </c>
      <c r="G568">
        <v>3</v>
      </c>
      <c r="H568">
        <v>0</v>
      </c>
      <c r="I568">
        <v>39.99</v>
      </c>
      <c r="J568">
        <v>119.97</v>
      </c>
      <c r="K568" t="s">
        <v>655</v>
      </c>
      <c r="L568" t="s">
        <v>656</v>
      </c>
      <c r="M568">
        <v>5</v>
      </c>
    </row>
    <row r="569" spans="1:13" x14ac:dyDescent="0.25">
      <c r="A569" t="s">
        <v>1656</v>
      </c>
      <c r="B569" t="s">
        <v>251</v>
      </c>
      <c r="C569" t="s">
        <v>1294</v>
      </c>
      <c r="D569" t="s">
        <v>680</v>
      </c>
      <c r="E569" t="s">
        <v>749</v>
      </c>
      <c r="F569">
        <v>14.99</v>
      </c>
      <c r="G569">
        <v>2</v>
      </c>
      <c r="H569">
        <v>0</v>
      </c>
      <c r="I569">
        <v>14.99</v>
      </c>
      <c r="J569">
        <v>29.98</v>
      </c>
      <c r="K569" t="s">
        <v>675</v>
      </c>
      <c r="L569" t="s">
        <v>656</v>
      </c>
      <c r="M569">
        <v>4</v>
      </c>
    </row>
    <row r="570" spans="1:13" x14ac:dyDescent="0.25">
      <c r="A570" t="s">
        <v>1657</v>
      </c>
      <c r="B570" t="s">
        <v>251</v>
      </c>
      <c r="C570" t="s">
        <v>1337</v>
      </c>
      <c r="D570" t="s">
        <v>672</v>
      </c>
      <c r="E570" t="s">
        <v>673</v>
      </c>
      <c r="F570">
        <v>24.99</v>
      </c>
      <c r="G570">
        <v>3</v>
      </c>
      <c r="H570">
        <v>0</v>
      </c>
      <c r="I570">
        <v>24.99</v>
      </c>
      <c r="J570">
        <v>74.97</v>
      </c>
      <c r="K570" t="s">
        <v>675</v>
      </c>
      <c r="L570" t="s">
        <v>656</v>
      </c>
      <c r="M570">
        <v>4</v>
      </c>
    </row>
    <row r="571" spans="1:13" x14ac:dyDescent="0.25">
      <c r="A571" t="s">
        <v>1658</v>
      </c>
      <c r="B571" t="s">
        <v>251</v>
      </c>
      <c r="C571" t="s">
        <v>565</v>
      </c>
      <c r="D571" t="s">
        <v>684</v>
      </c>
      <c r="E571" t="s">
        <v>705</v>
      </c>
      <c r="F571">
        <v>79.989999999999995</v>
      </c>
      <c r="G571">
        <v>1</v>
      </c>
      <c r="H571">
        <v>10</v>
      </c>
      <c r="I571">
        <v>71.989999999999995</v>
      </c>
      <c r="J571">
        <v>71.989999999999995</v>
      </c>
      <c r="K571" t="s">
        <v>661</v>
      </c>
      <c r="L571" t="s">
        <v>656</v>
      </c>
    </row>
    <row r="572" spans="1:13" x14ac:dyDescent="0.25">
      <c r="A572" t="s">
        <v>1659</v>
      </c>
      <c r="B572" t="s">
        <v>254</v>
      </c>
      <c r="C572" t="s">
        <v>1126</v>
      </c>
      <c r="D572" t="s">
        <v>653</v>
      </c>
      <c r="E572" t="s">
        <v>769</v>
      </c>
      <c r="F572">
        <v>49.99</v>
      </c>
      <c r="G572">
        <v>4</v>
      </c>
      <c r="H572">
        <v>0</v>
      </c>
      <c r="I572">
        <v>49.99</v>
      </c>
      <c r="J572">
        <v>199.96</v>
      </c>
      <c r="K572" t="s">
        <v>661</v>
      </c>
      <c r="L572" t="s">
        <v>656</v>
      </c>
    </row>
    <row r="573" spans="1:13" x14ac:dyDescent="0.25">
      <c r="A573" t="s">
        <v>1660</v>
      </c>
      <c r="B573" t="s">
        <v>257</v>
      </c>
      <c r="C573" t="s">
        <v>1661</v>
      </c>
      <c r="D573" t="s">
        <v>680</v>
      </c>
      <c r="E573" t="s">
        <v>708</v>
      </c>
      <c r="F573">
        <v>24.99</v>
      </c>
      <c r="G573">
        <v>4</v>
      </c>
      <c r="H573">
        <v>10</v>
      </c>
      <c r="I573">
        <v>22.49</v>
      </c>
      <c r="J573">
        <v>89.96</v>
      </c>
      <c r="K573" t="s">
        <v>669</v>
      </c>
      <c r="L573" t="s">
        <v>656</v>
      </c>
      <c r="M573">
        <v>2</v>
      </c>
    </row>
    <row r="574" spans="1:13" x14ac:dyDescent="0.25">
      <c r="A574" t="s">
        <v>1662</v>
      </c>
      <c r="B574" t="s">
        <v>257</v>
      </c>
      <c r="C574" t="s">
        <v>1663</v>
      </c>
      <c r="D574" t="s">
        <v>710</v>
      </c>
      <c r="E574" t="s">
        <v>744</v>
      </c>
      <c r="F574">
        <v>29.99</v>
      </c>
      <c r="G574">
        <v>3</v>
      </c>
      <c r="H574">
        <v>0</v>
      </c>
      <c r="I574">
        <v>29.99</v>
      </c>
      <c r="J574">
        <v>89.97</v>
      </c>
      <c r="K574" t="s">
        <v>655</v>
      </c>
      <c r="L574" t="s">
        <v>656</v>
      </c>
      <c r="M574">
        <v>4</v>
      </c>
    </row>
    <row r="575" spans="1:13" x14ac:dyDescent="0.25">
      <c r="A575" t="s">
        <v>1664</v>
      </c>
      <c r="B575" t="s">
        <v>257</v>
      </c>
      <c r="C575" t="s">
        <v>1401</v>
      </c>
      <c r="D575" t="s">
        <v>710</v>
      </c>
      <c r="E575" t="s">
        <v>730</v>
      </c>
      <c r="F575">
        <v>39.99</v>
      </c>
      <c r="G575">
        <v>3</v>
      </c>
      <c r="H575">
        <v>0</v>
      </c>
      <c r="I575">
        <v>39.99</v>
      </c>
      <c r="J575">
        <v>119.97</v>
      </c>
      <c r="K575" t="s">
        <v>655</v>
      </c>
      <c r="L575" t="s">
        <v>656</v>
      </c>
    </row>
    <row r="576" spans="1:13" x14ac:dyDescent="0.25">
      <c r="A576" t="s">
        <v>1665</v>
      </c>
      <c r="B576" t="s">
        <v>257</v>
      </c>
      <c r="C576" t="s">
        <v>1666</v>
      </c>
      <c r="D576" t="s">
        <v>659</v>
      </c>
      <c r="E576" t="s">
        <v>820</v>
      </c>
      <c r="F576">
        <v>39.99</v>
      </c>
      <c r="G576">
        <v>4</v>
      </c>
      <c r="H576">
        <v>0</v>
      </c>
      <c r="I576">
        <v>39.99</v>
      </c>
      <c r="J576">
        <v>159.96</v>
      </c>
      <c r="K576" t="s">
        <v>661</v>
      </c>
      <c r="L576" t="s">
        <v>656</v>
      </c>
    </row>
    <row r="577" spans="1:13" x14ac:dyDescent="0.25">
      <c r="A577" t="s">
        <v>1667</v>
      </c>
      <c r="B577" t="s">
        <v>257</v>
      </c>
      <c r="C577" t="s">
        <v>952</v>
      </c>
      <c r="D577" t="s">
        <v>684</v>
      </c>
      <c r="E577" t="s">
        <v>815</v>
      </c>
      <c r="F577">
        <v>34.99</v>
      </c>
      <c r="G577">
        <v>1</v>
      </c>
      <c r="H577">
        <v>0</v>
      </c>
      <c r="I577">
        <v>34.99</v>
      </c>
      <c r="J577">
        <v>34.99</v>
      </c>
      <c r="K577" t="s">
        <v>675</v>
      </c>
      <c r="L577" t="s">
        <v>656</v>
      </c>
    </row>
    <row r="578" spans="1:13" x14ac:dyDescent="0.25">
      <c r="A578" t="s">
        <v>1668</v>
      </c>
      <c r="B578" t="s">
        <v>257</v>
      </c>
      <c r="C578" t="s">
        <v>862</v>
      </c>
      <c r="D578" t="s">
        <v>659</v>
      </c>
      <c r="E578" t="s">
        <v>664</v>
      </c>
      <c r="F578">
        <v>24.99</v>
      </c>
      <c r="G578">
        <v>1</v>
      </c>
      <c r="H578">
        <v>10</v>
      </c>
      <c r="I578">
        <v>22.49</v>
      </c>
      <c r="J578">
        <v>22.49</v>
      </c>
      <c r="K578" t="s">
        <v>682</v>
      </c>
      <c r="L578" t="s">
        <v>656</v>
      </c>
    </row>
    <row r="579" spans="1:13" x14ac:dyDescent="0.25">
      <c r="A579" t="s">
        <v>1669</v>
      </c>
      <c r="B579" t="s">
        <v>257</v>
      </c>
      <c r="C579" t="s">
        <v>1670</v>
      </c>
      <c r="D579" t="s">
        <v>672</v>
      </c>
      <c r="E579" t="s">
        <v>724</v>
      </c>
      <c r="F579">
        <v>89.99</v>
      </c>
      <c r="G579">
        <v>2</v>
      </c>
      <c r="H579">
        <v>10</v>
      </c>
      <c r="I579">
        <v>80.989999999999995</v>
      </c>
      <c r="J579">
        <v>161.97999999999999</v>
      </c>
      <c r="K579" t="s">
        <v>669</v>
      </c>
      <c r="L579" t="s">
        <v>656</v>
      </c>
      <c r="M579">
        <v>3</v>
      </c>
    </row>
    <row r="580" spans="1:13" x14ac:dyDescent="0.25">
      <c r="A580" t="s">
        <v>1671</v>
      </c>
      <c r="B580" t="s">
        <v>257</v>
      </c>
      <c r="C580" t="s">
        <v>1294</v>
      </c>
      <c r="D580" t="s">
        <v>672</v>
      </c>
      <c r="E580" t="s">
        <v>673</v>
      </c>
      <c r="F580">
        <v>24.99</v>
      </c>
      <c r="G580">
        <v>1</v>
      </c>
      <c r="H580">
        <v>15</v>
      </c>
      <c r="I580">
        <v>21.24</v>
      </c>
      <c r="J580">
        <v>21.24</v>
      </c>
      <c r="K580" t="s">
        <v>669</v>
      </c>
      <c r="L580" t="s">
        <v>656</v>
      </c>
      <c r="M580">
        <v>5</v>
      </c>
    </row>
    <row r="581" spans="1:13" x14ac:dyDescent="0.25">
      <c r="A581" t="s">
        <v>1672</v>
      </c>
      <c r="B581" t="s">
        <v>257</v>
      </c>
      <c r="C581" t="s">
        <v>428</v>
      </c>
      <c r="D581" t="s">
        <v>667</v>
      </c>
      <c r="E581" t="s">
        <v>668</v>
      </c>
      <c r="F581">
        <v>64.989999999999995</v>
      </c>
      <c r="G581">
        <v>3</v>
      </c>
      <c r="H581">
        <v>5</v>
      </c>
      <c r="I581">
        <v>61.74</v>
      </c>
      <c r="J581">
        <v>185.22</v>
      </c>
      <c r="K581" t="s">
        <v>655</v>
      </c>
      <c r="L581" t="s">
        <v>656</v>
      </c>
      <c r="M581">
        <v>5</v>
      </c>
    </row>
    <row r="582" spans="1:13" x14ac:dyDescent="0.25">
      <c r="A582" t="s">
        <v>1673</v>
      </c>
      <c r="B582" t="s">
        <v>257</v>
      </c>
      <c r="C582" t="s">
        <v>428</v>
      </c>
      <c r="D582" t="s">
        <v>684</v>
      </c>
      <c r="E582" t="s">
        <v>705</v>
      </c>
      <c r="F582">
        <v>79.989999999999995</v>
      </c>
      <c r="G582">
        <v>4</v>
      </c>
      <c r="H582">
        <v>0</v>
      </c>
      <c r="I582">
        <v>79.989999999999995</v>
      </c>
      <c r="J582">
        <v>319.95999999999998</v>
      </c>
      <c r="K582" t="s">
        <v>655</v>
      </c>
      <c r="L582" t="s">
        <v>656</v>
      </c>
    </row>
    <row r="583" spans="1:13" x14ac:dyDescent="0.25">
      <c r="A583" t="s">
        <v>1674</v>
      </c>
      <c r="B583" t="s">
        <v>257</v>
      </c>
      <c r="C583" t="s">
        <v>1675</v>
      </c>
      <c r="D583" t="s">
        <v>672</v>
      </c>
      <c r="E583" t="s">
        <v>673</v>
      </c>
      <c r="F583">
        <v>24.99</v>
      </c>
      <c r="G583">
        <v>2</v>
      </c>
      <c r="H583">
        <v>0</v>
      </c>
      <c r="I583">
        <v>24.99</v>
      </c>
      <c r="J583">
        <v>49.98</v>
      </c>
      <c r="K583" t="s">
        <v>682</v>
      </c>
      <c r="L583" t="s">
        <v>656</v>
      </c>
    </row>
    <row r="584" spans="1:13" x14ac:dyDescent="0.25">
      <c r="A584" t="s">
        <v>1676</v>
      </c>
      <c r="B584" t="s">
        <v>257</v>
      </c>
      <c r="C584" t="s">
        <v>1140</v>
      </c>
      <c r="D584" t="s">
        <v>672</v>
      </c>
      <c r="E584" t="s">
        <v>673</v>
      </c>
      <c r="F584">
        <v>24.99</v>
      </c>
      <c r="G584">
        <v>3</v>
      </c>
      <c r="H584">
        <v>0</v>
      </c>
      <c r="I584">
        <v>24.99</v>
      </c>
      <c r="J584">
        <v>74.97</v>
      </c>
      <c r="K584" t="s">
        <v>682</v>
      </c>
      <c r="L584" t="s">
        <v>656</v>
      </c>
      <c r="M584">
        <v>2</v>
      </c>
    </row>
    <row r="585" spans="1:13" x14ac:dyDescent="0.25">
      <c r="A585" t="s">
        <v>1677</v>
      </c>
      <c r="B585" t="s">
        <v>257</v>
      </c>
      <c r="C585" t="s">
        <v>1678</v>
      </c>
      <c r="D585" t="s">
        <v>659</v>
      </c>
      <c r="E585" t="s">
        <v>660</v>
      </c>
      <c r="F585">
        <v>19.989999999999998</v>
      </c>
      <c r="G585">
        <v>2</v>
      </c>
      <c r="H585">
        <v>10</v>
      </c>
      <c r="I585">
        <v>17.989999999999998</v>
      </c>
      <c r="J585">
        <v>35.979999999999997</v>
      </c>
      <c r="K585" t="s">
        <v>661</v>
      </c>
      <c r="L585" t="s">
        <v>788</v>
      </c>
      <c r="M585">
        <v>5</v>
      </c>
    </row>
    <row r="586" spans="1:13" x14ac:dyDescent="0.25">
      <c r="A586" t="s">
        <v>1679</v>
      </c>
      <c r="B586" t="s">
        <v>260</v>
      </c>
      <c r="C586" t="s">
        <v>1680</v>
      </c>
      <c r="D586" t="s">
        <v>684</v>
      </c>
      <c r="E586" t="s">
        <v>685</v>
      </c>
      <c r="F586">
        <v>49.99</v>
      </c>
      <c r="G586">
        <v>2</v>
      </c>
      <c r="H586">
        <v>15</v>
      </c>
      <c r="I586">
        <v>42.49</v>
      </c>
      <c r="J586">
        <v>84.98</v>
      </c>
      <c r="K586" t="s">
        <v>661</v>
      </c>
      <c r="L586" t="s">
        <v>656</v>
      </c>
      <c r="M586">
        <v>3</v>
      </c>
    </row>
    <row r="587" spans="1:13" x14ac:dyDescent="0.25">
      <c r="A587" t="s">
        <v>1681</v>
      </c>
      <c r="B587" t="s">
        <v>263</v>
      </c>
      <c r="C587" t="s">
        <v>1682</v>
      </c>
      <c r="D587" t="s">
        <v>710</v>
      </c>
      <c r="E587" t="s">
        <v>711</v>
      </c>
      <c r="F587">
        <v>14.99</v>
      </c>
      <c r="G587">
        <v>4</v>
      </c>
      <c r="H587">
        <v>0</v>
      </c>
      <c r="I587">
        <v>14.99</v>
      </c>
      <c r="J587">
        <v>59.96</v>
      </c>
      <c r="K587" t="s">
        <v>682</v>
      </c>
      <c r="L587" t="s">
        <v>656</v>
      </c>
      <c r="M587">
        <v>5</v>
      </c>
    </row>
    <row r="588" spans="1:13" x14ac:dyDescent="0.25">
      <c r="A588" t="s">
        <v>1683</v>
      </c>
      <c r="B588" t="s">
        <v>263</v>
      </c>
      <c r="C588" t="s">
        <v>138</v>
      </c>
      <c r="D588" t="s">
        <v>653</v>
      </c>
      <c r="E588" t="s">
        <v>727</v>
      </c>
      <c r="F588">
        <v>14.99</v>
      </c>
      <c r="G588">
        <v>4</v>
      </c>
      <c r="H588">
        <v>0</v>
      </c>
      <c r="I588">
        <v>14.99</v>
      </c>
      <c r="J588">
        <v>59.96</v>
      </c>
      <c r="K588" t="s">
        <v>655</v>
      </c>
      <c r="L588" t="s">
        <v>656</v>
      </c>
      <c r="M588">
        <v>4</v>
      </c>
    </row>
    <row r="589" spans="1:13" x14ac:dyDescent="0.25">
      <c r="A589" t="s">
        <v>1684</v>
      </c>
      <c r="B589" t="s">
        <v>263</v>
      </c>
      <c r="C589" t="s">
        <v>1685</v>
      </c>
      <c r="D589" t="s">
        <v>667</v>
      </c>
      <c r="E589" t="s">
        <v>714</v>
      </c>
      <c r="F589">
        <v>44.99</v>
      </c>
      <c r="G589">
        <v>3</v>
      </c>
      <c r="H589">
        <v>0</v>
      </c>
      <c r="I589">
        <v>44.99</v>
      </c>
      <c r="J589">
        <v>134.97</v>
      </c>
      <c r="K589" t="s">
        <v>675</v>
      </c>
      <c r="L589" t="s">
        <v>656</v>
      </c>
    </row>
    <row r="590" spans="1:13" x14ac:dyDescent="0.25">
      <c r="A590" t="s">
        <v>1686</v>
      </c>
      <c r="B590" t="s">
        <v>263</v>
      </c>
      <c r="C590" t="s">
        <v>1687</v>
      </c>
      <c r="D590" t="s">
        <v>710</v>
      </c>
      <c r="E590" t="s">
        <v>721</v>
      </c>
      <c r="F590">
        <v>24.99</v>
      </c>
      <c r="G590">
        <v>3</v>
      </c>
      <c r="H590">
        <v>0</v>
      </c>
      <c r="I590">
        <v>24.99</v>
      </c>
      <c r="J590">
        <v>74.97</v>
      </c>
      <c r="K590" t="s">
        <v>675</v>
      </c>
      <c r="L590" t="s">
        <v>656</v>
      </c>
      <c r="M590">
        <v>3</v>
      </c>
    </row>
    <row r="591" spans="1:13" x14ac:dyDescent="0.25">
      <c r="A591" t="s">
        <v>1688</v>
      </c>
      <c r="B591" t="s">
        <v>263</v>
      </c>
      <c r="C591" t="s">
        <v>883</v>
      </c>
      <c r="D591" t="s">
        <v>684</v>
      </c>
      <c r="E591" t="s">
        <v>815</v>
      </c>
      <c r="F591">
        <v>34.99</v>
      </c>
      <c r="G591">
        <v>4</v>
      </c>
      <c r="H591">
        <v>0</v>
      </c>
      <c r="I591">
        <v>34.99</v>
      </c>
      <c r="J591">
        <v>139.96</v>
      </c>
      <c r="K591" t="s">
        <v>661</v>
      </c>
      <c r="L591" t="s">
        <v>656</v>
      </c>
      <c r="M591">
        <v>5</v>
      </c>
    </row>
    <row r="592" spans="1:13" x14ac:dyDescent="0.25">
      <c r="A592" t="s">
        <v>1689</v>
      </c>
      <c r="B592" t="s">
        <v>263</v>
      </c>
      <c r="C592" t="s">
        <v>1690</v>
      </c>
      <c r="D592" t="s">
        <v>667</v>
      </c>
      <c r="E592" t="s">
        <v>699</v>
      </c>
      <c r="F592">
        <v>89.99</v>
      </c>
      <c r="G592">
        <v>1</v>
      </c>
      <c r="H592">
        <v>0</v>
      </c>
      <c r="I592">
        <v>89.99</v>
      </c>
      <c r="J592">
        <v>89.99</v>
      </c>
      <c r="K592" t="s">
        <v>655</v>
      </c>
      <c r="L592" t="s">
        <v>693</v>
      </c>
      <c r="M592">
        <v>4</v>
      </c>
    </row>
    <row r="593" spans="1:13" x14ac:dyDescent="0.25">
      <c r="A593" t="s">
        <v>1691</v>
      </c>
      <c r="B593" t="s">
        <v>263</v>
      </c>
      <c r="C593" t="s">
        <v>1692</v>
      </c>
      <c r="D593" t="s">
        <v>680</v>
      </c>
      <c r="E593" t="s">
        <v>708</v>
      </c>
      <c r="F593">
        <v>24.99</v>
      </c>
      <c r="G593">
        <v>4</v>
      </c>
      <c r="H593">
        <v>15</v>
      </c>
      <c r="I593">
        <v>21.24</v>
      </c>
      <c r="J593">
        <v>84.96</v>
      </c>
      <c r="K593" t="s">
        <v>655</v>
      </c>
      <c r="L593" t="s">
        <v>656</v>
      </c>
    </row>
    <row r="594" spans="1:13" x14ac:dyDescent="0.25">
      <c r="A594" t="s">
        <v>1693</v>
      </c>
      <c r="B594" t="s">
        <v>263</v>
      </c>
      <c r="C594" t="s">
        <v>274</v>
      </c>
      <c r="D594" t="s">
        <v>653</v>
      </c>
      <c r="E594" t="s">
        <v>769</v>
      </c>
      <c r="F594">
        <v>49.99</v>
      </c>
      <c r="G594">
        <v>1</v>
      </c>
      <c r="H594">
        <v>10</v>
      </c>
      <c r="I594">
        <v>44.99</v>
      </c>
      <c r="J594">
        <v>44.99</v>
      </c>
      <c r="K594" t="s">
        <v>669</v>
      </c>
      <c r="L594" t="s">
        <v>656</v>
      </c>
    </row>
    <row r="595" spans="1:13" x14ac:dyDescent="0.25">
      <c r="A595" t="s">
        <v>1694</v>
      </c>
      <c r="B595" t="s">
        <v>263</v>
      </c>
      <c r="C595" t="s">
        <v>1011</v>
      </c>
      <c r="D595" t="s">
        <v>667</v>
      </c>
      <c r="E595" t="s">
        <v>696</v>
      </c>
      <c r="F595">
        <v>59.99</v>
      </c>
      <c r="G595">
        <v>3</v>
      </c>
      <c r="H595">
        <v>5</v>
      </c>
      <c r="I595">
        <v>56.99</v>
      </c>
      <c r="J595">
        <v>170.97</v>
      </c>
      <c r="K595" t="s">
        <v>675</v>
      </c>
      <c r="L595" t="s">
        <v>693</v>
      </c>
      <c r="M595">
        <v>5</v>
      </c>
    </row>
    <row r="596" spans="1:13" x14ac:dyDescent="0.25">
      <c r="A596" t="s">
        <v>1695</v>
      </c>
      <c r="B596" t="s">
        <v>263</v>
      </c>
      <c r="C596" t="s">
        <v>1386</v>
      </c>
      <c r="D596" t="s">
        <v>710</v>
      </c>
      <c r="E596" t="s">
        <v>730</v>
      </c>
      <c r="F596">
        <v>39.99</v>
      </c>
      <c r="G596">
        <v>2</v>
      </c>
      <c r="H596">
        <v>10</v>
      </c>
      <c r="I596">
        <v>35.99</v>
      </c>
      <c r="J596">
        <v>71.98</v>
      </c>
      <c r="K596" t="s">
        <v>669</v>
      </c>
      <c r="L596" t="s">
        <v>656</v>
      </c>
      <c r="M596">
        <v>5</v>
      </c>
    </row>
    <row r="597" spans="1:13" x14ac:dyDescent="0.25">
      <c r="A597" t="s">
        <v>1696</v>
      </c>
      <c r="B597" t="s">
        <v>263</v>
      </c>
      <c r="C597" t="s">
        <v>1366</v>
      </c>
      <c r="D597" t="s">
        <v>659</v>
      </c>
      <c r="E597" t="s">
        <v>820</v>
      </c>
      <c r="F597">
        <v>39.99</v>
      </c>
      <c r="G597">
        <v>2</v>
      </c>
      <c r="H597">
        <v>20</v>
      </c>
      <c r="I597">
        <v>31.99</v>
      </c>
      <c r="J597">
        <v>63.98</v>
      </c>
      <c r="K597" t="s">
        <v>655</v>
      </c>
      <c r="L597" t="s">
        <v>656</v>
      </c>
      <c r="M597">
        <v>4</v>
      </c>
    </row>
    <row r="598" spans="1:13" x14ac:dyDescent="0.25">
      <c r="A598" t="s">
        <v>1697</v>
      </c>
      <c r="B598" t="s">
        <v>266</v>
      </c>
      <c r="C598" t="s">
        <v>122</v>
      </c>
      <c r="D598" t="s">
        <v>667</v>
      </c>
      <c r="E598" t="s">
        <v>696</v>
      </c>
      <c r="F598">
        <v>59.99</v>
      </c>
      <c r="G598">
        <v>3</v>
      </c>
      <c r="H598">
        <v>20</v>
      </c>
      <c r="I598">
        <v>47.99</v>
      </c>
      <c r="J598">
        <v>143.97</v>
      </c>
      <c r="K598" t="s">
        <v>661</v>
      </c>
      <c r="L598" t="s">
        <v>656</v>
      </c>
      <c r="M598">
        <v>1</v>
      </c>
    </row>
    <row r="599" spans="1:13" x14ac:dyDescent="0.25">
      <c r="A599" t="s">
        <v>1698</v>
      </c>
      <c r="B599" t="s">
        <v>266</v>
      </c>
      <c r="C599" t="s">
        <v>1699</v>
      </c>
      <c r="D599" t="s">
        <v>680</v>
      </c>
      <c r="E599" t="s">
        <v>708</v>
      </c>
      <c r="F599">
        <v>24.99</v>
      </c>
      <c r="G599">
        <v>4</v>
      </c>
      <c r="H599">
        <v>10</v>
      </c>
      <c r="I599">
        <v>22.49</v>
      </c>
      <c r="J599">
        <v>89.96</v>
      </c>
      <c r="K599" t="s">
        <v>655</v>
      </c>
      <c r="L599" t="s">
        <v>656</v>
      </c>
    </row>
    <row r="600" spans="1:13" x14ac:dyDescent="0.25">
      <c r="A600" t="s">
        <v>1700</v>
      </c>
      <c r="B600" t="s">
        <v>266</v>
      </c>
      <c r="C600" t="s">
        <v>901</v>
      </c>
      <c r="D600" t="s">
        <v>680</v>
      </c>
      <c r="E600" t="s">
        <v>708</v>
      </c>
      <c r="F600">
        <v>24.99</v>
      </c>
      <c r="G600">
        <v>4</v>
      </c>
      <c r="H600">
        <v>0</v>
      </c>
      <c r="I600">
        <v>24.99</v>
      </c>
      <c r="J600">
        <v>99.96</v>
      </c>
      <c r="K600" t="s">
        <v>682</v>
      </c>
      <c r="L600" t="s">
        <v>656</v>
      </c>
    </row>
    <row r="601" spans="1:13" x14ac:dyDescent="0.25">
      <c r="A601" t="s">
        <v>1701</v>
      </c>
      <c r="B601" t="s">
        <v>266</v>
      </c>
      <c r="C601" t="s">
        <v>1219</v>
      </c>
      <c r="D601" t="s">
        <v>667</v>
      </c>
      <c r="E601" t="s">
        <v>696</v>
      </c>
      <c r="F601">
        <v>59.99</v>
      </c>
      <c r="G601">
        <v>1</v>
      </c>
      <c r="H601">
        <v>15</v>
      </c>
      <c r="I601">
        <v>50.99</v>
      </c>
      <c r="J601">
        <v>50.99</v>
      </c>
      <c r="K601" t="s">
        <v>682</v>
      </c>
      <c r="L601" t="s">
        <v>656</v>
      </c>
      <c r="M601">
        <v>5</v>
      </c>
    </row>
    <row r="602" spans="1:13" x14ac:dyDescent="0.25">
      <c r="A602" t="s">
        <v>1702</v>
      </c>
      <c r="B602" t="s">
        <v>266</v>
      </c>
      <c r="C602" t="s">
        <v>1059</v>
      </c>
      <c r="D602" t="s">
        <v>710</v>
      </c>
      <c r="E602" t="s">
        <v>721</v>
      </c>
      <c r="F602">
        <v>24.99</v>
      </c>
      <c r="G602">
        <v>2</v>
      </c>
      <c r="H602">
        <v>15</v>
      </c>
      <c r="I602">
        <v>21.24</v>
      </c>
      <c r="J602">
        <v>42.48</v>
      </c>
      <c r="K602" t="s">
        <v>661</v>
      </c>
      <c r="L602" t="s">
        <v>788</v>
      </c>
      <c r="M602">
        <v>4</v>
      </c>
    </row>
    <row r="603" spans="1:13" x14ac:dyDescent="0.25">
      <c r="A603" t="s">
        <v>1703</v>
      </c>
      <c r="B603" t="s">
        <v>266</v>
      </c>
      <c r="C603" t="s">
        <v>1704</v>
      </c>
      <c r="D603" t="s">
        <v>672</v>
      </c>
      <c r="E603" t="s">
        <v>673</v>
      </c>
      <c r="F603">
        <v>24.99</v>
      </c>
      <c r="G603">
        <v>2</v>
      </c>
      <c r="H603">
        <v>10</v>
      </c>
      <c r="I603">
        <v>22.49</v>
      </c>
      <c r="J603">
        <v>44.98</v>
      </c>
      <c r="K603" t="s">
        <v>655</v>
      </c>
      <c r="L603" t="s">
        <v>656</v>
      </c>
    </row>
    <row r="604" spans="1:13" x14ac:dyDescent="0.25">
      <c r="A604" t="s">
        <v>1705</v>
      </c>
      <c r="B604" t="s">
        <v>266</v>
      </c>
      <c r="C604" t="s">
        <v>1706</v>
      </c>
      <c r="D604" t="s">
        <v>659</v>
      </c>
      <c r="E604" t="s">
        <v>664</v>
      </c>
      <c r="F604">
        <v>24.99</v>
      </c>
      <c r="G604">
        <v>2</v>
      </c>
      <c r="H604">
        <v>0</v>
      </c>
      <c r="I604">
        <v>24.99</v>
      </c>
      <c r="J604">
        <v>49.98</v>
      </c>
      <c r="K604" t="s">
        <v>682</v>
      </c>
      <c r="L604" t="s">
        <v>656</v>
      </c>
      <c r="M604">
        <v>5</v>
      </c>
    </row>
    <row r="605" spans="1:13" x14ac:dyDescent="0.25">
      <c r="A605" t="s">
        <v>1707</v>
      </c>
      <c r="B605" t="s">
        <v>266</v>
      </c>
      <c r="C605" t="s">
        <v>1708</v>
      </c>
      <c r="D605" t="s">
        <v>672</v>
      </c>
      <c r="E605" t="s">
        <v>724</v>
      </c>
      <c r="F605">
        <v>89.99</v>
      </c>
      <c r="G605">
        <v>1</v>
      </c>
      <c r="H605">
        <v>10</v>
      </c>
      <c r="I605">
        <v>80.989999999999995</v>
      </c>
      <c r="J605">
        <v>80.989999999999995</v>
      </c>
      <c r="K605" t="s">
        <v>669</v>
      </c>
      <c r="L605" t="s">
        <v>656</v>
      </c>
      <c r="M605">
        <v>5</v>
      </c>
    </row>
    <row r="606" spans="1:13" x14ac:dyDescent="0.25">
      <c r="A606" t="s">
        <v>1709</v>
      </c>
      <c r="B606" t="s">
        <v>266</v>
      </c>
      <c r="C606" t="s">
        <v>1000</v>
      </c>
      <c r="D606" t="s">
        <v>672</v>
      </c>
      <c r="E606" t="s">
        <v>724</v>
      </c>
      <c r="F606">
        <v>89.99</v>
      </c>
      <c r="G606">
        <v>1</v>
      </c>
      <c r="H606">
        <v>0</v>
      </c>
      <c r="I606">
        <v>89.99</v>
      </c>
      <c r="J606">
        <v>89.99</v>
      </c>
      <c r="K606" t="s">
        <v>682</v>
      </c>
      <c r="L606" t="s">
        <v>656</v>
      </c>
      <c r="M606">
        <v>4</v>
      </c>
    </row>
    <row r="607" spans="1:13" x14ac:dyDescent="0.25">
      <c r="A607" t="s">
        <v>1710</v>
      </c>
      <c r="B607" t="s">
        <v>266</v>
      </c>
      <c r="C607" t="s">
        <v>732</v>
      </c>
      <c r="D607" t="s">
        <v>667</v>
      </c>
      <c r="E607" t="s">
        <v>668</v>
      </c>
      <c r="F607">
        <v>64.989999999999995</v>
      </c>
      <c r="G607">
        <v>2</v>
      </c>
      <c r="H607">
        <v>5</v>
      </c>
      <c r="I607">
        <v>61.74</v>
      </c>
      <c r="J607">
        <v>123.48</v>
      </c>
      <c r="K607" t="s">
        <v>675</v>
      </c>
      <c r="L607" t="s">
        <v>739</v>
      </c>
      <c r="M607">
        <v>5</v>
      </c>
    </row>
    <row r="608" spans="1:13" x14ac:dyDescent="0.25">
      <c r="A608" t="s">
        <v>1711</v>
      </c>
      <c r="B608" t="s">
        <v>266</v>
      </c>
      <c r="C608" t="s">
        <v>862</v>
      </c>
      <c r="D608" t="s">
        <v>710</v>
      </c>
      <c r="E608" t="s">
        <v>730</v>
      </c>
      <c r="F608">
        <v>39.99</v>
      </c>
      <c r="G608">
        <v>3</v>
      </c>
      <c r="H608">
        <v>5</v>
      </c>
      <c r="I608">
        <v>37.99</v>
      </c>
      <c r="J608">
        <v>113.97</v>
      </c>
      <c r="K608" t="s">
        <v>661</v>
      </c>
      <c r="L608" t="s">
        <v>656</v>
      </c>
      <c r="M608">
        <v>5</v>
      </c>
    </row>
    <row r="609" spans="1:13" x14ac:dyDescent="0.25">
      <c r="A609" t="s">
        <v>1712</v>
      </c>
      <c r="B609" t="s">
        <v>266</v>
      </c>
      <c r="C609" t="s">
        <v>1343</v>
      </c>
      <c r="D609" t="s">
        <v>680</v>
      </c>
      <c r="E609" t="s">
        <v>688</v>
      </c>
      <c r="F609">
        <v>29.99</v>
      </c>
      <c r="G609">
        <v>4</v>
      </c>
      <c r="H609">
        <v>15</v>
      </c>
      <c r="I609">
        <v>25.49</v>
      </c>
      <c r="J609">
        <v>101.96</v>
      </c>
      <c r="K609" t="s">
        <v>682</v>
      </c>
      <c r="L609" t="s">
        <v>656</v>
      </c>
      <c r="M609">
        <v>4</v>
      </c>
    </row>
    <row r="610" spans="1:13" x14ac:dyDescent="0.25">
      <c r="A610" t="s">
        <v>1713</v>
      </c>
      <c r="B610" t="s">
        <v>266</v>
      </c>
      <c r="C610" t="s">
        <v>1714</v>
      </c>
      <c r="D610" t="s">
        <v>684</v>
      </c>
      <c r="E610" t="s">
        <v>702</v>
      </c>
      <c r="F610">
        <v>199.99</v>
      </c>
      <c r="G610">
        <v>4</v>
      </c>
      <c r="H610">
        <v>0</v>
      </c>
      <c r="I610">
        <v>199.99</v>
      </c>
      <c r="J610">
        <v>799.96</v>
      </c>
      <c r="K610" t="s">
        <v>655</v>
      </c>
      <c r="L610" t="s">
        <v>656</v>
      </c>
    </row>
    <row r="611" spans="1:13" x14ac:dyDescent="0.25">
      <c r="A611" t="s">
        <v>1715</v>
      </c>
      <c r="B611" t="s">
        <v>269</v>
      </c>
      <c r="C611" t="s">
        <v>1351</v>
      </c>
      <c r="D611" t="s">
        <v>680</v>
      </c>
      <c r="E611" t="s">
        <v>708</v>
      </c>
      <c r="F611">
        <v>24.99</v>
      </c>
      <c r="G611">
        <v>3</v>
      </c>
      <c r="H611">
        <v>0</v>
      </c>
      <c r="I611">
        <v>24.99</v>
      </c>
      <c r="J611">
        <v>74.97</v>
      </c>
      <c r="K611" t="s">
        <v>682</v>
      </c>
      <c r="L611" t="s">
        <v>656</v>
      </c>
    </row>
    <row r="612" spans="1:13" x14ac:dyDescent="0.25">
      <c r="A612" t="s">
        <v>1716</v>
      </c>
      <c r="B612" t="s">
        <v>269</v>
      </c>
      <c r="C612" t="s">
        <v>1717</v>
      </c>
      <c r="D612" t="s">
        <v>667</v>
      </c>
      <c r="E612" t="s">
        <v>696</v>
      </c>
      <c r="F612">
        <v>59.99</v>
      </c>
      <c r="G612">
        <v>3</v>
      </c>
      <c r="H612">
        <v>0</v>
      </c>
      <c r="I612">
        <v>59.99</v>
      </c>
      <c r="J612">
        <v>179.97</v>
      </c>
      <c r="K612" t="s">
        <v>655</v>
      </c>
      <c r="L612" t="s">
        <v>656</v>
      </c>
    </row>
    <row r="613" spans="1:13" x14ac:dyDescent="0.25">
      <c r="A613" t="s">
        <v>1718</v>
      </c>
      <c r="B613" t="s">
        <v>269</v>
      </c>
      <c r="C613" t="s">
        <v>894</v>
      </c>
      <c r="D613" t="s">
        <v>653</v>
      </c>
      <c r="E613" t="s">
        <v>654</v>
      </c>
      <c r="F613">
        <v>39.99</v>
      </c>
      <c r="G613">
        <v>3</v>
      </c>
      <c r="H613">
        <v>20</v>
      </c>
      <c r="I613">
        <v>31.99</v>
      </c>
      <c r="J613">
        <v>95.97</v>
      </c>
      <c r="K613" t="s">
        <v>675</v>
      </c>
      <c r="L613" t="s">
        <v>656</v>
      </c>
      <c r="M613">
        <v>4</v>
      </c>
    </row>
    <row r="614" spans="1:13" x14ac:dyDescent="0.25">
      <c r="A614" t="s">
        <v>1719</v>
      </c>
      <c r="B614" t="s">
        <v>269</v>
      </c>
      <c r="C614" t="s">
        <v>1720</v>
      </c>
      <c r="D614" t="s">
        <v>667</v>
      </c>
      <c r="E614" t="s">
        <v>668</v>
      </c>
      <c r="F614">
        <v>64.989999999999995</v>
      </c>
      <c r="G614">
        <v>4</v>
      </c>
      <c r="H614">
        <v>0</v>
      </c>
      <c r="I614">
        <v>64.989999999999995</v>
      </c>
      <c r="J614">
        <v>259.95999999999998</v>
      </c>
      <c r="K614" t="s">
        <v>675</v>
      </c>
      <c r="L614" t="s">
        <v>656</v>
      </c>
    </row>
    <row r="615" spans="1:13" x14ac:dyDescent="0.25">
      <c r="A615" t="s">
        <v>1721</v>
      </c>
      <c r="B615" t="s">
        <v>269</v>
      </c>
      <c r="C615" t="s">
        <v>1467</v>
      </c>
      <c r="D615" t="s">
        <v>653</v>
      </c>
      <c r="E615" t="s">
        <v>769</v>
      </c>
      <c r="F615">
        <v>49.99</v>
      </c>
      <c r="G615">
        <v>4</v>
      </c>
      <c r="H615">
        <v>10</v>
      </c>
      <c r="I615">
        <v>44.99</v>
      </c>
      <c r="J615">
        <v>179.96</v>
      </c>
      <c r="K615" t="s">
        <v>655</v>
      </c>
      <c r="L615" t="s">
        <v>656</v>
      </c>
      <c r="M615">
        <v>4</v>
      </c>
    </row>
    <row r="616" spans="1:13" x14ac:dyDescent="0.25">
      <c r="A616" t="s">
        <v>1722</v>
      </c>
      <c r="B616" t="s">
        <v>272</v>
      </c>
      <c r="C616" t="s">
        <v>1368</v>
      </c>
      <c r="D616" t="s">
        <v>667</v>
      </c>
      <c r="E616" t="s">
        <v>696</v>
      </c>
      <c r="F616">
        <v>59.99</v>
      </c>
      <c r="G616">
        <v>3</v>
      </c>
      <c r="H616">
        <v>0</v>
      </c>
      <c r="I616">
        <v>59.99</v>
      </c>
      <c r="J616">
        <v>179.97</v>
      </c>
      <c r="K616" t="s">
        <v>669</v>
      </c>
      <c r="L616" t="s">
        <v>656</v>
      </c>
    </row>
    <row r="617" spans="1:13" x14ac:dyDescent="0.25">
      <c r="A617" t="s">
        <v>1723</v>
      </c>
      <c r="B617" t="s">
        <v>272</v>
      </c>
      <c r="C617" t="s">
        <v>1724</v>
      </c>
      <c r="D617" t="s">
        <v>659</v>
      </c>
      <c r="E617" t="s">
        <v>762</v>
      </c>
      <c r="F617">
        <v>49.99</v>
      </c>
      <c r="G617">
        <v>2</v>
      </c>
      <c r="H617">
        <v>0</v>
      </c>
      <c r="I617">
        <v>49.99</v>
      </c>
      <c r="J617">
        <v>99.98</v>
      </c>
      <c r="K617" t="s">
        <v>669</v>
      </c>
      <c r="L617" t="s">
        <v>656</v>
      </c>
    </row>
    <row r="618" spans="1:13" x14ac:dyDescent="0.25">
      <c r="A618" t="s">
        <v>1725</v>
      </c>
      <c r="B618" t="s">
        <v>272</v>
      </c>
      <c r="C618" t="s">
        <v>1726</v>
      </c>
      <c r="D618" t="s">
        <v>710</v>
      </c>
      <c r="E618" t="s">
        <v>721</v>
      </c>
      <c r="F618">
        <v>24.99</v>
      </c>
      <c r="G618">
        <v>3</v>
      </c>
      <c r="H618">
        <v>15</v>
      </c>
      <c r="I618">
        <v>21.24</v>
      </c>
      <c r="J618">
        <v>63.72</v>
      </c>
      <c r="K618" t="s">
        <v>661</v>
      </c>
      <c r="L618" t="s">
        <v>656</v>
      </c>
      <c r="M618">
        <v>4</v>
      </c>
    </row>
    <row r="619" spans="1:13" x14ac:dyDescent="0.25">
      <c r="A619" t="s">
        <v>1727</v>
      </c>
      <c r="B619" t="s">
        <v>272</v>
      </c>
      <c r="C619" t="s">
        <v>1358</v>
      </c>
      <c r="D619" t="s">
        <v>672</v>
      </c>
      <c r="E619" t="s">
        <v>673</v>
      </c>
      <c r="F619">
        <v>24.99</v>
      </c>
      <c r="G619">
        <v>2</v>
      </c>
      <c r="H619">
        <v>0</v>
      </c>
      <c r="I619">
        <v>24.99</v>
      </c>
      <c r="J619">
        <v>49.98</v>
      </c>
      <c r="K619" t="s">
        <v>655</v>
      </c>
      <c r="L619" t="s">
        <v>656</v>
      </c>
    </row>
    <row r="620" spans="1:13" x14ac:dyDescent="0.25">
      <c r="A620" t="s">
        <v>1728</v>
      </c>
      <c r="B620" t="s">
        <v>275</v>
      </c>
      <c r="C620" t="s">
        <v>154</v>
      </c>
      <c r="D620" t="s">
        <v>684</v>
      </c>
      <c r="E620" t="s">
        <v>815</v>
      </c>
      <c r="F620">
        <v>34.99</v>
      </c>
      <c r="G620">
        <v>2</v>
      </c>
      <c r="H620">
        <v>0</v>
      </c>
      <c r="I620">
        <v>34.99</v>
      </c>
      <c r="J620">
        <v>69.98</v>
      </c>
      <c r="K620" t="s">
        <v>669</v>
      </c>
      <c r="L620" t="s">
        <v>656</v>
      </c>
      <c r="M620">
        <v>5</v>
      </c>
    </row>
    <row r="621" spans="1:13" x14ac:dyDescent="0.25">
      <c r="A621" t="s">
        <v>1729</v>
      </c>
      <c r="B621" t="s">
        <v>275</v>
      </c>
      <c r="C621" t="s">
        <v>834</v>
      </c>
      <c r="D621" t="s">
        <v>672</v>
      </c>
      <c r="E621" t="s">
        <v>735</v>
      </c>
      <c r="F621">
        <v>44.99</v>
      </c>
      <c r="G621">
        <v>2</v>
      </c>
      <c r="H621">
        <v>5</v>
      </c>
      <c r="I621">
        <v>42.74</v>
      </c>
      <c r="J621">
        <v>85.48</v>
      </c>
      <c r="K621" t="s">
        <v>675</v>
      </c>
      <c r="L621" t="s">
        <v>656</v>
      </c>
      <c r="M621">
        <v>5</v>
      </c>
    </row>
    <row r="622" spans="1:13" x14ac:dyDescent="0.25">
      <c r="A622" t="s">
        <v>1730</v>
      </c>
      <c r="B622" t="s">
        <v>275</v>
      </c>
      <c r="C622" t="s">
        <v>1467</v>
      </c>
      <c r="D622" t="s">
        <v>653</v>
      </c>
      <c r="E622" t="s">
        <v>769</v>
      </c>
      <c r="F622">
        <v>49.99</v>
      </c>
      <c r="G622">
        <v>4</v>
      </c>
      <c r="H622">
        <v>0</v>
      </c>
      <c r="I622">
        <v>49.99</v>
      </c>
      <c r="J622">
        <v>199.96</v>
      </c>
      <c r="K622" t="s">
        <v>655</v>
      </c>
      <c r="L622" t="s">
        <v>656</v>
      </c>
      <c r="M622">
        <v>4</v>
      </c>
    </row>
    <row r="623" spans="1:13" x14ac:dyDescent="0.25">
      <c r="A623" t="s">
        <v>1731</v>
      </c>
      <c r="B623" t="s">
        <v>275</v>
      </c>
      <c r="C623" t="s">
        <v>1732</v>
      </c>
      <c r="D623" t="s">
        <v>684</v>
      </c>
      <c r="E623" t="s">
        <v>702</v>
      </c>
      <c r="F623">
        <v>199.99</v>
      </c>
      <c r="G623">
        <v>2</v>
      </c>
      <c r="H623">
        <v>20</v>
      </c>
      <c r="I623">
        <v>159.99</v>
      </c>
      <c r="J623">
        <v>319.98</v>
      </c>
      <c r="K623" t="s">
        <v>661</v>
      </c>
      <c r="L623" t="s">
        <v>656</v>
      </c>
      <c r="M623">
        <v>4</v>
      </c>
    </row>
    <row r="624" spans="1:13" x14ac:dyDescent="0.25">
      <c r="A624" t="s">
        <v>1733</v>
      </c>
      <c r="B624" t="s">
        <v>275</v>
      </c>
      <c r="C624" t="s">
        <v>1484</v>
      </c>
      <c r="D624" t="s">
        <v>672</v>
      </c>
      <c r="E624" t="s">
        <v>735</v>
      </c>
      <c r="F624">
        <v>44.99</v>
      </c>
      <c r="G624">
        <v>3</v>
      </c>
      <c r="H624">
        <v>0</v>
      </c>
      <c r="I624">
        <v>44.99</v>
      </c>
      <c r="J624">
        <v>134.97</v>
      </c>
      <c r="K624" t="s">
        <v>669</v>
      </c>
      <c r="L624" t="s">
        <v>656</v>
      </c>
      <c r="M624">
        <v>3</v>
      </c>
    </row>
    <row r="625" spans="1:13" x14ac:dyDescent="0.25">
      <c r="A625" t="s">
        <v>1734</v>
      </c>
      <c r="B625" t="s">
        <v>275</v>
      </c>
      <c r="C625" t="s">
        <v>1244</v>
      </c>
      <c r="D625" t="s">
        <v>684</v>
      </c>
      <c r="E625" t="s">
        <v>705</v>
      </c>
      <c r="F625">
        <v>79.989999999999995</v>
      </c>
      <c r="G625">
        <v>3</v>
      </c>
      <c r="H625">
        <v>20</v>
      </c>
      <c r="I625">
        <v>63.99</v>
      </c>
      <c r="J625">
        <v>191.97</v>
      </c>
      <c r="K625" t="s">
        <v>682</v>
      </c>
      <c r="L625" t="s">
        <v>656</v>
      </c>
    </row>
    <row r="626" spans="1:13" x14ac:dyDescent="0.25">
      <c r="A626" t="s">
        <v>1735</v>
      </c>
      <c r="B626" t="s">
        <v>275</v>
      </c>
      <c r="C626" t="s">
        <v>170</v>
      </c>
      <c r="D626" t="s">
        <v>710</v>
      </c>
      <c r="E626" t="s">
        <v>711</v>
      </c>
      <c r="F626">
        <v>14.99</v>
      </c>
      <c r="G626">
        <v>3</v>
      </c>
      <c r="H626">
        <v>5</v>
      </c>
      <c r="I626">
        <v>14.24</v>
      </c>
      <c r="J626">
        <v>42.72</v>
      </c>
      <c r="K626" t="s">
        <v>655</v>
      </c>
      <c r="L626" t="s">
        <v>656</v>
      </c>
      <c r="M626">
        <v>3</v>
      </c>
    </row>
    <row r="627" spans="1:13" x14ac:dyDescent="0.25">
      <c r="A627" t="s">
        <v>1736</v>
      </c>
      <c r="B627" t="s">
        <v>275</v>
      </c>
      <c r="C627" t="s">
        <v>1737</v>
      </c>
      <c r="D627" t="s">
        <v>672</v>
      </c>
      <c r="E627" t="s">
        <v>735</v>
      </c>
      <c r="F627">
        <v>44.99</v>
      </c>
      <c r="G627">
        <v>2</v>
      </c>
      <c r="H627">
        <v>0</v>
      </c>
      <c r="I627">
        <v>44.99</v>
      </c>
      <c r="J627">
        <v>89.98</v>
      </c>
      <c r="K627" t="s">
        <v>655</v>
      </c>
      <c r="L627" t="s">
        <v>656</v>
      </c>
      <c r="M627">
        <v>1</v>
      </c>
    </row>
    <row r="628" spans="1:13" x14ac:dyDescent="0.25">
      <c r="A628" t="s">
        <v>1738</v>
      </c>
      <c r="B628" t="s">
        <v>278</v>
      </c>
      <c r="C628" t="s">
        <v>1739</v>
      </c>
      <c r="D628" t="s">
        <v>684</v>
      </c>
      <c r="E628" t="s">
        <v>815</v>
      </c>
      <c r="F628">
        <v>34.99</v>
      </c>
      <c r="G628">
        <v>4</v>
      </c>
      <c r="H628">
        <v>15</v>
      </c>
      <c r="I628">
        <v>29.74</v>
      </c>
      <c r="J628">
        <v>118.96</v>
      </c>
      <c r="K628" t="s">
        <v>661</v>
      </c>
      <c r="L628" t="s">
        <v>739</v>
      </c>
      <c r="M628">
        <v>4</v>
      </c>
    </row>
    <row r="629" spans="1:13" x14ac:dyDescent="0.25">
      <c r="A629" t="s">
        <v>1740</v>
      </c>
      <c r="B629" t="s">
        <v>278</v>
      </c>
      <c r="C629" t="s">
        <v>1741</v>
      </c>
      <c r="D629" t="s">
        <v>672</v>
      </c>
      <c r="E629" t="s">
        <v>724</v>
      </c>
      <c r="F629">
        <v>89.99</v>
      </c>
      <c r="G629">
        <v>3</v>
      </c>
      <c r="H629">
        <v>20</v>
      </c>
      <c r="I629">
        <v>71.989999999999995</v>
      </c>
      <c r="J629">
        <v>215.97</v>
      </c>
      <c r="K629" t="s">
        <v>661</v>
      </c>
      <c r="L629" t="s">
        <v>693</v>
      </c>
      <c r="M629">
        <v>4</v>
      </c>
    </row>
    <row r="630" spans="1:13" x14ac:dyDescent="0.25">
      <c r="A630" t="s">
        <v>1742</v>
      </c>
      <c r="B630" t="s">
        <v>278</v>
      </c>
      <c r="C630" t="s">
        <v>306</v>
      </c>
      <c r="D630" t="s">
        <v>680</v>
      </c>
      <c r="E630" t="s">
        <v>681</v>
      </c>
      <c r="F630">
        <v>19.989999999999998</v>
      </c>
      <c r="G630">
        <v>3</v>
      </c>
      <c r="H630">
        <v>0</v>
      </c>
      <c r="I630">
        <v>19.989999999999998</v>
      </c>
      <c r="J630">
        <v>59.97</v>
      </c>
      <c r="K630" t="s">
        <v>661</v>
      </c>
      <c r="L630" t="s">
        <v>656</v>
      </c>
    </row>
    <row r="631" spans="1:13" x14ac:dyDescent="0.25">
      <c r="A631" t="s">
        <v>1743</v>
      </c>
      <c r="B631" t="s">
        <v>281</v>
      </c>
      <c r="C631" t="s">
        <v>1260</v>
      </c>
      <c r="D631" t="s">
        <v>710</v>
      </c>
      <c r="E631" t="s">
        <v>711</v>
      </c>
      <c r="F631">
        <v>14.99</v>
      </c>
      <c r="G631">
        <v>4</v>
      </c>
      <c r="H631">
        <v>0</v>
      </c>
      <c r="I631">
        <v>14.99</v>
      </c>
      <c r="J631">
        <v>59.96</v>
      </c>
      <c r="K631" t="s">
        <v>669</v>
      </c>
      <c r="L631" t="s">
        <v>739</v>
      </c>
    </row>
    <row r="632" spans="1:13" x14ac:dyDescent="0.25">
      <c r="A632" t="s">
        <v>1744</v>
      </c>
      <c r="B632" t="s">
        <v>281</v>
      </c>
      <c r="C632" t="s">
        <v>476</v>
      </c>
      <c r="D632" t="s">
        <v>710</v>
      </c>
      <c r="E632" t="s">
        <v>744</v>
      </c>
      <c r="F632">
        <v>29.99</v>
      </c>
      <c r="G632">
        <v>1</v>
      </c>
      <c r="H632">
        <v>10</v>
      </c>
      <c r="I632">
        <v>26.99</v>
      </c>
      <c r="J632">
        <v>26.99</v>
      </c>
      <c r="K632" t="s">
        <v>655</v>
      </c>
      <c r="L632" t="s">
        <v>656</v>
      </c>
    </row>
    <row r="633" spans="1:13" x14ac:dyDescent="0.25">
      <c r="A633" t="s">
        <v>1745</v>
      </c>
      <c r="B633" t="s">
        <v>281</v>
      </c>
      <c r="C633" t="s">
        <v>1746</v>
      </c>
      <c r="D633" t="s">
        <v>667</v>
      </c>
      <c r="E633" t="s">
        <v>668</v>
      </c>
      <c r="F633">
        <v>64.989999999999995</v>
      </c>
      <c r="G633">
        <v>2</v>
      </c>
      <c r="H633">
        <v>15</v>
      </c>
      <c r="I633">
        <v>55.24</v>
      </c>
      <c r="J633">
        <v>110.48</v>
      </c>
      <c r="K633" t="s">
        <v>675</v>
      </c>
      <c r="L633" t="s">
        <v>656</v>
      </c>
      <c r="M633">
        <v>4</v>
      </c>
    </row>
    <row r="634" spans="1:13" x14ac:dyDescent="0.25">
      <c r="A634" t="s">
        <v>1747</v>
      </c>
      <c r="B634" t="s">
        <v>281</v>
      </c>
      <c r="C634" t="s">
        <v>610</v>
      </c>
      <c r="D634" t="s">
        <v>710</v>
      </c>
      <c r="E634" t="s">
        <v>711</v>
      </c>
      <c r="F634">
        <v>14.99</v>
      </c>
      <c r="G634">
        <v>2</v>
      </c>
      <c r="H634">
        <v>20</v>
      </c>
      <c r="I634">
        <v>11.99</v>
      </c>
      <c r="J634">
        <v>23.98</v>
      </c>
      <c r="K634" t="s">
        <v>669</v>
      </c>
      <c r="L634" t="s">
        <v>656</v>
      </c>
    </row>
    <row r="635" spans="1:13" x14ac:dyDescent="0.25">
      <c r="A635" t="s">
        <v>1748</v>
      </c>
      <c r="B635" t="s">
        <v>281</v>
      </c>
      <c r="C635" t="s">
        <v>1749</v>
      </c>
      <c r="D635" t="s">
        <v>680</v>
      </c>
      <c r="E635" t="s">
        <v>749</v>
      </c>
      <c r="F635">
        <v>14.99</v>
      </c>
      <c r="G635">
        <v>3</v>
      </c>
      <c r="H635">
        <v>5</v>
      </c>
      <c r="I635">
        <v>14.24</v>
      </c>
      <c r="J635">
        <v>42.72</v>
      </c>
      <c r="K635" t="s">
        <v>655</v>
      </c>
      <c r="L635" t="s">
        <v>656</v>
      </c>
      <c r="M635">
        <v>4</v>
      </c>
    </row>
    <row r="636" spans="1:13" x14ac:dyDescent="0.25">
      <c r="A636" t="s">
        <v>1750</v>
      </c>
      <c r="B636" t="s">
        <v>284</v>
      </c>
      <c r="C636" t="s">
        <v>792</v>
      </c>
      <c r="D636" t="s">
        <v>672</v>
      </c>
      <c r="E636" t="s">
        <v>735</v>
      </c>
      <c r="F636">
        <v>44.99</v>
      </c>
      <c r="G636">
        <v>4</v>
      </c>
      <c r="H636">
        <v>5</v>
      </c>
      <c r="I636">
        <v>42.74</v>
      </c>
      <c r="J636">
        <v>170.96</v>
      </c>
      <c r="K636" t="s">
        <v>661</v>
      </c>
      <c r="L636" t="s">
        <v>656</v>
      </c>
      <c r="M636">
        <v>3</v>
      </c>
    </row>
    <row r="637" spans="1:13" x14ac:dyDescent="0.25">
      <c r="A637" t="s">
        <v>1751</v>
      </c>
      <c r="B637" t="s">
        <v>284</v>
      </c>
      <c r="C637" t="s">
        <v>1752</v>
      </c>
      <c r="D637" t="s">
        <v>653</v>
      </c>
      <c r="E637" t="s">
        <v>727</v>
      </c>
      <c r="F637">
        <v>14.99</v>
      </c>
      <c r="G637">
        <v>1</v>
      </c>
      <c r="H637">
        <v>5</v>
      </c>
      <c r="I637">
        <v>14.24</v>
      </c>
      <c r="J637">
        <v>14.24</v>
      </c>
      <c r="K637" t="s">
        <v>675</v>
      </c>
      <c r="L637" t="s">
        <v>656</v>
      </c>
      <c r="M637">
        <v>3</v>
      </c>
    </row>
    <row r="638" spans="1:13" x14ac:dyDescent="0.25">
      <c r="A638" t="s">
        <v>1753</v>
      </c>
      <c r="B638" t="s">
        <v>284</v>
      </c>
      <c r="C638" t="s">
        <v>1754</v>
      </c>
      <c r="D638" t="s">
        <v>680</v>
      </c>
      <c r="E638" t="s">
        <v>681</v>
      </c>
      <c r="F638">
        <v>19.989999999999998</v>
      </c>
      <c r="G638">
        <v>3</v>
      </c>
      <c r="H638">
        <v>0</v>
      </c>
      <c r="I638">
        <v>19.989999999999998</v>
      </c>
      <c r="J638">
        <v>59.97</v>
      </c>
      <c r="K638" t="s">
        <v>655</v>
      </c>
      <c r="L638" t="s">
        <v>656</v>
      </c>
    </row>
    <row r="639" spans="1:13" x14ac:dyDescent="0.25">
      <c r="A639" t="s">
        <v>1755</v>
      </c>
      <c r="B639" t="s">
        <v>284</v>
      </c>
      <c r="C639" t="s">
        <v>1655</v>
      </c>
      <c r="D639" t="s">
        <v>672</v>
      </c>
      <c r="E639" t="s">
        <v>803</v>
      </c>
      <c r="F639">
        <v>69.989999999999995</v>
      </c>
      <c r="G639">
        <v>3</v>
      </c>
      <c r="H639">
        <v>15</v>
      </c>
      <c r="I639">
        <v>59.49</v>
      </c>
      <c r="J639">
        <v>178.47</v>
      </c>
      <c r="K639" t="s">
        <v>669</v>
      </c>
      <c r="L639" t="s">
        <v>656</v>
      </c>
    </row>
    <row r="640" spans="1:13" x14ac:dyDescent="0.25">
      <c r="A640" t="s">
        <v>1756</v>
      </c>
      <c r="B640" t="s">
        <v>284</v>
      </c>
      <c r="C640" t="s">
        <v>813</v>
      </c>
      <c r="D640" t="s">
        <v>659</v>
      </c>
      <c r="E640" t="s">
        <v>820</v>
      </c>
      <c r="F640">
        <v>39.99</v>
      </c>
      <c r="G640">
        <v>4</v>
      </c>
      <c r="H640">
        <v>0</v>
      </c>
      <c r="I640">
        <v>39.99</v>
      </c>
      <c r="J640">
        <v>159.96</v>
      </c>
      <c r="K640" t="s">
        <v>675</v>
      </c>
      <c r="L640" t="s">
        <v>656</v>
      </c>
    </row>
    <row r="641" spans="1:13" x14ac:dyDescent="0.25">
      <c r="A641" t="s">
        <v>1757</v>
      </c>
      <c r="B641" t="s">
        <v>284</v>
      </c>
      <c r="C641" t="s">
        <v>1758</v>
      </c>
      <c r="D641" t="s">
        <v>672</v>
      </c>
      <c r="E641" t="s">
        <v>803</v>
      </c>
      <c r="F641">
        <v>69.989999999999995</v>
      </c>
      <c r="G641">
        <v>2</v>
      </c>
      <c r="H641">
        <v>0</v>
      </c>
      <c r="I641">
        <v>69.989999999999995</v>
      </c>
      <c r="J641">
        <v>139.97999999999999</v>
      </c>
      <c r="K641" t="s">
        <v>682</v>
      </c>
      <c r="L641" t="s">
        <v>656</v>
      </c>
      <c r="M641">
        <v>4</v>
      </c>
    </row>
    <row r="642" spans="1:13" x14ac:dyDescent="0.25">
      <c r="A642" t="s">
        <v>1759</v>
      </c>
      <c r="B642" t="s">
        <v>284</v>
      </c>
      <c r="C642" t="s">
        <v>1366</v>
      </c>
      <c r="D642" t="s">
        <v>672</v>
      </c>
      <c r="E642" t="s">
        <v>803</v>
      </c>
      <c r="F642">
        <v>69.989999999999995</v>
      </c>
      <c r="G642">
        <v>1</v>
      </c>
      <c r="H642">
        <v>5</v>
      </c>
      <c r="I642">
        <v>66.489999999999995</v>
      </c>
      <c r="J642">
        <v>66.489999999999995</v>
      </c>
      <c r="K642" t="s">
        <v>655</v>
      </c>
      <c r="L642" t="s">
        <v>693</v>
      </c>
    </row>
    <row r="643" spans="1:13" x14ac:dyDescent="0.25">
      <c r="A643" t="s">
        <v>1760</v>
      </c>
      <c r="B643" t="s">
        <v>284</v>
      </c>
      <c r="C643" t="s">
        <v>1761</v>
      </c>
      <c r="D643" t="s">
        <v>710</v>
      </c>
      <c r="E643" t="s">
        <v>730</v>
      </c>
      <c r="F643">
        <v>39.99</v>
      </c>
      <c r="G643">
        <v>2</v>
      </c>
      <c r="H643">
        <v>20</v>
      </c>
      <c r="I643">
        <v>31.99</v>
      </c>
      <c r="J643">
        <v>63.98</v>
      </c>
      <c r="K643" t="s">
        <v>669</v>
      </c>
      <c r="L643" t="s">
        <v>656</v>
      </c>
      <c r="M643">
        <v>5</v>
      </c>
    </row>
    <row r="644" spans="1:13" x14ac:dyDescent="0.25">
      <c r="A644" t="s">
        <v>1762</v>
      </c>
      <c r="B644" t="s">
        <v>284</v>
      </c>
      <c r="C644" t="s">
        <v>1763</v>
      </c>
      <c r="D644" t="s">
        <v>710</v>
      </c>
      <c r="E644" t="s">
        <v>730</v>
      </c>
      <c r="F644">
        <v>39.99</v>
      </c>
      <c r="G644">
        <v>4</v>
      </c>
      <c r="H644">
        <v>0</v>
      </c>
      <c r="I644">
        <v>39.99</v>
      </c>
      <c r="J644">
        <v>159.96</v>
      </c>
      <c r="K644" t="s">
        <v>682</v>
      </c>
      <c r="L644" t="s">
        <v>656</v>
      </c>
      <c r="M644">
        <v>3</v>
      </c>
    </row>
    <row r="645" spans="1:13" x14ac:dyDescent="0.25">
      <c r="A645" t="s">
        <v>1764</v>
      </c>
      <c r="B645" t="s">
        <v>284</v>
      </c>
      <c r="C645" t="s">
        <v>1765</v>
      </c>
      <c r="D645" t="s">
        <v>667</v>
      </c>
      <c r="E645" t="s">
        <v>699</v>
      </c>
      <c r="F645">
        <v>89.99</v>
      </c>
      <c r="G645">
        <v>1</v>
      </c>
      <c r="H645">
        <v>15</v>
      </c>
      <c r="I645">
        <v>76.489999999999995</v>
      </c>
      <c r="J645">
        <v>76.489999999999995</v>
      </c>
      <c r="K645" t="s">
        <v>669</v>
      </c>
      <c r="L645" t="s">
        <v>656</v>
      </c>
      <c r="M645">
        <v>3</v>
      </c>
    </row>
    <row r="646" spans="1:13" x14ac:dyDescent="0.25">
      <c r="A646" t="s">
        <v>1766</v>
      </c>
      <c r="B646" t="s">
        <v>284</v>
      </c>
      <c r="C646" t="s">
        <v>151</v>
      </c>
      <c r="D646" t="s">
        <v>684</v>
      </c>
      <c r="E646" t="s">
        <v>705</v>
      </c>
      <c r="F646">
        <v>79.989999999999995</v>
      </c>
      <c r="G646">
        <v>1</v>
      </c>
      <c r="H646">
        <v>10</v>
      </c>
      <c r="I646">
        <v>71.989999999999995</v>
      </c>
      <c r="J646">
        <v>71.989999999999995</v>
      </c>
      <c r="K646" t="s">
        <v>675</v>
      </c>
      <c r="L646" t="s">
        <v>656</v>
      </c>
      <c r="M646">
        <v>4</v>
      </c>
    </row>
    <row r="647" spans="1:13" x14ac:dyDescent="0.25">
      <c r="A647" t="s">
        <v>1767</v>
      </c>
      <c r="B647" t="s">
        <v>284</v>
      </c>
      <c r="C647" t="s">
        <v>1184</v>
      </c>
      <c r="D647" t="s">
        <v>659</v>
      </c>
      <c r="E647" t="s">
        <v>820</v>
      </c>
      <c r="F647">
        <v>39.99</v>
      </c>
      <c r="G647">
        <v>2</v>
      </c>
      <c r="H647">
        <v>5</v>
      </c>
      <c r="I647">
        <v>37.99</v>
      </c>
      <c r="J647">
        <v>75.98</v>
      </c>
      <c r="K647" t="s">
        <v>655</v>
      </c>
      <c r="L647" t="s">
        <v>656</v>
      </c>
    </row>
    <row r="648" spans="1:13" x14ac:dyDescent="0.25">
      <c r="A648" t="s">
        <v>1768</v>
      </c>
      <c r="B648" t="s">
        <v>287</v>
      </c>
      <c r="C648" t="s">
        <v>1769</v>
      </c>
      <c r="D648" t="s">
        <v>653</v>
      </c>
      <c r="E648" t="s">
        <v>654</v>
      </c>
      <c r="F648">
        <v>39.99</v>
      </c>
      <c r="G648">
        <v>2</v>
      </c>
      <c r="H648">
        <v>0</v>
      </c>
      <c r="I648">
        <v>39.99</v>
      </c>
      <c r="J648">
        <v>79.98</v>
      </c>
      <c r="K648" t="s">
        <v>682</v>
      </c>
      <c r="L648" t="s">
        <v>656</v>
      </c>
      <c r="M648">
        <v>5</v>
      </c>
    </row>
    <row r="649" spans="1:13" x14ac:dyDescent="0.25">
      <c r="A649" t="s">
        <v>1770</v>
      </c>
      <c r="B649" t="s">
        <v>287</v>
      </c>
      <c r="C649" t="s">
        <v>532</v>
      </c>
      <c r="D649" t="s">
        <v>659</v>
      </c>
      <c r="E649" t="s">
        <v>664</v>
      </c>
      <c r="F649">
        <v>24.99</v>
      </c>
      <c r="G649">
        <v>4</v>
      </c>
      <c r="H649">
        <v>20</v>
      </c>
      <c r="I649">
        <v>19.989999999999998</v>
      </c>
      <c r="J649">
        <v>79.959999999999994</v>
      </c>
      <c r="K649" t="s">
        <v>682</v>
      </c>
      <c r="L649" t="s">
        <v>656</v>
      </c>
      <c r="M649">
        <v>3</v>
      </c>
    </row>
    <row r="650" spans="1:13" x14ac:dyDescent="0.25">
      <c r="A650" t="s">
        <v>1771</v>
      </c>
      <c r="B650" t="s">
        <v>287</v>
      </c>
      <c r="C650" t="s">
        <v>1772</v>
      </c>
      <c r="D650" t="s">
        <v>680</v>
      </c>
      <c r="E650" t="s">
        <v>749</v>
      </c>
      <c r="F650">
        <v>14.99</v>
      </c>
      <c r="G650">
        <v>4</v>
      </c>
      <c r="H650">
        <v>0</v>
      </c>
      <c r="I650">
        <v>14.99</v>
      </c>
      <c r="J650">
        <v>59.96</v>
      </c>
      <c r="K650" t="s">
        <v>669</v>
      </c>
      <c r="L650" t="s">
        <v>656</v>
      </c>
      <c r="M650">
        <v>5</v>
      </c>
    </row>
    <row r="651" spans="1:13" x14ac:dyDescent="0.25">
      <c r="A651" t="s">
        <v>1773</v>
      </c>
      <c r="B651" t="s">
        <v>287</v>
      </c>
      <c r="C651" t="s">
        <v>1774</v>
      </c>
      <c r="D651" t="s">
        <v>672</v>
      </c>
      <c r="E651" t="s">
        <v>803</v>
      </c>
      <c r="F651">
        <v>69.989999999999995</v>
      </c>
      <c r="G651">
        <v>2</v>
      </c>
      <c r="H651">
        <v>0</v>
      </c>
      <c r="I651">
        <v>69.989999999999995</v>
      </c>
      <c r="J651">
        <v>139.97999999999999</v>
      </c>
      <c r="K651" t="s">
        <v>661</v>
      </c>
      <c r="L651" t="s">
        <v>656</v>
      </c>
    </row>
    <row r="652" spans="1:13" x14ac:dyDescent="0.25">
      <c r="A652" t="s">
        <v>1775</v>
      </c>
      <c r="B652" t="s">
        <v>287</v>
      </c>
      <c r="C652" t="s">
        <v>1776</v>
      </c>
      <c r="D652" t="s">
        <v>667</v>
      </c>
      <c r="E652" t="s">
        <v>696</v>
      </c>
      <c r="F652">
        <v>59.99</v>
      </c>
      <c r="G652">
        <v>4</v>
      </c>
      <c r="H652">
        <v>0</v>
      </c>
      <c r="I652">
        <v>59.99</v>
      </c>
      <c r="J652">
        <v>239.96</v>
      </c>
      <c r="K652" t="s">
        <v>661</v>
      </c>
      <c r="L652" t="s">
        <v>656</v>
      </c>
      <c r="M652">
        <v>4</v>
      </c>
    </row>
    <row r="653" spans="1:13" x14ac:dyDescent="0.25">
      <c r="A653" t="s">
        <v>1777</v>
      </c>
      <c r="B653" t="s">
        <v>287</v>
      </c>
      <c r="C653" t="s">
        <v>1778</v>
      </c>
      <c r="D653" t="s">
        <v>672</v>
      </c>
      <c r="E653" t="s">
        <v>803</v>
      </c>
      <c r="F653">
        <v>69.989999999999995</v>
      </c>
      <c r="G653">
        <v>2</v>
      </c>
      <c r="H653">
        <v>5</v>
      </c>
      <c r="I653">
        <v>66.489999999999995</v>
      </c>
      <c r="J653">
        <v>132.97999999999999</v>
      </c>
      <c r="K653" t="s">
        <v>655</v>
      </c>
      <c r="L653" t="s">
        <v>656</v>
      </c>
    </row>
    <row r="654" spans="1:13" x14ac:dyDescent="0.25">
      <c r="A654" t="s">
        <v>1779</v>
      </c>
      <c r="B654" t="s">
        <v>287</v>
      </c>
      <c r="C654" t="s">
        <v>1780</v>
      </c>
      <c r="D654" t="s">
        <v>680</v>
      </c>
      <c r="E654" t="s">
        <v>708</v>
      </c>
      <c r="F654">
        <v>24.99</v>
      </c>
      <c r="G654">
        <v>3</v>
      </c>
      <c r="H654">
        <v>10</v>
      </c>
      <c r="I654">
        <v>22.49</v>
      </c>
      <c r="J654">
        <v>67.47</v>
      </c>
      <c r="K654" t="s">
        <v>675</v>
      </c>
      <c r="L654" t="s">
        <v>656</v>
      </c>
      <c r="M654">
        <v>4</v>
      </c>
    </row>
    <row r="655" spans="1:13" x14ac:dyDescent="0.25">
      <c r="A655" t="s">
        <v>1781</v>
      </c>
      <c r="B655" t="s">
        <v>290</v>
      </c>
      <c r="C655" t="s">
        <v>1397</v>
      </c>
      <c r="D655" t="s">
        <v>710</v>
      </c>
      <c r="E655" t="s">
        <v>711</v>
      </c>
      <c r="F655">
        <v>14.99</v>
      </c>
      <c r="G655">
        <v>4</v>
      </c>
      <c r="H655">
        <v>10</v>
      </c>
      <c r="I655">
        <v>13.49</v>
      </c>
      <c r="J655">
        <v>53.96</v>
      </c>
      <c r="K655" t="s">
        <v>675</v>
      </c>
      <c r="L655" t="s">
        <v>656</v>
      </c>
    </row>
    <row r="656" spans="1:13" x14ac:dyDescent="0.25">
      <c r="A656" t="s">
        <v>1782</v>
      </c>
      <c r="B656" t="s">
        <v>290</v>
      </c>
      <c r="C656" t="s">
        <v>826</v>
      </c>
      <c r="D656" t="s">
        <v>672</v>
      </c>
      <c r="E656" t="s">
        <v>735</v>
      </c>
      <c r="F656">
        <v>44.99</v>
      </c>
      <c r="G656">
        <v>2</v>
      </c>
      <c r="H656">
        <v>5</v>
      </c>
      <c r="I656">
        <v>42.74</v>
      </c>
      <c r="J656">
        <v>85.48</v>
      </c>
      <c r="K656" t="s">
        <v>661</v>
      </c>
      <c r="L656" t="s">
        <v>739</v>
      </c>
      <c r="M656">
        <v>4</v>
      </c>
    </row>
    <row r="657" spans="1:13" x14ac:dyDescent="0.25">
      <c r="A657" t="s">
        <v>1783</v>
      </c>
      <c r="B657" t="s">
        <v>290</v>
      </c>
      <c r="C657" t="s">
        <v>1784</v>
      </c>
      <c r="D657" t="s">
        <v>667</v>
      </c>
      <c r="E657" t="s">
        <v>699</v>
      </c>
      <c r="F657">
        <v>89.99</v>
      </c>
      <c r="G657">
        <v>3</v>
      </c>
      <c r="H657">
        <v>20</v>
      </c>
      <c r="I657">
        <v>71.989999999999995</v>
      </c>
      <c r="J657">
        <v>215.97</v>
      </c>
      <c r="K657" t="s">
        <v>675</v>
      </c>
      <c r="L657" t="s">
        <v>656</v>
      </c>
      <c r="M657">
        <v>3</v>
      </c>
    </row>
    <row r="658" spans="1:13" x14ac:dyDescent="0.25">
      <c r="A658" t="s">
        <v>1785</v>
      </c>
      <c r="B658" t="s">
        <v>290</v>
      </c>
      <c r="C658" t="s">
        <v>843</v>
      </c>
      <c r="D658" t="s">
        <v>710</v>
      </c>
      <c r="E658" t="s">
        <v>744</v>
      </c>
      <c r="F658">
        <v>29.99</v>
      </c>
      <c r="G658">
        <v>1</v>
      </c>
      <c r="H658">
        <v>10</v>
      </c>
      <c r="I658">
        <v>26.99</v>
      </c>
      <c r="J658">
        <v>26.99</v>
      </c>
      <c r="K658" t="s">
        <v>682</v>
      </c>
      <c r="L658" t="s">
        <v>656</v>
      </c>
      <c r="M658">
        <v>4</v>
      </c>
    </row>
    <row r="659" spans="1:13" x14ac:dyDescent="0.25">
      <c r="A659" t="s">
        <v>1786</v>
      </c>
      <c r="B659" t="s">
        <v>290</v>
      </c>
      <c r="C659" t="s">
        <v>1161</v>
      </c>
      <c r="D659" t="s">
        <v>672</v>
      </c>
      <c r="E659" t="s">
        <v>673</v>
      </c>
      <c r="F659">
        <v>24.99</v>
      </c>
      <c r="G659">
        <v>1</v>
      </c>
      <c r="H659">
        <v>20</v>
      </c>
      <c r="I659">
        <v>19.989999999999998</v>
      </c>
      <c r="J659">
        <v>19.989999999999998</v>
      </c>
      <c r="K659" t="s">
        <v>655</v>
      </c>
      <c r="L659" t="s">
        <v>656</v>
      </c>
      <c r="M659">
        <v>5</v>
      </c>
    </row>
    <row r="660" spans="1:13" x14ac:dyDescent="0.25">
      <c r="A660" t="s">
        <v>1787</v>
      </c>
      <c r="B660" t="s">
        <v>293</v>
      </c>
      <c r="C660" t="s">
        <v>128</v>
      </c>
      <c r="D660" t="s">
        <v>680</v>
      </c>
      <c r="E660" t="s">
        <v>708</v>
      </c>
      <c r="F660">
        <v>24.99</v>
      </c>
      <c r="G660">
        <v>2</v>
      </c>
      <c r="H660">
        <v>20</v>
      </c>
      <c r="I660">
        <v>19.989999999999998</v>
      </c>
      <c r="J660">
        <v>39.979999999999997</v>
      </c>
      <c r="K660" t="s">
        <v>661</v>
      </c>
      <c r="L660" t="s">
        <v>656</v>
      </c>
      <c r="M660">
        <v>5</v>
      </c>
    </row>
    <row r="661" spans="1:13" x14ac:dyDescent="0.25">
      <c r="A661" t="s">
        <v>1788</v>
      </c>
      <c r="B661" t="s">
        <v>293</v>
      </c>
      <c r="C661" t="s">
        <v>1789</v>
      </c>
      <c r="D661" t="s">
        <v>672</v>
      </c>
      <c r="E661" t="s">
        <v>735</v>
      </c>
      <c r="F661">
        <v>44.99</v>
      </c>
      <c r="G661">
        <v>2</v>
      </c>
      <c r="H661">
        <v>0</v>
      </c>
      <c r="I661">
        <v>44.99</v>
      </c>
      <c r="J661">
        <v>89.98</v>
      </c>
      <c r="K661" t="s">
        <v>675</v>
      </c>
      <c r="L661" t="s">
        <v>656</v>
      </c>
      <c r="M661">
        <v>5</v>
      </c>
    </row>
    <row r="662" spans="1:13" x14ac:dyDescent="0.25">
      <c r="A662" t="s">
        <v>1790</v>
      </c>
      <c r="B662" t="s">
        <v>293</v>
      </c>
      <c r="C662" t="s">
        <v>979</v>
      </c>
      <c r="D662" t="s">
        <v>684</v>
      </c>
      <c r="E662" t="s">
        <v>702</v>
      </c>
      <c r="F662">
        <v>199.99</v>
      </c>
      <c r="G662">
        <v>4</v>
      </c>
      <c r="H662">
        <v>0</v>
      </c>
      <c r="I662">
        <v>199.99</v>
      </c>
      <c r="J662">
        <v>799.96</v>
      </c>
      <c r="K662" t="s">
        <v>675</v>
      </c>
      <c r="L662" t="s">
        <v>656</v>
      </c>
      <c r="M662">
        <v>5</v>
      </c>
    </row>
    <row r="663" spans="1:13" x14ac:dyDescent="0.25">
      <c r="A663" t="s">
        <v>1791</v>
      </c>
      <c r="B663" t="s">
        <v>293</v>
      </c>
      <c r="C663" t="s">
        <v>1792</v>
      </c>
      <c r="D663" t="s">
        <v>659</v>
      </c>
      <c r="E663" t="s">
        <v>660</v>
      </c>
      <c r="F663">
        <v>19.989999999999998</v>
      </c>
      <c r="G663">
        <v>2</v>
      </c>
      <c r="H663">
        <v>0</v>
      </c>
      <c r="I663">
        <v>19.989999999999998</v>
      </c>
      <c r="J663">
        <v>39.979999999999997</v>
      </c>
      <c r="K663" t="s">
        <v>655</v>
      </c>
      <c r="L663" t="s">
        <v>788</v>
      </c>
      <c r="M663">
        <v>5</v>
      </c>
    </row>
    <row r="664" spans="1:13" x14ac:dyDescent="0.25">
      <c r="A664" t="s">
        <v>1793</v>
      </c>
      <c r="B664" t="s">
        <v>293</v>
      </c>
      <c r="C664" t="s">
        <v>538</v>
      </c>
      <c r="D664" t="s">
        <v>667</v>
      </c>
      <c r="E664" t="s">
        <v>668</v>
      </c>
      <c r="F664">
        <v>64.989999999999995</v>
      </c>
      <c r="G664">
        <v>2</v>
      </c>
      <c r="H664">
        <v>15</v>
      </c>
      <c r="I664">
        <v>55.24</v>
      </c>
      <c r="J664">
        <v>110.48</v>
      </c>
      <c r="K664" t="s">
        <v>675</v>
      </c>
      <c r="L664" t="s">
        <v>656</v>
      </c>
      <c r="M664">
        <v>4</v>
      </c>
    </row>
    <row r="665" spans="1:13" x14ac:dyDescent="0.25">
      <c r="A665" t="s">
        <v>1794</v>
      </c>
      <c r="B665" t="s">
        <v>293</v>
      </c>
      <c r="C665" t="s">
        <v>1795</v>
      </c>
      <c r="D665" t="s">
        <v>667</v>
      </c>
      <c r="E665" t="s">
        <v>696</v>
      </c>
      <c r="F665">
        <v>59.99</v>
      </c>
      <c r="G665">
        <v>1</v>
      </c>
      <c r="H665">
        <v>20</v>
      </c>
      <c r="I665">
        <v>47.99</v>
      </c>
      <c r="J665">
        <v>47.99</v>
      </c>
      <c r="K665" t="s">
        <v>669</v>
      </c>
      <c r="L665" t="s">
        <v>656</v>
      </c>
      <c r="M665">
        <v>2</v>
      </c>
    </row>
    <row r="666" spans="1:13" x14ac:dyDescent="0.25">
      <c r="A666" t="s">
        <v>1796</v>
      </c>
      <c r="B666" t="s">
        <v>293</v>
      </c>
      <c r="C666" t="s">
        <v>1797</v>
      </c>
      <c r="D666" t="s">
        <v>653</v>
      </c>
      <c r="E666" t="s">
        <v>827</v>
      </c>
      <c r="F666">
        <v>29.99</v>
      </c>
      <c r="G666">
        <v>3</v>
      </c>
      <c r="H666">
        <v>0</v>
      </c>
      <c r="I666">
        <v>29.99</v>
      </c>
      <c r="J666">
        <v>89.97</v>
      </c>
      <c r="K666" t="s">
        <v>655</v>
      </c>
      <c r="L666" t="s">
        <v>656</v>
      </c>
    </row>
    <row r="667" spans="1:13" x14ac:dyDescent="0.25">
      <c r="A667" t="s">
        <v>1798</v>
      </c>
      <c r="B667" t="s">
        <v>293</v>
      </c>
      <c r="C667" t="s">
        <v>1479</v>
      </c>
      <c r="D667" t="s">
        <v>667</v>
      </c>
      <c r="E667" t="s">
        <v>668</v>
      </c>
      <c r="F667">
        <v>64.989999999999995</v>
      </c>
      <c r="G667">
        <v>2</v>
      </c>
      <c r="H667">
        <v>0</v>
      </c>
      <c r="I667">
        <v>64.989999999999995</v>
      </c>
      <c r="J667">
        <v>129.97999999999999</v>
      </c>
      <c r="K667" t="s">
        <v>675</v>
      </c>
      <c r="L667" t="s">
        <v>656</v>
      </c>
    </row>
    <row r="668" spans="1:13" x14ac:dyDescent="0.25">
      <c r="A668" t="s">
        <v>1799</v>
      </c>
      <c r="B668" t="s">
        <v>293</v>
      </c>
      <c r="C668" t="s">
        <v>1281</v>
      </c>
      <c r="D668" t="s">
        <v>710</v>
      </c>
      <c r="E668" t="s">
        <v>711</v>
      </c>
      <c r="F668">
        <v>14.99</v>
      </c>
      <c r="G668">
        <v>2</v>
      </c>
      <c r="H668">
        <v>0</v>
      </c>
      <c r="I668">
        <v>14.99</v>
      </c>
      <c r="J668">
        <v>29.98</v>
      </c>
      <c r="K668" t="s">
        <v>682</v>
      </c>
      <c r="L668" t="s">
        <v>656</v>
      </c>
      <c r="M668">
        <v>3</v>
      </c>
    </row>
    <row r="669" spans="1:13" x14ac:dyDescent="0.25">
      <c r="A669" t="s">
        <v>1800</v>
      </c>
      <c r="B669" t="s">
        <v>293</v>
      </c>
      <c r="C669" t="s">
        <v>989</v>
      </c>
      <c r="D669" t="s">
        <v>659</v>
      </c>
      <c r="E669" t="s">
        <v>820</v>
      </c>
      <c r="F669">
        <v>39.99</v>
      </c>
      <c r="G669">
        <v>4</v>
      </c>
      <c r="H669">
        <v>0</v>
      </c>
      <c r="I669">
        <v>39.99</v>
      </c>
      <c r="J669">
        <v>159.96</v>
      </c>
      <c r="K669" t="s">
        <v>682</v>
      </c>
      <c r="L669" t="s">
        <v>656</v>
      </c>
      <c r="M669">
        <v>5</v>
      </c>
    </row>
    <row r="670" spans="1:13" x14ac:dyDescent="0.25">
      <c r="A670" t="s">
        <v>1801</v>
      </c>
      <c r="B670" t="s">
        <v>293</v>
      </c>
      <c r="C670" t="s">
        <v>519</v>
      </c>
      <c r="D670" t="s">
        <v>680</v>
      </c>
      <c r="E670" t="s">
        <v>681</v>
      </c>
      <c r="F670">
        <v>19.989999999999998</v>
      </c>
      <c r="G670">
        <v>2</v>
      </c>
      <c r="H670">
        <v>20</v>
      </c>
      <c r="I670">
        <v>15.99</v>
      </c>
      <c r="J670">
        <v>31.98</v>
      </c>
      <c r="K670" t="s">
        <v>661</v>
      </c>
      <c r="L670" t="s">
        <v>656</v>
      </c>
    </row>
    <row r="671" spans="1:13" x14ac:dyDescent="0.25">
      <c r="A671" t="s">
        <v>1802</v>
      </c>
      <c r="B671" t="s">
        <v>293</v>
      </c>
      <c r="C671" t="s">
        <v>1434</v>
      </c>
      <c r="D671" t="s">
        <v>653</v>
      </c>
      <c r="E671" t="s">
        <v>827</v>
      </c>
      <c r="F671">
        <v>29.99</v>
      </c>
      <c r="G671">
        <v>2</v>
      </c>
      <c r="H671">
        <v>10</v>
      </c>
      <c r="I671">
        <v>26.99</v>
      </c>
      <c r="J671">
        <v>53.98</v>
      </c>
      <c r="K671" t="s">
        <v>682</v>
      </c>
      <c r="L671" t="s">
        <v>656</v>
      </c>
    </row>
    <row r="672" spans="1:13" x14ac:dyDescent="0.25">
      <c r="A672" t="s">
        <v>1803</v>
      </c>
      <c r="B672" t="s">
        <v>293</v>
      </c>
      <c r="C672" t="s">
        <v>392</v>
      </c>
      <c r="D672" t="s">
        <v>667</v>
      </c>
      <c r="E672" t="s">
        <v>714</v>
      </c>
      <c r="F672">
        <v>44.99</v>
      </c>
      <c r="G672">
        <v>2</v>
      </c>
      <c r="H672">
        <v>5</v>
      </c>
      <c r="I672">
        <v>42.74</v>
      </c>
      <c r="J672">
        <v>85.48</v>
      </c>
      <c r="K672" t="s">
        <v>655</v>
      </c>
      <c r="L672" t="s">
        <v>656</v>
      </c>
      <c r="M672">
        <v>3</v>
      </c>
    </row>
    <row r="673" spans="1:13" x14ac:dyDescent="0.25">
      <c r="A673" t="s">
        <v>1804</v>
      </c>
      <c r="B673" t="s">
        <v>293</v>
      </c>
      <c r="C673" t="s">
        <v>1805</v>
      </c>
      <c r="D673" t="s">
        <v>672</v>
      </c>
      <c r="E673" t="s">
        <v>673</v>
      </c>
      <c r="F673">
        <v>24.99</v>
      </c>
      <c r="G673">
        <v>4</v>
      </c>
      <c r="H673">
        <v>5</v>
      </c>
      <c r="I673">
        <v>23.74</v>
      </c>
      <c r="J673">
        <v>94.96</v>
      </c>
      <c r="K673" t="s">
        <v>682</v>
      </c>
      <c r="L673" t="s">
        <v>656</v>
      </c>
    </row>
    <row r="674" spans="1:13" x14ac:dyDescent="0.25">
      <c r="A674" t="s">
        <v>1806</v>
      </c>
      <c r="B674" t="s">
        <v>296</v>
      </c>
      <c r="C674" t="s">
        <v>1666</v>
      </c>
      <c r="D674" t="s">
        <v>680</v>
      </c>
      <c r="E674" t="s">
        <v>681</v>
      </c>
      <c r="F674">
        <v>19.989999999999998</v>
      </c>
      <c r="G674">
        <v>4</v>
      </c>
      <c r="H674">
        <v>5</v>
      </c>
      <c r="I674">
        <v>18.989999999999998</v>
      </c>
      <c r="J674">
        <v>75.959999999999994</v>
      </c>
      <c r="K674" t="s">
        <v>669</v>
      </c>
      <c r="L674" t="s">
        <v>656</v>
      </c>
      <c r="M674">
        <v>3</v>
      </c>
    </row>
    <row r="675" spans="1:13" x14ac:dyDescent="0.25">
      <c r="A675" t="s">
        <v>1807</v>
      </c>
      <c r="B675" t="s">
        <v>296</v>
      </c>
      <c r="C675" t="s">
        <v>889</v>
      </c>
      <c r="D675" t="s">
        <v>710</v>
      </c>
      <c r="E675" t="s">
        <v>730</v>
      </c>
      <c r="F675">
        <v>39.99</v>
      </c>
      <c r="G675">
        <v>1</v>
      </c>
      <c r="H675">
        <v>20</v>
      </c>
      <c r="I675">
        <v>31.99</v>
      </c>
      <c r="J675">
        <v>31.99</v>
      </c>
      <c r="K675" t="s">
        <v>682</v>
      </c>
      <c r="L675" t="s">
        <v>656</v>
      </c>
    </row>
    <row r="676" spans="1:13" x14ac:dyDescent="0.25">
      <c r="A676" t="s">
        <v>1808</v>
      </c>
      <c r="B676" t="s">
        <v>296</v>
      </c>
      <c r="C676" t="s">
        <v>1809</v>
      </c>
      <c r="D676" t="s">
        <v>659</v>
      </c>
      <c r="E676" t="s">
        <v>664</v>
      </c>
      <c r="F676">
        <v>24.99</v>
      </c>
      <c r="G676">
        <v>4</v>
      </c>
      <c r="H676">
        <v>0</v>
      </c>
      <c r="I676">
        <v>24.99</v>
      </c>
      <c r="J676">
        <v>99.96</v>
      </c>
      <c r="K676" t="s">
        <v>669</v>
      </c>
      <c r="L676" t="s">
        <v>788</v>
      </c>
      <c r="M676">
        <v>4</v>
      </c>
    </row>
    <row r="677" spans="1:13" x14ac:dyDescent="0.25">
      <c r="A677" t="s">
        <v>1810</v>
      </c>
      <c r="B677" t="s">
        <v>299</v>
      </c>
      <c r="C677" t="s">
        <v>1562</v>
      </c>
      <c r="D677" t="s">
        <v>710</v>
      </c>
      <c r="E677" t="s">
        <v>730</v>
      </c>
      <c r="F677">
        <v>39.99</v>
      </c>
      <c r="G677">
        <v>1</v>
      </c>
      <c r="H677">
        <v>0</v>
      </c>
      <c r="I677">
        <v>39.99</v>
      </c>
      <c r="J677">
        <v>39.99</v>
      </c>
      <c r="K677" t="s">
        <v>675</v>
      </c>
      <c r="L677" t="s">
        <v>785</v>
      </c>
    </row>
    <row r="678" spans="1:13" x14ac:dyDescent="0.25">
      <c r="A678" t="s">
        <v>1811</v>
      </c>
      <c r="B678" t="s">
        <v>299</v>
      </c>
      <c r="C678" t="s">
        <v>1812</v>
      </c>
      <c r="D678" t="s">
        <v>653</v>
      </c>
      <c r="E678" t="s">
        <v>727</v>
      </c>
      <c r="F678">
        <v>14.99</v>
      </c>
      <c r="G678">
        <v>2</v>
      </c>
      <c r="H678">
        <v>5</v>
      </c>
      <c r="I678">
        <v>14.24</v>
      </c>
      <c r="J678">
        <v>28.48</v>
      </c>
      <c r="K678" t="s">
        <v>675</v>
      </c>
      <c r="L678" t="s">
        <v>656</v>
      </c>
    </row>
    <row r="679" spans="1:13" x14ac:dyDescent="0.25">
      <c r="A679" t="s">
        <v>1813</v>
      </c>
      <c r="B679" t="s">
        <v>299</v>
      </c>
      <c r="C679" t="s">
        <v>1072</v>
      </c>
      <c r="D679" t="s">
        <v>672</v>
      </c>
      <c r="E679" t="s">
        <v>803</v>
      </c>
      <c r="F679">
        <v>69.989999999999995</v>
      </c>
      <c r="G679">
        <v>4</v>
      </c>
      <c r="H679">
        <v>0</v>
      </c>
      <c r="I679">
        <v>69.989999999999995</v>
      </c>
      <c r="J679">
        <v>279.95999999999998</v>
      </c>
      <c r="K679" t="s">
        <v>682</v>
      </c>
      <c r="L679" t="s">
        <v>656</v>
      </c>
      <c r="M679">
        <v>5</v>
      </c>
    </row>
    <row r="680" spans="1:13" x14ac:dyDescent="0.25">
      <c r="A680" t="s">
        <v>1814</v>
      </c>
      <c r="B680" t="s">
        <v>302</v>
      </c>
      <c r="C680" t="s">
        <v>1769</v>
      </c>
      <c r="D680" t="s">
        <v>684</v>
      </c>
      <c r="E680" t="s">
        <v>702</v>
      </c>
      <c r="F680">
        <v>199.99</v>
      </c>
      <c r="G680">
        <v>3</v>
      </c>
      <c r="H680">
        <v>20</v>
      </c>
      <c r="I680">
        <v>159.99</v>
      </c>
      <c r="J680">
        <v>479.97</v>
      </c>
      <c r="K680" t="s">
        <v>661</v>
      </c>
      <c r="L680" t="s">
        <v>656</v>
      </c>
      <c r="M680">
        <v>5</v>
      </c>
    </row>
    <row r="681" spans="1:13" x14ac:dyDescent="0.25">
      <c r="A681" t="s">
        <v>1815</v>
      </c>
      <c r="B681" t="s">
        <v>302</v>
      </c>
      <c r="C681" t="s">
        <v>1816</v>
      </c>
      <c r="D681" t="s">
        <v>667</v>
      </c>
      <c r="E681" t="s">
        <v>668</v>
      </c>
      <c r="F681">
        <v>64.989999999999995</v>
      </c>
      <c r="G681">
        <v>2</v>
      </c>
      <c r="H681">
        <v>0</v>
      </c>
      <c r="I681">
        <v>64.989999999999995</v>
      </c>
      <c r="J681">
        <v>129.97999999999999</v>
      </c>
      <c r="K681" t="s">
        <v>682</v>
      </c>
      <c r="L681" t="s">
        <v>656</v>
      </c>
    </row>
    <row r="682" spans="1:13" x14ac:dyDescent="0.25">
      <c r="A682" t="s">
        <v>1817</v>
      </c>
      <c r="B682" t="s">
        <v>302</v>
      </c>
      <c r="C682" t="s">
        <v>1651</v>
      </c>
      <c r="D682" t="s">
        <v>680</v>
      </c>
      <c r="E682" t="s">
        <v>681</v>
      </c>
      <c r="F682">
        <v>19.989999999999998</v>
      </c>
      <c r="G682">
        <v>3</v>
      </c>
      <c r="H682">
        <v>0</v>
      </c>
      <c r="I682">
        <v>19.989999999999998</v>
      </c>
      <c r="J682">
        <v>59.97</v>
      </c>
      <c r="K682" t="s">
        <v>655</v>
      </c>
      <c r="L682" t="s">
        <v>656</v>
      </c>
    </row>
    <row r="683" spans="1:13" x14ac:dyDescent="0.25">
      <c r="A683" t="s">
        <v>1818</v>
      </c>
      <c r="B683" t="s">
        <v>302</v>
      </c>
      <c r="C683" t="s">
        <v>1819</v>
      </c>
      <c r="D683" t="s">
        <v>653</v>
      </c>
      <c r="E683" t="s">
        <v>654</v>
      </c>
      <c r="F683">
        <v>39.99</v>
      </c>
      <c r="G683">
        <v>4</v>
      </c>
      <c r="H683">
        <v>15</v>
      </c>
      <c r="I683">
        <v>33.99</v>
      </c>
      <c r="J683">
        <v>135.96</v>
      </c>
      <c r="K683" t="s">
        <v>655</v>
      </c>
      <c r="L683" t="s">
        <v>656</v>
      </c>
      <c r="M683">
        <v>3</v>
      </c>
    </row>
    <row r="684" spans="1:13" x14ac:dyDescent="0.25">
      <c r="A684" t="s">
        <v>1820</v>
      </c>
      <c r="B684" t="s">
        <v>302</v>
      </c>
      <c r="C684" t="s">
        <v>1288</v>
      </c>
      <c r="D684" t="s">
        <v>680</v>
      </c>
      <c r="E684" t="s">
        <v>708</v>
      </c>
      <c r="F684">
        <v>24.99</v>
      </c>
      <c r="G684">
        <v>4</v>
      </c>
      <c r="H684">
        <v>20</v>
      </c>
      <c r="I684">
        <v>19.989999999999998</v>
      </c>
      <c r="J684">
        <v>79.959999999999994</v>
      </c>
      <c r="K684" t="s">
        <v>682</v>
      </c>
      <c r="L684" t="s">
        <v>656</v>
      </c>
      <c r="M684">
        <v>5</v>
      </c>
    </row>
    <row r="685" spans="1:13" x14ac:dyDescent="0.25">
      <c r="A685" t="s">
        <v>1821</v>
      </c>
      <c r="B685" t="s">
        <v>302</v>
      </c>
      <c r="C685" t="s">
        <v>1211</v>
      </c>
      <c r="D685" t="s">
        <v>684</v>
      </c>
      <c r="E685" t="s">
        <v>685</v>
      </c>
      <c r="F685">
        <v>49.99</v>
      </c>
      <c r="G685">
        <v>3</v>
      </c>
      <c r="H685">
        <v>5</v>
      </c>
      <c r="I685">
        <v>47.49</v>
      </c>
      <c r="J685">
        <v>142.47</v>
      </c>
      <c r="K685" t="s">
        <v>655</v>
      </c>
      <c r="L685" t="s">
        <v>656</v>
      </c>
    </row>
    <row r="686" spans="1:13" x14ac:dyDescent="0.25">
      <c r="A686" t="s">
        <v>1822</v>
      </c>
      <c r="B686" t="s">
        <v>302</v>
      </c>
      <c r="C686" t="s">
        <v>1823</v>
      </c>
      <c r="D686" t="s">
        <v>672</v>
      </c>
      <c r="E686" t="s">
        <v>735</v>
      </c>
      <c r="F686">
        <v>44.99</v>
      </c>
      <c r="G686">
        <v>1</v>
      </c>
      <c r="H686">
        <v>20</v>
      </c>
      <c r="I686">
        <v>35.99</v>
      </c>
      <c r="J686">
        <v>35.99</v>
      </c>
      <c r="K686" t="s">
        <v>669</v>
      </c>
      <c r="L686" t="s">
        <v>656</v>
      </c>
    </row>
    <row r="687" spans="1:13" x14ac:dyDescent="0.25">
      <c r="A687" t="s">
        <v>1824</v>
      </c>
      <c r="B687" t="s">
        <v>302</v>
      </c>
      <c r="C687" t="s">
        <v>1057</v>
      </c>
      <c r="D687" t="s">
        <v>680</v>
      </c>
      <c r="E687" t="s">
        <v>688</v>
      </c>
      <c r="F687">
        <v>29.99</v>
      </c>
      <c r="G687">
        <v>1</v>
      </c>
      <c r="H687">
        <v>5</v>
      </c>
      <c r="I687">
        <v>28.49</v>
      </c>
      <c r="J687">
        <v>28.49</v>
      </c>
      <c r="K687" t="s">
        <v>655</v>
      </c>
      <c r="L687" t="s">
        <v>693</v>
      </c>
      <c r="M687">
        <v>4</v>
      </c>
    </row>
    <row r="688" spans="1:13" x14ac:dyDescent="0.25">
      <c r="A688" t="s">
        <v>1825</v>
      </c>
      <c r="B688" t="s">
        <v>302</v>
      </c>
      <c r="C688" t="s">
        <v>883</v>
      </c>
      <c r="D688" t="s">
        <v>710</v>
      </c>
      <c r="E688" t="s">
        <v>744</v>
      </c>
      <c r="F688">
        <v>29.99</v>
      </c>
      <c r="G688">
        <v>2</v>
      </c>
      <c r="H688">
        <v>15</v>
      </c>
      <c r="I688">
        <v>25.49</v>
      </c>
      <c r="J688">
        <v>50.98</v>
      </c>
      <c r="K688" t="s">
        <v>669</v>
      </c>
      <c r="L688" t="s">
        <v>656</v>
      </c>
      <c r="M688">
        <v>2</v>
      </c>
    </row>
    <row r="689" spans="1:13" x14ac:dyDescent="0.25">
      <c r="A689" t="s">
        <v>1826</v>
      </c>
      <c r="B689" t="s">
        <v>302</v>
      </c>
      <c r="C689" t="s">
        <v>1536</v>
      </c>
      <c r="D689" t="s">
        <v>680</v>
      </c>
      <c r="E689" t="s">
        <v>749</v>
      </c>
      <c r="F689">
        <v>14.99</v>
      </c>
      <c r="G689">
        <v>2</v>
      </c>
      <c r="H689">
        <v>0</v>
      </c>
      <c r="I689">
        <v>14.99</v>
      </c>
      <c r="J689">
        <v>29.98</v>
      </c>
      <c r="K689" t="s">
        <v>675</v>
      </c>
      <c r="L689" t="s">
        <v>656</v>
      </c>
    </row>
    <row r="690" spans="1:13" x14ac:dyDescent="0.25">
      <c r="A690" t="s">
        <v>1827</v>
      </c>
      <c r="B690" t="s">
        <v>302</v>
      </c>
      <c r="C690" t="s">
        <v>1828</v>
      </c>
      <c r="D690" t="s">
        <v>653</v>
      </c>
      <c r="E690" t="s">
        <v>827</v>
      </c>
      <c r="F690">
        <v>29.99</v>
      </c>
      <c r="G690">
        <v>2</v>
      </c>
      <c r="H690">
        <v>0</v>
      </c>
      <c r="I690">
        <v>29.99</v>
      </c>
      <c r="J690">
        <v>59.98</v>
      </c>
      <c r="K690" t="s">
        <v>661</v>
      </c>
      <c r="L690" t="s">
        <v>656</v>
      </c>
      <c r="M690">
        <v>4</v>
      </c>
    </row>
    <row r="691" spans="1:13" x14ac:dyDescent="0.25">
      <c r="A691" t="s">
        <v>1829</v>
      </c>
      <c r="B691" t="s">
        <v>304</v>
      </c>
      <c r="C691" t="s">
        <v>1830</v>
      </c>
      <c r="D691" t="s">
        <v>653</v>
      </c>
      <c r="E691" t="s">
        <v>654</v>
      </c>
      <c r="F691">
        <v>39.99</v>
      </c>
      <c r="G691">
        <v>2</v>
      </c>
      <c r="H691">
        <v>10</v>
      </c>
      <c r="I691">
        <v>35.99</v>
      </c>
      <c r="J691">
        <v>71.98</v>
      </c>
      <c r="K691" t="s">
        <v>655</v>
      </c>
      <c r="L691" t="s">
        <v>656</v>
      </c>
    </row>
    <row r="692" spans="1:13" x14ac:dyDescent="0.25">
      <c r="A692" t="s">
        <v>1831</v>
      </c>
      <c r="B692" t="s">
        <v>304</v>
      </c>
      <c r="C692" t="s">
        <v>1832</v>
      </c>
      <c r="D692" t="s">
        <v>653</v>
      </c>
      <c r="E692" t="s">
        <v>769</v>
      </c>
      <c r="F692">
        <v>49.99</v>
      </c>
      <c r="G692">
        <v>4</v>
      </c>
      <c r="H692">
        <v>0</v>
      </c>
      <c r="I692">
        <v>49.99</v>
      </c>
      <c r="J692">
        <v>199.96</v>
      </c>
      <c r="K692" t="s">
        <v>669</v>
      </c>
      <c r="L692" t="s">
        <v>656</v>
      </c>
      <c r="M692">
        <v>5</v>
      </c>
    </row>
    <row r="693" spans="1:13" x14ac:dyDescent="0.25">
      <c r="A693" t="s">
        <v>1833</v>
      </c>
      <c r="B693" t="s">
        <v>304</v>
      </c>
      <c r="C693" t="s">
        <v>1267</v>
      </c>
      <c r="D693" t="s">
        <v>667</v>
      </c>
      <c r="E693" t="s">
        <v>668</v>
      </c>
      <c r="F693">
        <v>64.989999999999995</v>
      </c>
      <c r="G693">
        <v>4</v>
      </c>
      <c r="H693">
        <v>20</v>
      </c>
      <c r="I693">
        <v>51.99</v>
      </c>
      <c r="J693">
        <v>207.96</v>
      </c>
      <c r="K693" t="s">
        <v>661</v>
      </c>
      <c r="L693" t="s">
        <v>656</v>
      </c>
      <c r="M693">
        <v>5</v>
      </c>
    </row>
    <row r="694" spans="1:13" x14ac:dyDescent="0.25">
      <c r="A694" t="s">
        <v>1834</v>
      </c>
      <c r="B694" t="s">
        <v>304</v>
      </c>
      <c r="C694" t="s">
        <v>1835</v>
      </c>
      <c r="D694" t="s">
        <v>667</v>
      </c>
      <c r="E694" t="s">
        <v>668</v>
      </c>
      <c r="F694">
        <v>64.989999999999995</v>
      </c>
      <c r="G694">
        <v>2</v>
      </c>
      <c r="H694">
        <v>10</v>
      </c>
      <c r="I694">
        <v>58.49</v>
      </c>
      <c r="J694">
        <v>116.98</v>
      </c>
      <c r="K694" t="s">
        <v>655</v>
      </c>
      <c r="L694" t="s">
        <v>656</v>
      </c>
      <c r="M694">
        <v>5</v>
      </c>
    </row>
    <row r="695" spans="1:13" x14ac:dyDescent="0.25">
      <c r="A695" t="s">
        <v>1836</v>
      </c>
      <c r="B695" t="s">
        <v>304</v>
      </c>
      <c r="C695" t="s">
        <v>1837</v>
      </c>
      <c r="D695" t="s">
        <v>684</v>
      </c>
      <c r="E695" t="s">
        <v>815</v>
      </c>
      <c r="F695">
        <v>34.99</v>
      </c>
      <c r="G695">
        <v>2</v>
      </c>
      <c r="H695">
        <v>0</v>
      </c>
      <c r="I695">
        <v>34.99</v>
      </c>
      <c r="J695">
        <v>69.98</v>
      </c>
      <c r="K695" t="s">
        <v>661</v>
      </c>
      <c r="L695" t="s">
        <v>656</v>
      </c>
      <c r="M695">
        <v>5</v>
      </c>
    </row>
    <row r="696" spans="1:13" x14ac:dyDescent="0.25">
      <c r="A696" t="s">
        <v>1838</v>
      </c>
      <c r="B696" t="s">
        <v>304</v>
      </c>
      <c r="C696" t="s">
        <v>1839</v>
      </c>
      <c r="D696" t="s">
        <v>710</v>
      </c>
      <c r="E696" t="s">
        <v>711</v>
      </c>
      <c r="F696">
        <v>14.99</v>
      </c>
      <c r="G696">
        <v>1</v>
      </c>
      <c r="H696">
        <v>0</v>
      </c>
      <c r="I696">
        <v>14.99</v>
      </c>
      <c r="J696">
        <v>14.99</v>
      </c>
      <c r="K696" t="s">
        <v>682</v>
      </c>
      <c r="L696" t="s">
        <v>788</v>
      </c>
    </row>
    <row r="697" spans="1:13" x14ac:dyDescent="0.25">
      <c r="A697" t="s">
        <v>1840</v>
      </c>
      <c r="B697" t="s">
        <v>304</v>
      </c>
      <c r="C697" t="s">
        <v>1085</v>
      </c>
      <c r="D697" t="s">
        <v>684</v>
      </c>
      <c r="E697" t="s">
        <v>705</v>
      </c>
      <c r="F697">
        <v>79.989999999999995</v>
      </c>
      <c r="G697">
        <v>3</v>
      </c>
      <c r="H697">
        <v>0</v>
      </c>
      <c r="I697">
        <v>79.989999999999995</v>
      </c>
      <c r="J697">
        <v>239.97</v>
      </c>
      <c r="K697" t="s">
        <v>675</v>
      </c>
      <c r="L697" t="s">
        <v>656</v>
      </c>
      <c r="M697">
        <v>4</v>
      </c>
    </row>
    <row r="698" spans="1:13" x14ac:dyDescent="0.25">
      <c r="A698" t="s">
        <v>1841</v>
      </c>
      <c r="B698" t="s">
        <v>307</v>
      </c>
      <c r="C698" t="s">
        <v>1789</v>
      </c>
      <c r="D698" t="s">
        <v>667</v>
      </c>
      <c r="E698" t="s">
        <v>714</v>
      </c>
      <c r="F698">
        <v>44.99</v>
      </c>
      <c r="G698">
        <v>2</v>
      </c>
      <c r="H698">
        <v>20</v>
      </c>
      <c r="I698">
        <v>35.99</v>
      </c>
      <c r="J698">
        <v>71.98</v>
      </c>
      <c r="K698" t="s">
        <v>675</v>
      </c>
      <c r="L698" t="s">
        <v>656</v>
      </c>
      <c r="M698">
        <v>3</v>
      </c>
    </row>
    <row r="699" spans="1:13" x14ac:dyDescent="0.25">
      <c r="A699" t="s">
        <v>1842</v>
      </c>
      <c r="B699" t="s">
        <v>307</v>
      </c>
      <c r="C699" t="s">
        <v>962</v>
      </c>
      <c r="D699" t="s">
        <v>684</v>
      </c>
      <c r="E699" t="s">
        <v>685</v>
      </c>
      <c r="F699">
        <v>49.99</v>
      </c>
      <c r="G699">
        <v>1</v>
      </c>
      <c r="H699">
        <v>0</v>
      </c>
      <c r="I699">
        <v>49.99</v>
      </c>
      <c r="J699">
        <v>49.99</v>
      </c>
      <c r="K699" t="s">
        <v>655</v>
      </c>
      <c r="L699" t="s">
        <v>788</v>
      </c>
    </row>
    <row r="700" spans="1:13" x14ac:dyDescent="0.25">
      <c r="A700" t="s">
        <v>1843</v>
      </c>
      <c r="B700" t="s">
        <v>307</v>
      </c>
      <c r="C700" t="s">
        <v>779</v>
      </c>
      <c r="D700" t="s">
        <v>684</v>
      </c>
      <c r="E700" t="s">
        <v>705</v>
      </c>
      <c r="F700">
        <v>79.989999999999995</v>
      </c>
      <c r="G700">
        <v>3</v>
      </c>
      <c r="H700">
        <v>0</v>
      </c>
      <c r="I700">
        <v>79.989999999999995</v>
      </c>
      <c r="J700">
        <v>239.97</v>
      </c>
      <c r="K700" t="s">
        <v>682</v>
      </c>
      <c r="L700" t="s">
        <v>656</v>
      </c>
      <c r="M700">
        <v>3</v>
      </c>
    </row>
    <row r="701" spans="1:13" x14ac:dyDescent="0.25">
      <c r="A701" t="s">
        <v>1844</v>
      </c>
      <c r="B701" t="s">
        <v>307</v>
      </c>
      <c r="C701" t="s">
        <v>734</v>
      </c>
      <c r="D701" t="s">
        <v>667</v>
      </c>
      <c r="E701" t="s">
        <v>668</v>
      </c>
      <c r="F701">
        <v>64.989999999999995</v>
      </c>
      <c r="G701">
        <v>3</v>
      </c>
      <c r="H701">
        <v>0</v>
      </c>
      <c r="I701">
        <v>64.989999999999995</v>
      </c>
      <c r="J701">
        <v>194.97</v>
      </c>
      <c r="K701" t="s">
        <v>669</v>
      </c>
      <c r="L701" t="s">
        <v>656</v>
      </c>
    </row>
    <row r="702" spans="1:13" x14ac:dyDescent="0.25">
      <c r="A702" t="s">
        <v>1845</v>
      </c>
      <c r="B702" t="s">
        <v>307</v>
      </c>
      <c r="C702" t="s">
        <v>1846</v>
      </c>
      <c r="D702" t="s">
        <v>684</v>
      </c>
      <c r="E702" t="s">
        <v>702</v>
      </c>
      <c r="F702">
        <v>199.99</v>
      </c>
      <c r="G702">
        <v>3</v>
      </c>
      <c r="H702">
        <v>0</v>
      </c>
      <c r="I702">
        <v>199.99</v>
      </c>
      <c r="J702">
        <v>599.97</v>
      </c>
      <c r="K702" t="s">
        <v>661</v>
      </c>
      <c r="L702" t="s">
        <v>656</v>
      </c>
      <c r="M702">
        <v>4</v>
      </c>
    </row>
    <row r="703" spans="1:13" x14ac:dyDescent="0.25">
      <c r="A703" t="s">
        <v>1847</v>
      </c>
      <c r="B703" t="s">
        <v>307</v>
      </c>
      <c r="C703" t="s">
        <v>1848</v>
      </c>
      <c r="D703" t="s">
        <v>672</v>
      </c>
      <c r="E703" t="s">
        <v>803</v>
      </c>
      <c r="F703">
        <v>69.989999999999995</v>
      </c>
      <c r="G703">
        <v>1</v>
      </c>
      <c r="H703">
        <v>0</v>
      </c>
      <c r="I703">
        <v>69.989999999999995</v>
      </c>
      <c r="J703">
        <v>69.989999999999995</v>
      </c>
      <c r="K703" t="s">
        <v>661</v>
      </c>
      <c r="L703" t="s">
        <v>656</v>
      </c>
      <c r="M703">
        <v>4</v>
      </c>
    </row>
    <row r="704" spans="1:13" x14ac:dyDescent="0.25">
      <c r="A704" t="s">
        <v>1849</v>
      </c>
      <c r="B704" t="s">
        <v>307</v>
      </c>
      <c r="C704" t="s">
        <v>913</v>
      </c>
      <c r="D704" t="s">
        <v>680</v>
      </c>
      <c r="E704" t="s">
        <v>681</v>
      </c>
      <c r="F704">
        <v>19.989999999999998</v>
      </c>
      <c r="G704">
        <v>1</v>
      </c>
      <c r="H704">
        <v>0</v>
      </c>
      <c r="I704">
        <v>19.989999999999998</v>
      </c>
      <c r="J704">
        <v>19.989999999999998</v>
      </c>
      <c r="K704" t="s">
        <v>669</v>
      </c>
      <c r="L704" t="s">
        <v>656</v>
      </c>
    </row>
    <row r="705" spans="1:13" x14ac:dyDescent="0.25">
      <c r="A705" t="s">
        <v>1850</v>
      </c>
      <c r="B705" t="s">
        <v>307</v>
      </c>
      <c r="C705" t="s">
        <v>1851</v>
      </c>
      <c r="D705" t="s">
        <v>710</v>
      </c>
      <c r="E705" t="s">
        <v>721</v>
      </c>
      <c r="F705">
        <v>24.99</v>
      </c>
      <c r="G705">
        <v>4</v>
      </c>
      <c r="H705">
        <v>10</v>
      </c>
      <c r="I705">
        <v>22.49</v>
      </c>
      <c r="J705">
        <v>89.96</v>
      </c>
      <c r="K705" t="s">
        <v>661</v>
      </c>
      <c r="L705" t="s">
        <v>656</v>
      </c>
      <c r="M705">
        <v>5</v>
      </c>
    </row>
    <row r="706" spans="1:13" x14ac:dyDescent="0.25">
      <c r="A706" t="s">
        <v>1852</v>
      </c>
      <c r="B706" t="s">
        <v>307</v>
      </c>
      <c r="C706" t="s">
        <v>1440</v>
      </c>
      <c r="D706" t="s">
        <v>667</v>
      </c>
      <c r="E706" t="s">
        <v>714</v>
      </c>
      <c r="F706">
        <v>44.99</v>
      </c>
      <c r="G706">
        <v>2</v>
      </c>
      <c r="H706">
        <v>0</v>
      </c>
      <c r="I706">
        <v>44.99</v>
      </c>
      <c r="J706">
        <v>89.98</v>
      </c>
      <c r="K706" t="s">
        <v>682</v>
      </c>
      <c r="L706" t="s">
        <v>656</v>
      </c>
      <c r="M706">
        <v>5</v>
      </c>
    </row>
    <row r="707" spans="1:13" x14ac:dyDescent="0.25">
      <c r="A707" t="s">
        <v>1853</v>
      </c>
      <c r="B707" t="s">
        <v>307</v>
      </c>
      <c r="C707" t="s">
        <v>1176</v>
      </c>
      <c r="D707" t="s">
        <v>684</v>
      </c>
      <c r="E707" t="s">
        <v>685</v>
      </c>
      <c r="F707">
        <v>49.99</v>
      </c>
      <c r="G707">
        <v>4</v>
      </c>
      <c r="H707">
        <v>0</v>
      </c>
      <c r="I707">
        <v>49.99</v>
      </c>
      <c r="J707">
        <v>199.96</v>
      </c>
      <c r="K707" t="s">
        <v>655</v>
      </c>
      <c r="L707" t="s">
        <v>656</v>
      </c>
      <c r="M707">
        <v>5</v>
      </c>
    </row>
    <row r="708" spans="1:13" x14ac:dyDescent="0.25">
      <c r="A708" t="s">
        <v>1854</v>
      </c>
      <c r="B708" t="s">
        <v>307</v>
      </c>
      <c r="C708" t="s">
        <v>1298</v>
      </c>
      <c r="D708" t="s">
        <v>659</v>
      </c>
      <c r="E708" t="s">
        <v>664</v>
      </c>
      <c r="F708">
        <v>24.99</v>
      </c>
      <c r="G708">
        <v>1</v>
      </c>
      <c r="H708">
        <v>0</v>
      </c>
      <c r="I708">
        <v>24.99</v>
      </c>
      <c r="J708">
        <v>24.99</v>
      </c>
      <c r="K708" t="s">
        <v>675</v>
      </c>
      <c r="L708" t="s">
        <v>656</v>
      </c>
      <c r="M708">
        <v>5</v>
      </c>
    </row>
    <row r="709" spans="1:13" x14ac:dyDescent="0.25">
      <c r="A709" t="s">
        <v>1855</v>
      </c>
      <c r="B709" t="s">
        <v>307</v>
      </c>
      <c r="C709" t="s">
        <v>1142</v>
      </c>
      <c r="D709" t="s">
        <v>653</v>
      </c>
      <c r="E709" t="s">
        <v>827</v>
      </c>
      <c r="F709">
        <v>29.99</v>
      </c>
      <c r="G709">
        <v>1</v>
      </c>
      <c r="H709">
        <v>15</v>
      </c>
      <c r="I709">
        <v>25.49</v>
      </c>
      <c r="J709">
        <v>25.49</v>
      </c>
      <c r="K709" t="s">
        <v>669</v>
      </c>
      <c r="L709" t="s">
        <v>788</v>
      </c>
      <c r="M709">
        <v>5</v>
      </c>
    </row>
    <row r="710" spans="1:13" x14ac:dyDescent="0.25">
      <c r="A710" t="s">
        <v>1856</v>
      </c>
      <c r="B710" t="s">
        <v>307</v>
      </c>
      <c r="C710" t="s">
        <v>1857</v>
      </c>
      <c r="D710" t="s">
        <v>684</v>
      </c>
      <c r="E710" t="s">
        <v>685</v>
      </c>
      <c r="F710">
        <v>49.99</v>
      </c>
      <c r="G710">
        <v>4</v>
      </c>
      <c r="H710">
        <v>5</v>
      </c>
      <c r="I710">
        <v>47.49</v>
      </c>
      <c r="J710">
        <v>189.96</v>
      </c>
      <c r="K710" t="s">
        <v>675</v>
      </c>
      <c r="L710" t="s">
        <v>656</v>
      </c>
      <c r="M710">
        <v>4</v>
      </c>
    </row>
    <row r="711" spans="1:13" x14ac:dyDescent="0.25">
      <c r="A711" t="s">
        <v>1858</v>
      </c>
      <c r="B711" t="s">
        <v>307</v>
      </c>
      <c r="C711" t="s">
        <v>1627</v>
      </c>
      <c r="D711" t="s">
        <v>667</v>
      </c>
      <c r="E711" t="s">
        <v>696</v>
      </c>
      <c r="F711">
        <v>59.99</v>
      </c>
      <c r="G711">
        <v>4</v>
      </c>
      <c r="H711">
        <v>0</v>
      </c>
      <c r="I711">
        <v>59.99</v>
      </c>
      <c r="J711">
        <v>239.96</v>
      </c>
      <c r="K711" t="s">
        <v>661</v>
      </c>
      <c r="L711" t="s">
        <v>656</v>
      </c>
    </row>
    <row r="712" spans="1:13" x14ac:dyDescent="0.25">
      <c r="A712" t="s">
        <v>1859</v>
      </c>
      <c r="B712" t="s">
        <v>310</v>
      </c>
      <c r="C712" t="s">
        <v>1860</v>
      </c>
      <c r="D712" t="s">
        <v>659</v>
      </c>
      <c r="E712" t="s">
        <v>664</v>
      </c>
      <c r="F712">
        <v>24.99</v>
      </c>
      <c r="G712">
        <v>1</v>
      </c>
      <c r="H712">
        <v>5</v>
      </c>
      <c r="I712">
        <v>23.74</v>
      </c>
      <c r="J712">
        <v>23.74</v>
      </c>
      <c r="K712" t="s">
        <v>655</v>
      </c>
      <c r="L712" t="s">
        <v>693</v>
      </c>
      <c r="M712">
        <v>3</v>
      </c>
    </row>
    <row r="713" spans="1:13" x14ac:dyDescent="0.25">
      <c r="A713" t="s">
        <v>1861</v>
      </c>
      <c r="B713" t="s">
        <v>310</v>
      </c>
      <c r="C713" t="s">
        <v>1184</v>
      </c>
      <c r="D713" t="s">
        <v>672</v>
      </c>
      <c r="E713" t="s">
        <v>724</v>
      </c>
      <c r="F713">
        <v>89.99</v>
      </c>
      <c r="G713">
        <v>4</v>
      </c>
      <c r="H713">
        <v>20</v>
      </c>
      <c r="I713">
        <v>71.989999999999995</v>
      </c>
      <c r="J713">
        <v>287.95999999999998</v>
      </c>
      <c r="K713" t="s">
        <v>655</v>
      </c>
      <c r="L713" t="s">
        <v>656</v>
      </c>
    </row>
    <row r="714" spans="1:13" x14ac:dyDescent="0.25">
      <c r="A714" t="s">
        <v>1862</v>
      </c>
      <c r="B714" t="s">
        <v>310</v>
      </c>
      <c r="C714" t="s">
        <v>1863</v>
      </c>
      <c r="D714" t="s">
        <v>667</v>
      </c>
      <c r="E714" t="s">
        <v>696</v>
      </c>
      <c r="F714">
        <v>59.99</v>
      </c>
      <c r="G714">
        <v>4</v>
      </c>
      <c r="H714">
        <v>0</v>
      </c>
      <c r="I714">
        <v>59.99</v>
      </c>
      <c r="J714">
        <v>239.96</v>
      </c>
      <c r="K714" t="s">
        <v>682</v>
      </c>
      <c r="L714" t="s">
        <v>656</v>
      </c>
      <c r="M714">
        <v>5</v>
      </c>
    </row>
    <row r="715" spans="1:13" x14ac:dyDescent="0.25">
      <c r="A715" t="s">
        <v>1864</v>
      </c>
      <c r="B715" t="s">
        <v>310</v>
      </c>
      <c r="C715" t="s">
        <v>1294</v>
      </c>
      <c r="D715" t="s">
        <v>659</v>
      </c>
      <c r="E715" t="s">
        <v>820</v>
      </c>
      <c r="F715">
        <v>39.99</v>
      </c>
      <c r="G715">
        <v>3</v>
      </c>
      <c r="H715">
        <v>20</v>
      </c>
      <c r="I715">
        <v>31.99</v>
      </c>
      <c r="J715">
        <v>95.97</v>
      </c>
      <c r="K715" t="s">
        <v>661</v>
      </c>
      <c r="L715" t="s">
        <v>656</v>
      </c>
    </row>
    <row r="716" spans="1:13" x14ac:dyDescent="0.25">
      <c r="A716" t="s">
        <v>1865</v>
      </c>
      <c r="B716" t="s">
        <v>310</v>
      </c>
      <c r="C716" t="s">
        <v>1866</v>
      </c>
      <c r="D716" t="s">
        <v>653</v>
      </c>
      <c r="E716" t="s">
        <v>769</v>
      </c>
      <c r="F716">
        <v>49.99</v>
      </c>
      <c r="G716">
        <v>3</v>
      </c>
      <c r="H716">
        <v>0</v>
      </c>
      <c r="I716">
        <v>49.99</v>
      </c>
      <c r="J716">
        <v>149.97</v>
      </c>
      <c r="K716" t="s">
        <v>661</v>
      </c>
      <c r="L716" t="s">
        <v>656</v>
      </c>
    </row>
    <row r="717" spans="1:13" x14ac:dyDescent="0.25">
      <c r="A717" t="s">
        <v>1867</v>
      </c>
      <c r="B717" t="s">
        <v>310</v>
      </c>
      <c r="C717" t="s">
        <v>1868</v>
      </c>
      <c r="D717" t="s">
        <v>653</v>
      </c>
      <c r="E717" t="s">
        <v>769</v>
      </c>
      <c r="F717">
        <v>49.99</v>
      </c>
      <c r="G717">
        <v>3</v>
      </c>
      <c r="H717">
        <v>20</v>
      </c>
      <c r="I717">
        <v>39.99</v>
      </c>
      <c r="J717">
        <v>119.97</v>
      </c>
      <c r="K717" t="s">
        <v>661</v>
      </c>
      <c r="L717" t="s">
        <v>656</v>
      </c>
    </row>
    <row r="718" spans="1:13" x14ac:dyDescent="0.25">
      <c r="A718" t="s">
        <v>1869</v>
      </c>
      <c r="B718" t="s">
        <v>310</v>
      </c>
      <c r="C718" t="s">
        <v>1443</v>
      </c>
      <c r="D718" t="s">
        <v>710</v>
      </c>
      <c r="E718" t="s">
        <v>721</v>
      </c>
      <c r="F718">
        <v>24.99</v>
      </c>
      <c r="G718">
        <v>4</v>
      </c>
      <c r="H718">
        <v>0</v>
      </c>
      <c r="I718">
        <v>24.99</v>
      </c>
      <c r="J718">
        <v>99.96</v>
      </c>
      <c r="K718" t="s">
        <v>682</v>
      </c>
      <c r="L718" t="s">
        <v>656</v>
      </c>
      <c r="M718">
        <v>3</v>
      </c>
    </row>
    <row r="719" spans="1:13" x14ac:dyDescent="0.25">
      <c r="A719" t="s">
        <v>1870</v>
      </c>
      <c r="B719" t="s">
        <v>310</v>
      </c>
      <c r="C719" t="s">
        <v>1871</v>
      </c>
      <c r="D719" t="s">
        <v>659</v>
      </c>
      <c r="E719" t="s">
        <v>762</v>
      </c>
      <c r="F719">
        <v>49.99</v>
      </c>
      <c r="G719">
        <v>4</v>
      </c>
      <c r="H719">
        <v>5</v>
      </c>
      <c r="I719">
        <v>47.49</v>
      </c>
      <c r="J719">
        <v>189.96</v>
      </c>
      <c r="K719" t="s">
        <v>661</v>
      </c>
      <c r="L719" t="s">
        <v>788</v>
      </c>
      <c r="M719">
        <v>4</v>
      </c>
    </row>
    <row r="720" spans="1:13" x14ac:dyDescent="0.25">
      <c r="A720" t="s">
        <v>1872</v>
      </c>
      <c r="B720" t="s">
        <v>310</v>
      </c>
      <c r="C720" t="s">
        <v>1207</v>
      </c>
      <c r="D720" t="s">
        <v>710</v>
      </c>
      <c r="E720" t="s">
        <v>721</v>
      </c>
      <c r="F720">
        <v>24.99</v>
      </c>
      <c r="G720">
        <v>4</v>
      </c>
      <c r="H720">
        <v>10</v>
      </c>
      <c r="I720">
        <v>22.49</v>
      </c>
      <c r="J720">
        <v>89.96</v>
      </c>
      <c r="K720" t="s">
        <v>682</v>
      </c>
      <c r="L720" t="s">
        <v>656</v>
      </c>
      <c r="M720">
        <v>4</v>
      </c>
    </row>
    <row r="721" spans="1:13" x14ac:dyDescent="0.25">
      <c r="A721" t="s">
        <v>1873</v>
      </c>
      <c r="B721" t="s">
        <v>313</v>
      </c>
      <c r="C721" t="s">
        <v>1874</v>
      </c>
      <c r="D721" t="s">
        <v>659</v>
      </c>
      <c r="E721" t="s">
        <v>762</v>
      </c>
      <c r="F721">
        <v>49.99</v>
      </c>
      <c r="G721">
        <v>1</v>
      </c>
      <c r="H721">
        <v>0</v>
      </c>
      <c r="I721">
        <v>49.99</v>
      </c>
      <c r="J721">
        <v>49.99</v>
      </c>
      <c r="K721" t="s">
        <v>682</v>
      </c>
      <c r="L721" t="s">
        <v>656</v>
      </c>
    </row>
    <row r="722" spans="1:13" x14ac:dyDescent="0.25">
      <c r="A722" t="s">
        <v>1875</v>
      </c>
      <c r="B722" t="s">
        <v>313</v>
      </c>
      <c r="C722" t="s">
        <v>790</v>
      </c>
      <c r="D722" t="s">
        <v>653</v>
      </c>
      <c r="E722" t="s">
        <v>727</v>
      </c>
      <c r="F722">
        <v>14.99</v>
      </c>
      <c r="G722">
        <v>3</v>
      </c>
      <c r="H722">
        <v>5</v>
      </c>
      <c r="I722">
        <v>14.24</v>
      </c>
      <c r="J722">
        <v>42.72</v>
      </c>
      <c r="K722" t="s">
        <v>661</v>
      </c>
      <c r="L722" t="s">
        <v>788</v>
      </c>
      <c r="M722">
        <v>5</v>
      </c>
    </row>
    <row r="723" spans="1:13" x14ac:dyDescent="0.25">
      <c r="A723" t="s">
        <v>1876</v>
      </c>
      <c r="B723" t="s">
        <v>313</v>
      </c>
      <c r="C723" t="s">
        <v>1809</v>
      </c>
      <c r="D723" t="s">
        <v>680</v>
      </c>
      <c r="E723" t="s">
        <v>688</v>
      </c>
      <c r="F723">
        <v>29.99</v>
      </c>
      <c r="G723">
        <v>1</v>
      </c>
      <c r="H723">
        <v>15</v>
      </c>
      <c r="I723">
        <v>25.49</v>
      </c>
      <c r="J723">
        <v>25.49</v>
      </c>
      <c r="K723" t="s">
        <v>661</v>
      </c>
      <c r="L723" t="s">
        <v>788</v>
      </c>
    </row>
    <row r="724" spans="1:13" x14ac:dyDescent="0.25">
      <c r="A724" t="s">
        <v>1877</v>
      </c>
      <c r="B724" t="s">
        <v>313</v>
      </c>
      <c r="C724" t="s">
        <v>1878</v>
      </c>
      <c r="D724" t="s">
        <v>659</v>
      </c>
      <c r="E724" t="s">
        <v>660</v>
      </c>
      <c r="F724">
        <v>19.989999999999998</v>
      </c>
      <c r="G724">
        <v>3</v>
      </c>
      <c r="H724">
        <v>0</v>
      </c>
      <c r="I724">
        <v>19.989999999999998</v>
      </c>
      <c r="J724">
        <v>59.97</v>
      </c>
      <c r="K724" t="s">
        <v>682</v>
      </c>
      <c r="L724" t="s">
        <v>656</v>
      </c>
    </row>
    <row r="725" spans="1:13" x14ac:dyDescent="0.25">
      <c r="A725" t="s">
        <v>1879</v>
      </c>
      <c r="B725" t="s">
        <v>316</v>
      </c>
      <c r="C725" t="s">
        <v>1880</v>
      </c>
      <c r="D725" t="s">
        <v>680</v>
      </c>
      <c r="E725" t="s">
        <v>749</v>
      </c>
      <c r="F725">
        <v>14.99</v>
      </c>
      <c r="G725">
        <v>2</v>
      </c>
      <c r="H725">
        <v>20</v>
      </c>
      <c r="I725">
        <v>11.99</v>
      </c>
      <c r="J725">
        <v>23.98</v>
      </c>
      <c r="K725" t="s">
        <v>669</v>
      </c>
      <c r="L725" t="s">
        <v>788</v>
      </c>
    </row>
    <row r="726" spans="1:13" x14ac:dyDescent="0.25">
      <c r="A726" t="s">
        <v>1881</v>
      </c>
      <c r="B726" t="s">
        <v>316</v>
      </c>
      <c r="C726" t="s">
        <v>1882</v>
      </c>
      <c r="D726" t="s">
        <v>710</v>
      </c>
      <c r="E726" t="s">
        <v>711</v>
      </c>
      <c r="F726">
        <v>14.99</v>
      </c>
      <c r="G726">
        <v>4</v>
      </c>
      <c r="H726">
        <v>0</v>
      </c>
      <c r="I726">
        <v>14.99</v>
      </c>
      <c r="J726">
        <v>59.96</v>
      </c>
      <c r="K726" t="s">
        <v>655</v>
      </c>
      <c r="L726" t="s">
        <v>656</v>
      </c>
    </row>
    <row r="727" spans="1:13" x14ac:dyDescent="0.25">
      <c r="A727" t="s">
        <v>1883</v>
      </c>
      <c r="B727" t="s">
        <v>316</v>
      </c>
      <c r="C727" t="s">
        <v>927</v>
      </c>
      <c r="D727" t="s">
        <v>667</v>
      </c>
      <c r="E727" t="s">
        <v>668</v>
      </c>
      <c r="F727">
        <v>64.989999999999995</v>
      </c>
      <c r="G727">
        <v>4</v>
      </c>
      <c r="H727">
        <v>5</v>
      </c>
      <c r="I727">
        <v>61.74</v>
      </c>
      <c r="J727">
        <v>246.96</v>
      </c>
      <c r="K727" t="s">
        <v>675</v>
      </c>
      <c r="L727" t="s">
        <v>656</v>
      </c>
      <c r="M727">
        <v>3</v>
      </c>
    </row>
    <row r="728" spans="1:13" x14ac:dyDescent="0.25">
      <c r="A728" t="s">
        <v>1884</v>
      </c>
      <c r="B728" t="s">
        <v>316</v>
      </c>
      <c r="C728" t="s">
        <v>1885</v>
      </c>
      <c r="D728" t="s">
        <v>653</v>
      </c>
      <c r="E728" t="s">
        <v>727</v>
      </c>
      <c r="F728">
        <v>14.99</v>
      </c>
      <c r="G728">
        <v>1</v>
      </c>
      <c r="H728">
        <v>0</v>
      </c>
      <c r="I728">
        <v>14.99</v>
      </c>
      <c r="J728">
        <v>14.99</v>
      </c>
      <c r="K728" t="s">
        <v>682</v>
      </c>
      <c r="L728" t="s">
        <v>656</v>
      </c>
      <c r="M728">
        <v>5</v>
      </c>
    </row>
    <row r="729" spans="1:13" x14ac:dyDescent="0.25">
      <c r="A729" t="s">
        <v>1886</v>
      </c>
      <c r="B729" t="s">
        <v>316</v>
      </c>
      <c r="C729" t="s">
        <v>1887</v>
      </c>
      <c r="D729" t="s">
        <v>684</v>
      </c>
      <c r="E729" t="s">
        <v>685</v>
      </c>
      <c r="F729">
        <v>49.99</v>
      </c>
      <c r="G729">
        <v>1</v>
      </c>
      <c r="H729">
        <v>0</v>
      </c>
      <c r="I729">
        <v>49.99</v>
      </c>
      <c r="J729">
        <v>49.99</v>
      </c>
      <c r="K729" t="s">
        <v>661</v>
      </c>
      <c r="L729" t="s">
        <v>656</v>
      </c>
      <c r="M729">
        <v>2</v>
      </c>
    </row>
    <row r="730" spans="1:13" x14ac:dyDescent="0.25">
      <c r="A730" t="s">
        <v>1888</v>
      </c>
      <c r="B730" t="s">
        <v>316</v>
      </c>
      <c r="C730" t="s">
        <v>777</v>
      </c>
      <c r="D730" t="s">
        <v>653</v>
      </c>
      <c r="E730" t="s">
        <v>654</v>
      </c>
      <c r="F730">
        <v>39.99</v>
      </c>
      <c r="G730">
        <v>3</v>
      </c>
      <c r="H730">
        <v>0</v>
      </c>
      <c r="I730">
        <v>39.99</v>
      </c>
      <c r="J730">
        <v>119.97</v>
      </c>
      <c r="K730" t="s">
        <v>682</v>
      </c>
      <c r="L730" t="s">
        <v>656</v>
      </c>
      <c r="M730">
        <v>5</v>
      </c>
    </row>
    <row r="731" spans="1:13" x14ac:dyDescent="0.25">
      <c r="A731" t="s">
        <v>1889</v>
      </c>
      <c r="B731" t="s">
        <v>316</v>
      </c>
      <c r="C731" t="s">
        <v>1890</v>
      </c>
      <c r="D731" t="s">
        <v>653</v>
      </c>
      <c r="E731" t="s">
        <v>727</v>
      </c>
      <c r="F731">
        <v>14.99</v>
      </c>
      <c r="G731">
        <v>2</v>
      </c>
      <c r="H731">
        <v>0</v>
      </c>
      <c r="I731">
        <v>14.99</v>
      </c>
      <c r="J731">
        <v>29.98</v>
      </c>
      <c r="K731" t="s">
        <v>675</v>
      </c>
      <c r="L731" t="s">
        <v>656</v>
      </c>
      <c r="M731">
        <v>5</v>
      </c>
    </row>
    <row r="732" spans="1:13" x14ac:dyDescent="0.25">
      <c r="A732" t="s">
        <v>1891</v>
      </c>
      <c r="B732" t="s">
        <v>319</v>
      </c>
      <c r="C732" t="s">
        <v>1892</v>
      </c>
      <c r="D732" t="s">
        <v>684</v>
      </c>
      <c r="E732" t="s">
        <v>685</v>
      </c>
      <c r="F732">
        <v>49.99</v>
      </c>
      <c r="G732">
        <v>1</v>
      </c>
      <c r="H732">
        <v>5</v>
      </c>
      <c r="I732">
        <v>47.49</v>
      </c>
      <c r="J732">
        <v>47.49</v>
      </c>
      <c r="K732" t="s">
        <v>655</v>
      </c>
      <c r="L732" t="s">
        <v>656</v>
      </c>
      <c r="M732">
        <v>3</v>
      </c>
    </row>
    <row r="733" spans="1:13" x14ac:dyDescent="0.25">
      <c r="A733" t="s">
        <v>1893</v>
      </c>
      <c r="B733" t="s">
        <v>319</v>
      </c>
      <c r="C733" t="s">
        <v>1253</v>
      </c>
      <c r="D733" t="s">
        <v>710</v>
      </c>
      <c r="E733" t="s">
        <v>711</v>
      </c>
      <c r="F733">
        <v>14.99</v>
      </c>
      <c r="G733">
        <v>4</v>
      </c>
      <c r="H733">
        <v>5</v>
      </c>
      <c r="I733">
        <v>14.24</v>
      </c>
      <c r="J733">
        <v>56.96</v>
      </c>
      <c r="K733" t="s">
        <v>669</v>
      </c>
      <c r="L733" t="s">
        <v>656</v>
      </c>
    </row>
    <row r="734" spans="1:13" x14ac:dyDescent="0.25">
      <c r="A734" t="s">
        <v>1894</v>
      </c>
      <c r="B734" t="s">
        <v>319</v>
      </c>
      <c r="C734" t="s">
        <v>1895</v>
      </c>
      <c r="D734" t="s">
        <v>653</v>
      </c>
      <c r="E734" t="s">
        <v>769</v>
      </c>
      <c r="F734">
        <v>49.99</v>
      </c>
      <c r="G734">
        <v>3</v>
      </c>
      <c r="H734">
        <v>15</v>
      </c>
      <c r="I734">
        <v>42.49</v>
      </c>
      <c r="J734">
        <v>127.47</v>
      </c>
      <c r="K734" t="s">
        <v>655</v>
      </c>
      <c r="L734" t="s">
        <v>656</v>
      </c>
      <c r="M734">
        <v>5</v>
      </c>
    </row>
    <row r="735" spans="1:13" x14ac:dyDescent="0.25">
      <c r="A735" t="s">
        <v>1896</v>
      </c>
      <c r="B735" t="s">
        <v>319</v>
      </c>
      <c r="C735" t="s">
        <v>1897</v>
      </c>
      <c r="D735" t="s">
        <v>672</v>
      </c>
      <c r="E735" t="s">
        <v>803</v>
      </c>
      <c r="F735">
        <v>69.989999999999995</v>
      </c>
      <c r="G735">
        <v>2</v>
      </c>
      <c r="H735">
        <v>15</v>
      </c>
      <c r="I735">
        <v>59.49</v>
      </c>
      <c r="J735">
        <v>118.98</v>
      </c>
      <c r="K735" t="s">
        <v>661</v>
      </c>
      <c r="L735" t="s">
        <v>656</v>
      </c>
      <c r="M735">
        <v>2</v>
      </c>
    </row>
    <row r="736" spans="1:13" x14ac:dyDescent="0.25">
      <c r="A736" t="s">
        <v>1898</v>
      </c>
      <c r="B736" t="s">
        <v>319</v>
      </c>
      <c r="C736" t="s">
        <v>1360</v>
      </c>
      <c r="D736" t="s">
        <v>672</v>
      </c>
      <c r="E736" t="s">
        <v>724</v>
      </c>
      <c r="F736">
        <v>89.99</v>
      </c>
      <c r="G736">
        <v>3</v>
      </c>
      <c r="H736">
        <v>20</v>
      </c>
      <c r="I736">
        <v>71.989999999999995</v>
      </c>
      <c r="J736">
        <v>215.97</v>
      </c>
      <c r="K736" t="s">
        <v>669</v>
      </c>
      <c r="L736" t="s">
        <v>656</v>
      </c>
      <c r="M736">
        <v>4</v>
      </c>
    </row>
    <row r="737" spans="1:13" x14ac:dyDescent="0.25">
      <c r="A737" t="s">
        <v>1899</v>
      </c>
      <c r="B737" t="s">
        <v>319</v>
      </c>
      <c r="C737" t="s">
        <v>1887</v>
      </c>
      <c r="D737" t="s">
        <v>672</v>
      </c>
      <c r="E737" t="s">
        <v>673</v>
      </c>
      <c r="F737">
        <v>24.99</v>
      </c>
      <c r="G737">
        <v>2</v>
      </c>
      <c r="H737">
        <v>0</v>
      </c>
      <c r="I737">
        <v>24.99</v>
      </c>
      <c r="J737">
        <v>49.98</v>
      </c>
      <c r="K737" t="s">
        <v>669</v>
      </c>
      <c r="L737" t="s">
        <v>656</v>
      </c>
    </row>
    <row r="738" spans="1:13" x14ac:dyDescent="0.25">
      <c r="A738" t="s">
        <v>1900</v>
      </c>
      <c r="B738" t="s">
        <v>319</v>
      </c>
      <c r="C738" t="s">
        <v>1552</v>
      </c>
      <c r="D738" t="s">
        <v>680</v>
      </c>
      <c r="E738" t="s">
        <v>688</v>
      </c>
      <c r="F738">
        <v>29.99</v>
      </c>
      <c r="G738">
        <v>3</v>
      </c>
      <c r="H738">
        <v>20</v>
      </c>
      <c r="I738">
        <v>23.99</v>
      </c>
      <c r="J738">
        <v>71.97</v>
      </c>
      <c r="K738" t="s">
        <v>669</v>
      </c>
      <c r="L738" t="s">
        <v>656</v>
      </c>
    </row>
    <row r="739" spans="1:13" x14ac:dyDescent="0.25">
      <c r="A739" t="s">
        <v>1901</v>
      </c>
      <c r="B739" t="s">
        <v>322</v>
      </c>
      <c r="C739" t="s">
        <v>1732</v>
      </c>
      <c r="D739" t="s">
        <v>659</v>
      </c>
      <c r="E739" t="s">
        <v>660</v>
      </c>
      <c r="F739">
        <v>19.989999999999998</v>
      </c>
      <c r="G739">
        <v>3</v>
      </c>
      <c r="H739">
        <v>15</v>
      </c>
      <c r="I739">
        <v>16.989999999999998</v>
      </c>
      <c r="J739">
        <v>50.97</v>
      </c>
      <c r="K739" t="s">
        <v>661</v>
      </c>
      <c r="L739" t="s">
        <v>656</v>
      </c>
      <c r="M739">
        <v>4</v>
      </c>
    </row>
    <row r="740" spans="1:13" x14ac:dyDescent="0.25">
      <c r="A740" t="s">
        <v>1902</v>
      </c>
      <c r="B740" t="s">
        <v>322</v>
      </c>
      <c r="C740" t="s">
        <v>917</v>
      </c>
      <c r="D740" t="s">
        <v>684</v>
      </c>
      <c r="E740" t="s">
        <v>685</v>
      </c>
      <c r="F740">
        <v>49.99</v>
      </c>
      <c r="G740">
        <v>3</v>
      </c>
      <c r="H740">
        <v>20</v>
      </c>
      <c r="I740">
        <v>39.99</v>
      </c>
      <c r="J740">
        <v>119.97</v>
      </c>
      <c r="K740" t="s">
        <v>655</v>
      </c>
      <c r="L740" t="s">
        <v>656</v>
      </c>
      <c r="M740">
        <v>4</v>
      </c>
    </row>
    <row r="741" spans="1:13" x14ac:dyDescent="0.25">
      <c r="A741" t="s">
        <v>1903</v>
      </c>
      <c r="B741" t="s">
        <v>322</v>
      </c>
      <c r="C741" t="s">
        <v>1904</v>
      </c>
      <c r="D741" t="s">
        <v>672</v>
      </c>
      <c r="E741" t="s">
        <v>803</v>
      </c>
      <c r="F741">
        <v>69.989999999999995</v>
      </c>
      <c r="G741">
        <v>2</v>
      </c>
      <c r="H741">
        <v>0</v>
      </c>
      <c r="I741">
        <v>69.989999999999995</v>
      </c>
      <c r="J741">
        <v>139.97999999999999</v>
      </c>
      <c r="K741" t="s">
        <v>655</v>
      </c>
      <c r="L741" t="s">
        <v>656</v>
      </c>
      <c r="M741">
        <v>4</v>
      </c>
    </row>
    <row r="742" spans="1:13" x14ac:dyDescent="0.25">
      <c r="A742" t="s">
        <v>1905</v>
      </c>
      <c r="B742" t="s">
        <v>322</v>
      </c>
      <c r="C742" t="s">
        <v>1397</v>
      </c>
      <c r="D742" t="s">
        <v>672</v>
      </c>
      <c r="E742" t="s">
        <v>673</v>
      </c>
      <c r="F742">
        <v>24.99</v>
      </c>
      <c r="G742">
        <v>2</v>
      </c>
      <c r="H742">
        <v>5</v>
      </c>
      <c r="I742">
        <v>23.74</v>
      </c>
      <c r="J742">
        <v>47.48</v>
      </c>
      <c r="K742" t="s">
        <v>655</v>
      </c>
      <c r="L742" t="s">
        <v>656</v>
      </c>
      <c r="M742">
        <v>5</v>
      </c>
    </row>
    <row r="743" spans="1:13" x14ac:dyDescent="0.25">
      <c r="A743" t="s">
        <v>1906</v>
      </c>
      <c r="B743" t="s">
        <v>322</v>
      </c>
      <c r="C743" t="s">
        <v>1907</v>
      </c>
      <c r="D743" t="s">
        <v>667</v>
      </c>
      <c r="E743" t="s">
        <v>668</v>
      </c>
      <c r="F743">
        <v>64.989999999999995</v>
      </c>
      <c r="G743">
        <v>4</v>
      </c>
      <c r="H743">
        <v>0</v>
      </c>
      <c r="I743">
        <v>64.989999999999995</v>
      </c>
      <c r="J743">
        <v>259.95999999999998</v>
      </c>
      <c r="K743" t="s">
        <v>655</v>
      </c>
      <c r="L743" t="s">
        <v>656</v>
      </c>
      <c r="M743">
        <v>5</v>
      </c>
    </row>
    <row r="744" spans="1:13" x14ac:dyDescent="0.25">
      <c r="A744" t="s">
        <v>1908</v>
      </c>
      <c r="B744" t="s">
        <v>322</v>
      </c>
      <c r="C744" t="s">
        <v>1023</v>
      </c>
      <c r="D744" t="s">
        <v>659</v>
      </c>
      <c r="E744" t="s">
        <v>762</v>
      </c>
      <c r="F744">
        <v>49.99</v>
      </c>
      <c r="G744">
        <v>3</v>
      </c>
      <c r="H744">
        <v>10</v>
      </c>
      <c r="I744">
        <v>44.99</v>
      </c>
      <c r="J744">
        <v>134.97</v>
      </c>
      <c r="K744" t="s">
        <v>682</v>
      </c>
      <c r="L744" t="s">
        <v>656</v>
      </c>
    </row>
    <row r="745" spans="1:13" x14ac:dyDescent="0.25">
      <c r="A745" t="s">
        <v>1909</v>
      </c>
      <c r="B745" t="s">
        <v>322</v>
      </c>
      <c r="C745" t="s">
        <v>907</v>
      </c>
      <c r="D745" t="s">
        <v>710</v>
      </c>
      <c r="E745" t="s">
        <v>721</v>
      </c>
      <c r="F745">
        <v>24.99</v>
      </c>
      <c r="G745">
        <v>3</v>
      </c>
      <c r="H745">
        <v>5</v>
      </c>
      <c r="I745">
        <v>23.74</v>
      </c>
      <c r="J745">
        <v>71.22</v>
      </c>
      <c r="K745" t="s">
        <v>682</v>
      </c>
      <c r="L745" t="s">
        <v>656</v>
      </c>
      <c r="M745">
        <v>4</v>
      </c>
    </row>
    <row r="746" spans="1:13" x14ac:dyDescent="0.25">
      <c r="A746" t="s">
        <v>1910</v>
      </c>
      <c r="B746" t="s">
        <v>322</v>
      </c>
      <c r="C746" t="s">
        <v>1911</v>
      </c>
      <c r="D746" t="s">
        <v>710</v>
      </c>
      <c r="E746" t="s">
        <v>730</v>
      </c>
      <c r="F746">
        <v>39.99</v>
      </c>
      <c r="G746">
        <v>4</v>
      </c>
      <c r="H746">
        <v>5</v>
      </c>
      <c r="I746">
        <v>37.99</v>
      </c>
      <c r="J746">
        <v>151.96</v>
      </c>
      <c r="K746" t="s">
        <v>669</v>
      </c>
      <c r="L746" t="s">
        <v>656</v>
      </c>
    </row>
    <row r="747" spans="1:13" x14ac:dyDescent="0.25">
      <c r="A747" t="s">
        <v>1912</v>
      </c>
      <c r="B747" t="s">
        <v>322</v>
      </c>
      <c r="C747" t="s">
        <v>1913</v>
      </c>
      <c r="D747" t="s">
        <v>680</v>
      </c>
      <c r="E747" t="s">
        <v>708</v>
      </c>
      <c r="F747">
        <v>24.99</v>
      </c>
      <c r="G747">
        <v>1</v>
      </c>
      <c r="H747">
        <v>0</v>
      </c>
      <c r="I747">
        <v>24.99</v>
      </c>
      <c r="J747">
        <v>24.99</v>
      </c>
      <c r="K747" t="s">
        <v>661</v>
      </c>
      <c r="L747" t="s">
        <v>788</v>
      </c>
    </row>
    <row r="748" spans="1:13" x14ac:dyDescent="0.25">
      <c r="A748" t="s">
        <v>1914</v>
      </c>
      <c r="B748" t="s">
        <v>322</v>
      </c>
      <c r="C748" t="s">
        <v>1784</v>
      </c>
      <c r="D748" t="s">
        <v>653</v>
      </c>
      <c r="E748" t="s">
        <v>727</v>
      </c>
      <c r="F748">
        <v>14.99</v>
      </c>
      <c r="G748">
        <v>1</v>
      </c>
      <c r="H748">
        <v>0</v>
      </c>
      <c r="I748">
        <v>14.99</v>
      </c>
      <c r="J748">
        <v>14.99</v>
      </c>
      <c r="K748" t="s">
        <v>682</v>
      </c>
      <c r="L748" t="s">
        <v>656</v>
      </c>
      <c r="M748">
        <v>4</v>
      </c>
    </row>
    <row r="749" spans="1:13" x14ac:dyDescent="0.25">
      <c r="A749" t="s">
        <v>1915</v>
      </c>
      <c r="B749" t="s">
        <v>322</v>
      </c>
      <c r="C749" t="s">
        <v>1823</v>
      </c>
      <c r="D749" t="s">
        <v>672</v>
      </c>
      <c r="E749" t="s">
        <v>803</v>
      </c>
      <c r="F749">
        <v>69.989999999999995</v>
      </c>
      <c r="G749">
        <v>2</v>
      </c>
      <c r="H749">
        <v>0</v>
      </c>
      <c r="I749">
        <v>69.989999999999995</v>
      </c>
      <c r="J749">
        <v>139.97999999999999</v>
      </c>
      <c r="K749" t="s">
        <v>675</v>
      </c>
      <c r="L749" t="s">
        <v>656</v>
      </c>
      <c r="M749">
        <v>4</v>
      </c>
    </row>
    <row r="750" spans="1:13" x14ac:dyDescent="0.25">
      <c r="A750" t="s">
        <v>1916</v>
      </c>
      <c r="B750" t="s">
        <v>322</v>
      </c>
      <c r="C750" t="s">
        <v>1830</v>
      </c>
      <c r="D750" t="s">
        <v>684</v>
      </c>
      <c r="E750" t="s">
        <v>685</v>
      </c>
      <c r="F750">
        <v>49.99</v>
      </c>
      <c r="G750">
        <v>2</v>
      </c>
      <c r="H750">
        <v>5</v>
      </c>
      <c r="I750">
        <v>47.49</v>
      </c>
      <c r="J750">
        <v>94.98</v>
      </c>
      <c r="K750" t="s">
        <v>669</v>
      </c>
      <c r="L750" t="s">
        <v>656</v>
      </c>
      <c r="M750">
        <v>3</v>
      </c>
    </row>
    <row r="751" spans="1:13" x14ac:dyDescent="0.25">
      <c r="A751" t="s">
        <v>1917</v>
      </c>
      <c r="B751" t="s">
        <v>322</v>
      </c>
      <c r="C751" t="s">
        <v>1394</v>
      </c>
      <c r="D751" t="s">
        <v>653</v>
      </c>
      <c r="E751" t="s">
        <v>769</v>
      </c>
      <c r="F751">
        <v>49.99</v>
      </c>
      <c r="G751">
        <v>3</v>
      </c>
      <c r="H751">
        <v>0</v>
      </c>
      <c r="I751">
        <v>49.99</v>
      </c>
      <c r="J751">
        <v>149.97</v>
      </c>
      <c r="K751" t="s">
        <v>669</v>
      </c>
      <c r="L751" t="s">
        <v>656</v>
      </c>
    </row>
    <row r="752" spans="1:13" x14ac:dyDescent="0.25">
      <c r="A752" t="s">
        <v>1918</v>
      </c>
      <c r="B752" t="s">
        <v>322</v>
      </c>
      <c r="C752" t="s">
        <v>1265</v>
      </c>
      <c r="D752" t="s">
        <v>672</v>
      </c>
      <c r="E752" t="s">
        <v>673</v>
      </c>
      <c r="F752">
        <v>24.99</v>
      </c>
      <c r="G752">
        <v>1</v>
      </c>
      <c r="H752">
        <v>0</v>
      </c>
      <c r="I752">
        <v>24.99</v>
      </c>
      <c r="J752">
        <v>24.99</v>
      </c>
      <c r="K752" t="s">
        <v>675</v>
      </c>
      <c r="L752" t="s">
        <v>656</v>
      </c>
      <c r="M752">
        <v>5</v>
      </c>
    </row>
    <row r="753" spans="1:13" x14ac:dyDescent="0.25">
      <c r="A753" t="s">
        <v>1919</v>
      </c>
      <c r="B753" t="s">
        <v>325</v>
      </c>
      <c r="C753" t="s">
        <v>1920</v>
      </c>
      <c r="D753" t="s">
        <v>659</v>
      </c>
      <c r="E753" t="s">
        <v>820</v>
      </c>
      <c r="F753">
        <v>39.99</v>
      </c>
      <c r="G753">
        <v>4</v>
      </c>
      <c r="H753">
        <v>5</v>
      </c>
      <c r="I753">
        <v>37.99</v>
      </c>
      <c r="J753">
        <v>151.96</v>
      </c>
      <c r="K753" t="s">
        <v>655</v>
      </c>
      <c r="L753" t="s">
        <v>656</v>
      </c>
      <c r="M753">
        <v>4</v>
      </c>
    </row>
    <row r="754" spans="1:13" x14ac:dyDescent="0.25">
      <c r="A754" t="s">
        <v>1921</v>
      </c>
      <c r="B754" t="s">
        <v>325</v>
      </c>
      <c r="C754" t="s">
        <v>1472</v>
      </c>
      <c r="D754" t="s">
        <v>710</v>
      </c>
      <c r="E754" t="s">
        <v>721</v>
      </c>
      <c r="F754">
        <v>24.99</v>
      </c>
      <c r="G754">
        <v>2</v>
      </c>
      <c r="H754">
        <v>20</v>
      </c>
      <c r="I754">
        <v>19.989999999999998</v>
      </c>
      <c r="J754">
        <v>39.979999999999997</v>
      </c>
      <c r="K754" t="s">
        <v>661</v>
      </c>
      <c r="L754" t="s">
        <v>656</v>
      </c>
      <c r="M754">
        <v>5</v>
      </c>
    </row>
    <row r="755" spans="1:13" x14ac:dyDescent="0.25">
      <c r="A755" t="s">
        <v>1922</v>
      </c>
      <c r="B755" t="s">
        <v>325</v>
      </c>
      <c r="C755" t="s">
        <v>1923</v>
      </c>
      <c r="D755" t="s">
        <v>672</v>
      </c>
      <c r="E755" t="s">
        <v>724</v>
      </c>
      <c r="F755">
        <v>89.99</v>
      </c>
      <c r="G755">
        <v>3</v>
      </c>
      <c r="H755">
        <v>0</v>
      </c>
      <c r="I755">
        <v>89.99</v>
      </c>
      <c r="J755">
        <v>269.97000000000003</v>
      </c>
      <c r="K755" t="s">
        <v>661</v>
      </c>
      <c r="L755" t="s">
        <v>656</v>
      </c>
      <c r="M755">
        <v>5</v>
      </c>
    </row>
    <row r="756" spans="1:13" x14ac:dyDescent="0.25">
      <c r="A756" t="s">
        <v>1924</v>
      </c>
      <c r="B756" t="s">
        <v>325</v>
      </c>
      <c r="C756" t="s">
        <v>964</v>
      </c>
      <c r="D756" t="s">
        <v>667</v>
      </c>
      <c r="E756" t="s">
        <v>668</v>
      </c>
      <c r="F756">
        <v>64.989999999999995</v>
      </c>
      <c r="G756">
        <v>4</v>
      </c>
      <c r="H756">
        <v>0</v>
      </c>
      <c r="I756">
        <v>64.989999999999995</v>
      </c>
      <c r="J756">
        <v>259.95999999999998</v>
      </c>
      <c r="K756" t="s">
        <v>675</v>
      </c>
      <c r="L756" t="s">
        <v>739</v>
      </c>
    </row>
    <row r="757" spans="1:13" x14ac:dyDescent="0.25">
      <c r="A757" t="s">
        <v>1925</v>
      </c>
      <c r="B757" t="s">
        <v>325</v>
      </c>
      <c r="C757" t="s">
        <v>1926</v>
      </c>
      <c r="D757" t="s">
        <v>659</v>
      </c>
      <c r="E757" t="s">
        <v>820</v>
      </c>
      <c r="F757">
        <v>39.99</v>
      </c>
      <c r="G757">
        <v>3</v>
      </c>
      <c r="H757">
        <v>15</v>
      </c>
      <c r="I757">
        <v>33.99</v>
      </c>
      <c r="J757">
        <v>101.97</v>
      </c>
      <c r="K757" t="s">
        <v>675</v>
      </c>
      <c r="L757" t="s">
        <v>656</v>
      </c>
    </row>
    <row r="758" spans="1:13" x14ac:dyDescent="0.25">
      <c r="A758" t="s">
        <v>1927</v>
      </c>
      <c r="B758" t="s">
        <v>328</v>
      </c>
      <c r="C758" t="s">
        <v>1267</v>
      </c>
      <c r="D758" t="s">
        <v>672</v>
      </c>
      <c r="E758" t="s">
        <v>724</v>
      </c>
      <c r="F758">
        <v>89.99</v>
      </c>
      <c r="G758">
        <v>2</v>
      </c>
      <c r="H758">
        <v>0</v>
      </c>
      <c r="I758">
        <v>89.99</v>
      </c>
      <c r="J758">
        <v>179.98</v>
      </c>
      <c r="K758" t="s">
        <v>682</v>
      </c>
      <c r="L758" t="s">
        <v>656</v>
      </c>
      <c r="M758">
        <v>5</v>
      </c>
    </row>
    <row r="759" spans="1:13" x14ac:dyDescent="0.25">
      <c r="A759" t="s">
        <v>1928</v>
      </c>
      <c r="B759" t="s">
        <v>328</v>
      </c>
      <c r="C759" t="s">
        <v>1428</v>
      </c>
      <c r="D759" t="s">
        <v>710</v>
      </c>
      <c r="E759" t="s">
        <v>730</v>
      </c>
      <c r="F759">
        <v>39.99</v>
      </c>
      <c r="G759">
        <v>4</v>
      </c>
      <c r="H759">
        <v>0</v>
      </c>
      <c r="I759">
        <v>39.99</v>
      </c>
      <c r="J759">
        <v>159.96</v>
      </c>
      <c r="K759" t="s">
        <v>682</v>
      </c>
      <c r="L759" t="s">
        <v>656</v>
      </c>
    </row>
    <row r="760" spans="1:13" x14ac:dyDescent="0.25">
      <c r="A760" t="s">
        <v>1929</v>
      </c>
      <c r="B760" t="s">
        <v>328</v>
      </c>
      <c r="C760" t="s">
        <v>1923</v>
      </c>
      <c r="D760" t="s">
        <v>680</v>
      </c>
      <c r="E760" t="s">
        <v>688</v>
      </c>
      <c r="F760">
        <v>29.99</v>
      </c>
      <c r="G760">
        <v>1</v>
      </c>
      <c r="H760">
        <v>0</v>
      </c>
      <c r="I760">
        <v>29.99</v>
      </c>
      <c r="J760">
        <v>29.99</v>
      </c>
      <c r="K760" t="s">
        <v>682</v>
      </c>
      <c r="L760" t="s">
        <v>656</v>
      </c>
      <c r="M760">
        <v>4</v>
      </c>
    </row>
    <row r="761" spans="1:13" x14ac:dyDescent="0.25">
      <c r="A761" t="s">
        <v>1930</v>
      </c>
      <c r="B761" t="s">
        <v>328</v>
      </c>
      <c r="C761" t="s">
        <v>1931</v>
      </c>
      <c r="D761" t="s">
        <v>667</v>
      </c>
      <c r="E761" t="s">
        <v>696</v>
      </c>
      <c r="F761">
        <v>59.99</v>
      </c>
      <c r="G761">
        <v>3</v>
      </c>
      <c r="H761">
        <v>0</v>
      </c>
      <c r="I761">
        <v>59.99</v>
      </c>
      <c r="J761">
        <v>179.97</v>
      </c>
      <c r="K761" t="s">
        <v>682</v>
      </c>
      <c r="L761" t="s">
        <v>656</v>
      </c>
      <c r="M761">
        <v>4</v>
      </c>
    </row>
    <row r="762" spans="1:13" x14ac:dyDescent="0.25">
      <c r="A762" t="s">
        <v>1932</v>
      </c>
      <c r="B762" t="s">
        <v>328</v>
      </c>
      <c r="C762" t="s">
        <v>1880</v>
      </c>
      <c r="D762" t="s">
        <v>684</v>
      </c>
      <c r="E762" t="s">
        <v>685</v>
      </c>
      <c r="F762">
        <v>49.99</v>
      </c>
      <c r="G762">
        <v>3</v>
      </c>
      <c r="H762">
        <v>0</v>
      </c>
      <c r="I762">
        <v>49.99</v>
      </c>
      <c r="J762">
        <v>149.97</v>
      </c>
      <c r="K762" t="s">
        <v>675</v>
      </c>
      <c r="L762" t="s">
        <v>656</v>
      </c>
    </row>
    <row r="763" spans="1:13" x14ac:dyDescent="0.25">
      <c r="A763" t="s">
        <v>1933</v>
      </c>
      <c r="B763" t="s">
        <v>328</v>
      </c>
      <c r="C763" t="s">
        <v>1934</v>
      </c>
      <c r="D763" t="s">
        <v>667</v>
      </c>
      <c r="E763" t="s">
        <v>699</v>
      </c>
      <c r="F763">
        <v>89.99</v>
      </c>
      <c r="G763">
        <v>3</v>
      </c>
      <c r="H763">
        <v>0</v>
      </c>
      <c r="I763">
        <v>89.99</v>
      </c>
      <c r="J763">
        <v>269.97000000000003</v>
      </c>
      <c r="K763" t="s">
        <v>682</v>
      </c>
      <c r="L763" t="s">
        <v>656</v>
      </c>
      <c r="M763">
        <v>5</v>
      </c>
    </row>
    <row r="764" spans="1:13" x14ac:dyDescent="0.25">
      <c r="A764" t="s">
        <v>1935</v>
      </c>
      <c r="B764" t="s">
        <v>328</v>
      </c>
      <c r="C764" t="s">
        <v>1936</v>
      </c>
      <c r="D764" t="s">
        <v>667</v>
      </c>
      <c r="E764" t="s">
        <v>714</v>
      </c>
      <c r="F764">
        <v>44.99</v>
      </c>
      <c r="G764">
        <v>3</v>
      </c>
      <c r="H764">
        <v>0</v>
      </c>
      <c r="I764">
        <v>44.99</v>
      </c>
      <c r="J764">
        <v>134.97</v>
      </c>
      <c r="K764" t="s">
        <v>655</v>
      </c>
      <c r="L764" t="s">
        <v>656</v>
      </c>
      <c r="M764">
        <v>4</v>
      </c>
    </row>
    <row r="765" spans="1:13" x14ac:dyDescent="0.25">
      <c r="A765" t="s">
        <v>1937</v>
      </c>
      <c r="B765" t="s">
        <v>328</v>
      </c>
      <c r="C765" t="s">
        <v>1938</v>
      </c>
      <c r="D765" t="s">
        <v>680</v>
      </c>
      <c r="E765" t="s">
        <v>688</v>
      </c>
      <c r="F765">
        <v>29.99</v>
      </c>
      <c r="G765">
        <v>3</v>
      </c>
      <c r="H765">
        <v>15</v>
      </c>
      <c r="I765">
        <v>25.49</v>
      </c>
      <c r="J765">
        <v>76.47</v>
      </c>
      <c r="K765" t="s">
        <v>675</v>
      </c>
      <c r="L765" t="s">
        <v>656</v>
      </c>
      <c r="M765">
        <v>5</v>
      </c>
    </row>
    <row r="766" spans="1:13" x14ac:dyDescent="0.25">
      <c r="A766" t="s">
        <v>1939</v>
      </c>
      <c r="B766" t="s">
        <v>331</v>
      </c>
      <c r="C766" t="s">
        <v>813</v>
      </c>
      <c r="D766" t="s">
        <v>653</v>
      </c>
      <c r="E766" t="s">
        <v>727</v>
      </c>
      <c r="F766">
        <v>14.99</v>
      </c>
      <c r="G766">
        <v>3</v>
      </c>
      <c r="H766">
        <v>10</v>
      </c>
      <c r="I766">
        <v>13.49</v>
      </c>
      <c r="J766">
        <v>40.47</v>
      </c>
      <c r="K766" t="s">
        <v>655</v>
      </c>
      <c r="L766" t="s">
        <v>656</v>
      </c>
      <c r="M766">
        <v>4</v>
      </c>
    </row>
    <row r="767" spans="1:13" x14ac:dyDescent="0.25">
      <c r="A767" t="s">
        <v>1940</v>
      </c>
      <c r="B767" t="s">
        <v>334</v>
      </c>
      <c r="C767" t="s">
        <v>1941</v>
      </c>
      <c r="D767" t="s">
        <v>659</v>
      </c>
      <c r="E767" t="s">
        <v>664</v>
      </c>
      <c r="F767">
        <v>24.99</v>
      </c>
      <c r="G767">
        <v>1</v>
      </c>
      <c r="H767">
        <v>15</v>
      </c>
      <c r="I767">
        <v>21.24</v>
      </c>
      <c r="J767">
        <v>21.24</v>
      </c>
      <c r="K767" t="s">
        <v>655</v>
      </c>
      <c r="L767" t="s">
        <v>656</v>
      </c>
    </row>
    <row r="768" spans="1:13" x14ac:dyDescent="0.25">
      <c r="A768" t="s">
        <v>1942</v>
      </c>
      <c r="B768" t="s">
        <v>334</v>
      </c>
      <c r="C768" t="s">
        <v>1943</v>
      </c>
      <c r="D768" t="s">
        <v>684</v>
      </c>
      <c r="E768" t="s">
        <v>815</v>
      </c>
      <c r="F768">
        <v>34.99</v>
      </c>
      <c r="G768">
        <v>2</v>
      </c>
      <c r="H768">
        <v>20</v>
      </c>
      <c r="I768">
        <v>27.99</v>
      </c>
      <c r="J768">
        <v>55.98</v>
      </c>
      <c r="K768" t="s">
        <v>661</v>
      </c>
      <c r="L768" t="s">
        <v>656</v>
      </c>
    </row>
    <row r="769" spans="1:13" x14ac:dyDescent="0.25">
      <c r="A769" t="s">
        <v>1944</v>
      </c>
      <c r="B769" t="s">
        <v>334</v>
      </c>
      <c r="C769" t="s">
        <v>244</v>
      </c>
      <c r="D769" t="s">
        <v>672</v>
      </c>
      <c r="E769" t="s">
        <v>673</v>
      </c>
      <c r="F769">
        <v>24.99</v>
      </c>
      <c r="G769">
        <v>1</v>
      </c>
      <c r="H769">
        <v>10</v>
      </c>
      <c r="I769">
        <v>22.49</v>
      </c>
      <c r="J769">
        <v>22.49</v>
      </c>
      <c r="K769" t="s">
        <v>661</v>
      </c>
      <c r="L769" t="s">
        <v>656</v>
      </c>
      <c r="M769">
        <v>3</v>
      </c>
    </row>
    <row r="770" spans="1:13" x14ac:dyDescent="0.25">
      <c r="A770" t="s">
        <v>1945</v>
      </c>
      <c r="B770" t="s">
        <v>334</v>
      </c>
      <c r="C770" t="s">
        <v>1647</v>
      </c>
      <c r="D770" t="s">
        <v>680</v>
      </c>
      <c r="E770" t="s">
        <v>688</v>
      </c>
      <c r="F770">
        <v>29.99</v>
      </c>
      <c r="G770">
        <v>2</v>
      </c>
      <c r="H770">
        <v>20</v>
      </c>
      <c r="I770">
        <v>23.99</v>
      </c>
      <c r="J770">
        <v>47.98</v>
      </c>
      <c r="K770" t="s">
        <v>682</v>
      </c>
      <c r="L770" t="s">
        <v>656</v>
      </c>
    </row>
    <row r="771" spans="1:13" x14ac:dyDescent="0.25">
      <c r="A771" t="s">
        <v>1946</v>
      </c>
      <c r="B771" t="s">
        <v>334</v>
      </c>
      <c r="C771" t="s">
        <v>671</v>
      </c>
      <c r="D771" t="s">
        <v>659</v>
      </c>
      <c r="E771" t="s">
        <v>820</v>
      </c>
      <c r="F771">
        <v>39.99</v>
      </c>
      <c r="G771">
        <v>2</v>
      </c>
      <c r="H771">
        <v>15</v>
      </c>
      <c r="I771">
        <v>33.99</v>
      </c>
      <c r="J771">
        <v>67.98</v>
      </c>
      <c r="K771" t="s">
        <v>661</v>
      </c>
      <c r="L771" t="s">
        <v>656</v>
      </c>
    </row>
    <row r="772" spans="1:13" x14ac:dyDescent="0.25">
      <c r="A772" t="s">
        <v>1947</v>
      </c>
      <c r="B772" t="s">
        <v>334</v>
      </c>
      <c r="C772" t="s">
        <v>1948</v>
      </c>
      <c r="D772" t="s">
        <v>667</v>
      </c>
      <c r="E772" t="s">
        <v>696</v>
      </c>
      <c r="F772">
        <v>59.99</v>
      </c>
      <c r="G772">
        <v>1</v>
      </c>
      <c r="H772">
        <v>5</v>
      </c>
      <c r="I772">
        <v>56.99</v>
      </c>
      <c r="J772">
        <v>56.99</v>
      </c>
      <c r="K772" t="s">
        <v>661</v>
      </c>
      <c r="L772" t="s">
        <v>656</v>
      </c>
      <c r="M772">
        <v>4</v>
      </c>
    </row>
    <row r="773" spans="1:13" x14ac:dyDescent="0.25">
      <c r="A773" t="s">
        <v>1949</v>
      </c>
      <c r="B773" t="s">
        <v>334</v>
      </c>
      <c r="C773" t="s">
        <v>1950</v>
      </c>
      <c r="D773" t="s">
        <v>659</v>
      </c>
      <c r="E773" t="s">
        <v>664</v>
      </c>
      <c r="F773">
        <v>24.99</v>
      </c>
      <c r="G773">
        <v>3</v>
      </c>
      <c r="H773">
        <v>15</v>
      </c>
      <c r="I773">
        <v>21.24</v>
      </c>
      <c r="J773">
        <v>63.72</v>
      </c>
      <c r="K773" t="s">
        <v>661</v>
      </c>
      <c r="L773" t="s">
        <v>656</v>
      </c>
      <c r="M773">
        <v>4</v>
      </c>
    </row>
    <row r="774" spans="1:13" x14ac:dyDescent="0.25">
      <c r="A774" t="s">
        <v>1951</v>
      </c>
      <c r="B774" t="s">
        <v>337</v>
      </c>
      <c r="C774" t="s">
        <v>698</v>
      </c>
      <c r="D774" t="s">
        <v>684</v>
      </c>
      <c r="E774" t="s">
        <v>702</v>
      </c>
      <c r="F774">
        <v>199.99</v>
      </c>
      <c r="G774">
        <v>2</v>
      </c>
      <c r="H774">
        <v>15</v>
      </c>
      <c r="I774">
        <v>169.99</v>
      </c>
      <c r="J774">
        <v>339.98</v>
      </c>
      <c r="K774" t="s">
        <v>669</v>
      </c>
      <c r="L774" t="s">
        <v>656</v>
      </c>
      <c r="M774">
        <v>5</v>
      </c>
    </row>
    <row r="775" spans="1:13" x14ac:dyDescent="0.25">
      <c r="A775" t="s">
        <v>1952</v>
      </c>
      <c r="B775" t="s">
        <v>337</v>
      </c>
      <c r="C775" t="s">
        <v>1625</v>
      </c>
      <c r="D775" t="s">
        <v>659</v>
      </c>
      <c r="E775" t="s">
        <v>820</v>
      </c>
      <c r="F775">
        <v>39.99</v>
      </c>
      <c r="G775">
        <v>3</v>
      </c>
      <c r="H775">
        <v>0</v>
      </c>
      <c r="I775">
        <v>39.99</v>
      </c>
      <c r="J775">
        <v>119.97</v>
      </c>
      <c r="K775" t="s">
        <v>661</v>
      </c>
      <c r="L775" t="s">
        <v>788</v>
      </c>
      <c r="M775">
        <v>5</v>
      </c>
    </row>
    <row r="776" spans="1:13" x14ac:dyDescent="0.25">
      <c r="A776" t="s">
        <v>1953</v>
      </c>
      <c r="B776" t="s">
        <v>337</v>
      </c>
      <c r="C776" t="s">
        <v>1954</v>
      </c>
      <c r="D776" t="s">
        <v>659</v>
      </c>
      <c r="E776" t="s">
        <v>762</v>
      </c>
      <c r="F776">
        <v>49.99</v>
      </c>
      <c r="G776">
        <v>4</v>
      </c>
      <c r="H776">
        <v>0</v>
      </c>
      <c r="I776">
        <v>49.99</v>
      </c>
      <c r="J776">
        <v>199.96</v>
      </c>
      <c r="K776" t="s">
        <v>661</v>
      </c>
      <c r="L776" t="s">
        <v>656</v>
      </c>
      <c r="M776">
        <v>5</v>
      </c>
    </row>
    <row r="777" spans="1:13" x14ac:dyDescent="0.25">
      <c r="A777" t="s">
        <v>1955</v>
      </c>
      <c r="B777" t="s">
        <v>337</v>
      </c>
      <c r="C777" t="s">
        <v>1956</v>
      </c>
      <c r="D777" t="s">
        <v>672</v>
      </c>
      <c r="E777" t="s">
        <v>724</v>
      </c>
      <c r="F777">
        <v>89.99</v>
      </c>
      <c r="G777">
        <v>2</v>
      </c>
      <c r="H777">
        <v>5</v>
      </c>
      <c r="I777">
        <v>85.49</v>
      </c>
      <c r="J777">
        <v>170.98</v>
      </c>
      <c r="K777" t="s">
        <v>661</v>
      </c>
      <c r="L777" t="s">
        <v>656</v>
      </c>
    </row>
    <row r="778" spans="1:13" x14ac:dyDescent="0.25">
      <c r="A778" t="s">
        <v>1957</v>
      </c>
      <c r="B778" t="s">
        <v>337</v>
      </c>
      <c r="C778" t="s">
        <v>286</v>
      </c>
      <c r="D778" t="s">
        <v>680</v>
      </c>
      <c r="E778" t="s">
        <v>688</v>
      </c>
      <c r="F778">
        <v>29.99</v>
      </c>
      <c r="G778">
        <v>1</v>
      </c>
      <c r="H778">
        <v>0</v>
      </c>
      <c r="I778">
        <v>29.99</v>
      </c>
      <c r="J778">
        <v>29.99</v>
      </c>
      <c r="K778" t="s">
        <v>675</v>
      </c>
      <c r="L778" t="s">
        <v>656</v>
      </c>
    </row>
    <row r="779" spans="1:13" x14ac:dyDescent="0.25">
      <c r="A779" t="s">
        <v>1958</v>
      </c>
      <c r="B779" t="s">
        <v>337</v>
      </c>
      <c r="C779" t="s">
        <v>1959</v>
      </c>
      <c r="D779" t="s">
        <v>667</v>
      </c>
      <c r="E779" t="s">
        <v>714</v>
      </c>
      <c r="F779">
        <v>44.99</v>
      </c>
      <c r="G779">
        <v>2</v>
      </c>
      <c r="H779">
        <v>20</v>
      </c>
      <c r="I779">
        <v>35.99</v>
      </c>
      <c r="J779">
        <v>71.98</v>
      </c>
      <c r="K779" t="s">
        <v>661</v>
      </c>
      <c r="L779" t="s">
        <v>656</v>
      </c>
    </row>
    <row r="780" spans="1:13" x14ac:dyDescent="0.25">
      <c r="A780" t="s">
        <v>1960</v>
      </c>
      <c r="B780" t="s">
        <v>337</v>
      </c>
      <c r="C780" t="s">
        <v>1961</v>
      </c>
      <c r="D780" t="s">
        <v>710</v>
      </c>
      <c r="E780" t="s">
        <v>711</v>
      </c>
      <c r="F780">
        <v>14.99</v>
      </c>
      <c r="G780">
        <v>4</v>
      </c>
      <c r="H780">
        <v>0</v>
      </c>
      <c r="I780">
        <v>14.99</v>
      </c>
      <c r="J780">
        <v>59.96</v>
      </c>
      <c r="K780" t="s">
        <v>682</v>
      </c>
      <c r="L780" t="s">
        <v>785</v>
      </c>
      <c r="M780">
        <v>4</v>
      </c>
    </row>
    <row r="781" spans="1:13" x14ac:dyDescent="0.25">
      <c r="A781" t="s">
        <v>1962</v>
      </c>
      <c r="B781" t="s">
        <v>337</v>
      </c>
      <c r="C781" t="s">
        <v>1774</v>
      </c>
      <c r="D781" t="s">
        <v>667</v>
      </c>
      <c r="E781" t="s">
        <v>668</v>
      </c>
      <c r="F781">
        <v>64.989999999999995</v>
      </c>
      <c r="G781">
        <v>3</v>
      </c>
      <c r="H781">
        <v>5</v>
      </c>
      <c r="I781">
        <v>61.74</v>
      </c>
      <c r="J781">
        <v>185.22</v>
      </c>
      <c r="K781" t="s">
        <v>675</v>
      </c>
      <c r="L781" t="s">
        <v>656</v>
      </c>
      <c r="M781">
        <v>4</v>
      </c>
    </row>
    <row r="782" spans="1:13" x14ac:dyDescent="0.25">
      <c r="A782" t="s">
        <v>1963</v>
      </c>
      <c r="B782" t="s">
        <v>337</v>
      </c>
      <c r="C782" t="s">
        <v>1964</v>
      </c>
      <c r="D782" t="s">
        <v>672</v>
      </c>
      <c r="E782" t="s">
        <v>735</v>
      </c>
      <c r="F782">
        <v>44.99</v>
      </c>
      <c r="G782">
        <v>3</v>
      </c>
      <c r="H782">
        <v>10</v>
      </c>
      <c r="I782">
        <v>40.49</v>
      </c>
      <c r="J782">
        <v>121.47</v>
      </c>
      <c r="K782" t="s">
        <v>675</v>
      </c>
      <c r="L782" t="s">
        <v>656</v>
      </c>
      <c r="M782">
        <v>4</v>
      </c>
    </row>
    <row r="783" spans="1:13" x14ac:dyDescent="0.25">
      <c r="A783" t="s">
        <v>1965</v>
      </c>
      <c r="B783" t="s">
        <v>337</v>
      </c>
      <c r="C783" t="s">
        <v>1966</v>
      </c>
      <c r="D783" t="s">
        <v>667</v>
      </c>
      <c r="E783" t="s">
        <v>696</v>
      </c>
      <c r="F783">
        <v>59.99</v>
      </c>
      <c r="G783">
        <v>1</v>
      </c>
      <c r="H783">
        <v>10</v>
      </c>
      <c r="I783">
        <v>53.99</v>
      </c>
      <c r="J783">
        <v>53.99</v>
      </c>
      <c r="K783" t="s">
        <v>682</v>
      </c>
      <c r="L783" t="s">
        <v>656</v>
      </c>
      <c r="M783">
        <v>4</v>
      </c>
    </row>
    <row r="784" spans="1:13" x14ac:dyDescent="0.25">
      <c r="A784" t="s">
        <v>1967</v>
      </c>
      <c r="B784" t="s">
        <v>337</v>
      </c>
      <c r="C784" t="s">
        <v>1772</v>
      </c>
      <c r="D784" t="s">
        <v>680</v>
      </c>
      <c r="E784" t="s">
        <v>681</v>
      </c>
      <c r="F784">
        <v>19.989999999999998</v>
      </c>
      <c r="G784">
        <v>1</v>
      </c>
      <c r="H784">
        <v>0</v>
      </c>
      <c r="I784">
        <v>19.989999999999998</v>
      </c>
      <c r="J784">
        <v>19.989999999999998</v>
      </c>
      <c r="K784" t="s">
        <v>669</v>
      </c>
      <c r="L784" t="s">
        <v>739</v>
      </c>
      <c r="M784">
        <v>4</v>
      </c>
    </row>
    <row r="785" spans="1:13" x14ac:dyDescent="0.25">
      <c r="A785" t="s">
        <v>1968</v>
      </c>
      <c r="B785" t="s">
        <v>337</v>
      </c>
      <c r="C785" t="s">
        <v>987</v>
      </c>
      <c r="D785" t="s">
        <v>667</v>
      </c>
      <c r="E785" t="s">
        <v>696</v>
      </c>
      <c r="F785">
        <v>59.99</v>
      </c>
      <c r="G785">
        <v>3</v>
      </c>
      <c r="H785">
        <v>0</v>
      </c>
      <c r="I785">
        <v>59.99</v>
      </c>
      <c r="J785">
        <v>179.97</v>
      </c>
      <c r="K785" t="s">
        <v>669</v>
      </c>
      <c r="L785" t="s">
        <v>656</v>
      </c>
    </row>
    <row r="786" spans="1:13" x14ac:dyDescent="0.25">
      <c r="A786" t="s">
        <v>1969</v>
      </c>
      <c r="B786" t="s">
        <v>337</v>
      </c>
      <c r="C786" t="s">
        <v>1970</v>
      </c>
      <c r="D786" t="s">
        <v>672</v>
      </c>
      <c r="E786" t="s">
        <v>673</v>
      </c>
      <c r="F786">
        <v>24.99</v>
      </c>
      <c r="G786">
        <v>2</v>
      </c>
      <c r="H786">
        <v>5</v>
      </c>
      <c r="I786">
        <v>23.74</v>
      </c>
      <c r="J786">
        <v>47.48</v>
      </c>
      <c r="K786" t="s">
        <v>682</v>
      </c>
      <c r="L786" t="s">
        <v>656</v>
      </c>
      <c r="M786">
        <v>4</v>
      </c>
    </row>
    <row r="787" spans="1:13" x14ac:dyDescent="0.25">
      <c r="A787" t="s">
        <v>1971</v>
      </c>
      <c r="B787" t="s">
        <v>339</v>
      </c>
      <c r="C787" t="s">
        <v>1052</v>
      </c>
      <c r="D787" t="s">
        <v>667</v>
      </c>
      <c r="E787" t="s">
        <v>668</v>
      </c>
      <c r="F787">
        <v>64.989999999999995</v>
      </c>
      <c r="G787">
        <v>2</v>
      </c>
      <c r="H787">
        <v>15</v>
      </c>
      <c r="I787">
        <v>55.24</v>
      </c>
      <c r="J787">
        <v>110.48</v>
      </c>
      <c r="K787" t="s">
        <v>661</v>
      </c>
      <c r="L787" t="s">
        <v>656</v>
      </c>
    </row>
    <row r="788" spans="1:13" x14ac:dyDescent="0.25">
      <c r="A788" t="s">
        <v>1972</v>
      </c>
      <c r="B788" t="s">
        <v>339</v>
      </c>
      <c r="C788" t="s">
        <v>445</v>
      </c>
      <c r="D788" t="s">
        <v>684</v>
      </c>
      <c r="E788" t="s">
        <v>685</v>
      </c>
      <c r="F788">
        <v>49.99</v>
      </c>
      <c r="G788">
        <v>1</v>
      </c>
      <c r="H788">
        <v>0</v>
      </c>
      <c r="I788">
        <v>49.99</v>
      </c>
      <c r="J788">
        <v>49.99</v>
      </c>
      <c r="K788" t="s">
        <v>661</v>
      </c>
      <c r="L788" t="s">
        <v>656</v>
      </c>
    </row>
    <row r="789" spans="1:13" x14ac:dyDescent="0.25">
      <c r="A789" t="s">
        <v>1973</v>
      </c>
      <c r="B789" t="s">
        <v>339</v>
      </c>
      <c r="C789" t="s">
        <v>1974</v>
      </c>
      <c r="D789" t="s">
        <v>672</v>
      </c>
      <c r="E789" t="s">
        <v>724</v>
      </c>
      <c r="F789">
        <v>89.99</v>
      </c>
      <c r="G789">
        <v>2</v>
      </c>
      <c r="H789">
        <v>0</v>
      </c>
      <c r="I789">
        <v>89.99</v>
      </c>
      <c r="J789">
        <v>179.98</v>
      </c>
      <c r="K789" t="s">
        <v>682</v>
      </c>
      <c r="L789" t="s">
        <v>656</v>
      </c>
      <c r="M789">
        <v>4</v>
      </c>
    </row>
    <row r="790" spans="1:13" x14ac:dyDescent="0.25">
      <c r="A790" t="s">
        <v>1975</v>
      </c>
      <c r="B790" t="s">
        <v>339</v>
      </c>
      <c r="C790" t="s">
        <v>1769</v>
      </c>
      <c r="D790" t="s">
        <v>659</v>
      </c>
      <c r="E790" t="s">
        <v>762</v>
      </c>
      <c r="F790">
        <v>49.99</v>
      </c>
      <c r="G790">
        <v>2</v>
      </c>
      <c r="H790">
        <v>0</v>
      </c>
      <c r="I790">
        <v>49.99</v>
      </c>
      <c r="J790">
        <v>99.98</v>
      </c>
      <c r="K790" t="s">
        <v>682</v>
      </c>
      <c r="L790" t="s">
        <v>788</v>
      </c>
      <c r="M790">
        <v>3</v>
      </c>
    </row>
    <row r="791" spans="1:13" x14ac:dyDescent="0.25">
      <c r="A791" t="s">
        <v>1976</v>
      </c>
      <c r="B791" t="s">
        <v>339</v>
      </c>
      <c r="C791" t="s">
        <v>1384</v>
      </c>
      <c r="D791" t="s">
        <v>653</v>
      </c>
      <c r="E791" t="s">
        <v>654</v>
      </c>
      <c r="F791">
        <v>39.99</v>
      </c>
      <c r="G791">
        <v>1</v>
      </c>
      <c r="H791">
        <v>10</v>
      </c>
      <c r="I791">
        <v>35.99</v>
      </c>
      <c r="J791">
        <v>35.99</v>
      </c>
      <c r="K791" t="s">
        <v>655</v>
      </c>
      <c r="L791" t="s">
        <v>785</v>
      </c>
    </row>
    <row r="792" spans="1:13" x14ac:dyDescent="0.25">
      <c r="A792" t="s">
        <v>1977</v>
      </c>
      <c r="B792" t="s">
        <v>339</v>
      </c>
      <c r="C792" t="s">
        <v>987</v>
      </c>
      <c r="D792" t="s">
        <v>667</v>
      </c>
      <c r="E792" t="s">
        <v>668</v>
      </c>
      <c r="F792">
        <v>64.989999999999995</v>
      </c>
      <c r="G792">
        <v>4</v>
      </c>
      <c r="H792">
        <v>10</v>
      </c>
      <c r="I792">
        <v>58.49</v>
      </c>
      <c r="J792">
        <v>233.96</v>
      </c>
      <c r="K792" t="s">
        <v>655</v>
      </c>
      <c r="L792" t="s">
        <v>656</v>
      </c>
    </row>
    <row r="793" spans="1:13" x14ac:dyDescent="0.25">
      <c r="A793" t="s">
        <v>1978</v>
      </c>
      <c r="B793" t="s">
        <v>339</v>
      </c>
      <c r="C793" t="s">
        <v>1558</v>
      </c>
      <c r="D793" t="s">
        <v>680</v>
      </c>
      <c r="E793" t="s">
        <v>688</v>
      </c>
      <c r="F793">
        <v>29.99</v>
      </c>
      <c r="G793">
        <v>4</v>
      </c>
      <c r="H793">
        <v>20</v>
      </c>
      <c r="I793">
        <v>23.99</v>
      </c>
      <c r="J793">
        <v>95.96</v>
      </c>
      <c r="K793" t="s">
        <v>655</v>
      </c>
      <c r="L793" t="s">
        <v>656</v>
      </c>
      <c r="M793">
        <v>4</v>
      </c>
    </row>
    <row r="794" spans="1:13" x14ac:dyDescent="0.25">
      <c r="A794" t="s">
        <v>1979</v>
      </c>
      <c r="B794" t="s">
        <v>339</v>
      </c>
      <c r="C794" t="s">
        <v>532</v>
      </c>
      <c r="D794" t="s">
        <v>680</v>
      </c>
      <c r="E794" t="s">
        <v>681</v>
      </c>
      <c r="F794">
        <v>19.989999999999998</v>
      </c>
      <c r="G794">
        <v>3</v>
      </c>
      <c r="H794">
        <v>0</v>
      </c>
      <c r="I794">
        <v>19.989999999999998</v>
      </c>
      <c r="J794">
        <v>59.97</v>
      </c>
      <c r="K794" t="s">
        <v>655</v>
      </c>
      <c r="L794" t="s">
        <v>656</v>
      </c>
      <c r="M794">
        <v>4</v>
      </c>
    </row>
    <row r="795" spans="1:13" x14ac:dyDescent="0.25">
      <c r="A795" t="s">
        <v>1980</v>
      </c>
      <c r="B795" t="s">
        <v>339</v>
      </c>
      <c r="C795" t="s">
        <v>1981</v>
      </c>
      <c r="D795" t="s">
        <v>659</v>
      </c>
      <c r="E795" t="s">
        <v>762</v>
      </c>
      <c r="F795">
        <v>49.99</v>
      </c>
      <c r="G795">
        <v>1</v>
      </c>
      <c r="H795">
        <v>5</v>
      </c>
      <c r="I795">
        <v>47.49</v>
      </c>
      <c r="J795">
        <v>47.49</v>
      </c>
      <c r="K795" t="s">
        <v>675</v>
      </c>
      <c r="L795" t="s">
        <v>656</v>
      </c>
    </row>
    <row r="796" spans="1:13" x14ac:dyDescent="0.25">
      <c r="A796" t="s">
        <v>1982</v>
      </c>
      <c r="B796" t="s">
        <v>342</v>
      </c>
      <c r="C796" t="s">
        <v>1983</v>
      </c>
      <c r="D796" t="s">
        <v>659</v>
      </c>
      <c r="E796" t="s">
        <v>660</v>
      </c>
      <c r="F796">
        <v>19.989999999999998</v>
      </c>
      <c r="G796">
        <v>3</v>
      </c>
      <c r="H796">
        <v>0</v>
      </c>
      <c r="I796">
        <v>19.989999999999998</v>
      </c>
      <c r="J796">
        <v>59.97</v>
      </c>
      <c r="K796" t="s">
        <v>675</v>
      </c>
      <c r="L796" t="s">
        <v>656</v>
      </c>
      <c r="M796">
        <v>4</v>
      </c>
    </row>
    <row r="797" spans="1:13" x14ac:dyDescent="0.25">
      <c r="A797" t="s">
        <v>1984</v>
      </c>
      <c r="B797" t="s">
        <v>342</v>
      </c>
      <c r="C797" t="s">
        <v>1985</v>
      </c>
      <c r="D797" t="s">
        <v>672</v>
      </c>
      <c r="E797" t="s">
        <v>673</v>
      </c>
      <c r="F797">
        <v>24.99</v>
      </c>
      <c r="G797">
        <v>4</v>
      </c>
      <c r="H797">
        <v>0</v>
      </c>
      <c r="I797">
        <v>24.99</v>
      </c>
      <c r="J797">
        <v>99.96</v>
      </c>
      <c r="K797" t="s">
        <v>682</v>
      </c>
      <c r="L797" t="s">
        <v>656</v>
      </c>
    </row>
    <row r="798" spans="1:13" x14ac:dyDescent="0.25">
      <c r="A798" t="s">
        <v>1986</v>
      </c>
      <c r="B798" t="s">
        <v>342</v>
      </c>
      <c r="C798" t="s">
        <v>1987</v>
      </c>
      <c r="D798" t="s">
        <v>672</v>
      </c>
      <c r="E798" t="s">
        <v>673</v>
      </c>
      <c r="F798">
        <v>24.99</v>
      </c>
      <c r="G798">
        <v>4</v>
      </c>
      <c r="H798">
        <v>0</v>
      </c>
      <c r="I798">
        <v>24.99</v>
      </c>
      <c r="J798">
        <v>99.96</v>
      </c>
      <c r="K798" t="s">
        <v>661</v>
      </c>
      <c r="L798" t="s">
        <v>656</v>
      </c>
    </row>
    <row r="799" spans="1:13" x14ac:dyDescent="0.25">
      <c r="A799" t="s">
        <v>1988</v>
      </c>
      <c r="B799" t="s">
        <v>342</v>
      </c>
      <c r="C799" t="s">
        <v>1989</v>
      </c>
      <c r="D799" t="s">
        <v>680</v>
      </c>
      <c r="E799" t="s">
        <v>688</v>
      </c>
      <c r="F799">
        <v>29.99</v>
      </c>
      <c r="G799">
        <v>2</v>
      </c>
      <c r="H799">
        <v>10</v>
      </c>
      <c r="I799">
        <v>26.99</v>
      </c>
      <c r="J799">
        <v>53.98</v>
      </c>
      <c r="K799" t="s">
        <v>661</v>
      </c>
      <c r="L799" t="s">
        <v>656</v>
      </c>
      <c r="M799">
        <v>5</v>
      </c>
    </row>
    <row r="800" spans="1:13" x14ac:dyDescent="0.25">
      <c r="A800" t="s">
        <v>1990</v>
      </c>
      <c r="B800" t="s">
        <v>342</v>
      </c>
      <c r="C800" t="s">
        <v>1991</v>
      </c>
      <c r="D800" t="s">
        <v>684</v>
      </c>
      <c r="E800" t="s">
        <v>685</v>
      </c>
      <c r="F800">
        <v>49.99</v>
      </c>
      <c r="G800">
        <v>1</v>
      </c>
      <c r="H800">
        <v>15</v>
      </c>
      <c r="I800">
        <v>42.49</v>
      </c>
      <c r="J800">
        <v>42.49</v>
      </c>
      <c r="K800" t="s">
        <v>675</v>
      </c>
      <c r="L800" t="s">
        <v>656</v>
      </c>
      <c r="M800">
        <v>4</v>
      </c>
    </row>
    <row r="801" spans="1:13" x14ac:dyDescent="0.25">
      <c r="A801" t="s">
        <v>1992</v>
      </c>
      <c r="B801" t="s">
        <v>342</v>
      </c>
      <c r="C801" t="s">
        <v>1832</v>
      </c>
      <c r="D801" t="s">
        <v>672</v>
      </c>
      <c r="E801" t="s">
        <v>724</v>
      </c>
      <c r="F801">
        <v>89.99</v>
      </c>
      <c r="G801">
        <v>4</v>
      </c>
      <c r="H801">
        <v>20</v>
      </c>
      <c r="I801">
        <v>71.989999999999995</v>
      </c>
      <c r="J801">
        <v>287.95999999999998</v>
      </c>
      <c r="K801" t="s">
        <v>661</v>
      </c>
      <c r="L801" t="s">
        <v>656</v>
      </c>
    </row>
    <row r="802" spans="1:13" x14ac:dyDescent="0.25">
      <c r="A802" t="s">
        <v>1993</v>
      </c>
      <c r="B802" t="s">
        <v>342</v>
      </c>
      <c r="C802" t="s">
        <v>1994</v>
      </c>
      <c r="D802" t="s">
        <v>672</v>
      </c>
      <c r="E802" t="s">
        <v>724</v>
      </c>
      <c r="F802">
        <v>89.99</v>
      </c>
      <c r="G802">
        <v>1</v>
      </c>
      <c r="H802">
        <v>5</v>
      </c>
      <c r="I802">
        <v>85.49</v>
      </c>
      <c r="J802">
        <v>85.49</v>
      </c>
      <c r="K802" t="s">
        <v>675</v>
      </c>
      <c r="L802" t="s">
        <v>656</v>
      </c>
    </row>
    <row r="803" spans="1:13" x14ac:dyDescent="0.25">
      <c r="A803" t="s">
        <v>1995</v>
      </c>
      <c r="B803" t="s">
        <v>342</v>
      </c>
      <c r="C803" t="s">
        <v>1996</v>
      </c>
      <c r="D803" t="s">
        <v>659</v>
      </c>
      <c r="E803" t="s">
        <v>762</v>
      </c>
      <c r="F803">
        <v>49.99</v>
      </c>
      <c r="G803">
        <v>1</v>
      </c>
      <c r="H803">
        <v>0</v>
      </c>
      <c r="I803">
        <v>49.99</v>
      </c>
      <c r="J803">
        <v>49.99</v>
      </c>
      <c r="K803" t="s">
        <v>655</v>
      </c>
      <c r="L803" t="s">
        <v>788</v>
      </c>
      <c r="M803">
        <v>4</v>
      </c>
    </row>
    <row r="804" spans="1:13" x14ac:dyDescent="0.25">
      <c r="A804" t="s">
        <v>1997</v>
      </c>
      <c r="B804" t="s">
        <v>342</v>
      </c>
      <c r="C804" t="s">
        <v>170</v>
      </c>
      <c r="D804" t="s">
        <v>684</v>
      </c>
      <c r="E804" t="s">
        <v>685</v>
      </c>
      <c r="F804">
        <v>49.99</v>
      </c>
      <c r="G804">
        <v>1</v>
      </c>
      <c r="H804">
        <v>5</v>
      </c>
      <c r="I804">
        <v>47.49</v>
      </c>
      <c r="J804">
        <v>47.49</v>
      </c>
      <c r="K804" t="s">
        <v>682</v>
      </c>
      <c r="L804" t="s">
        <v>656</v>
      </c>
    </row>
    <row r="805" spans="1:13" x14ac:dyDescent="0.25">
      <c r="A805" t="s">
        <v>1998</v>
      </c>
      <c r="B805" t="s">
        <v>342</v>
      </c>
      <c r="C805" t="s">
        <v>1527</v>
      </c>
      <c r="D805" t="s">
        <v>672</v>
      </c>
      <c r="E805" t="s">
        <v>803</v>
      </c>
      <c r="F805">
        <v>69.989999999999995</v>
      </c>
      <c r="G805">
        <v>1</v>
      </c>
      <c r="H805">
        <v>15</v>
      </c>
      <c r="I805">
        <v>59.49</v>
      </c>
      <c r="J805">
        <v>59.49</v>
      </c>
      <c r="K805" t="s">
        <v>675</v>
      </c>
      <c r="L805" t="s">
        <v>788</v>
      </c>
      <c r="M805">
        <v>4</v>
      </c>
    </row>
    <row r="806" spans="1:13" x14ac:dyDescent="0.25">
      <c r="A806" t="s">
        <v>1999</v>
      </c>
      <c r="B806" t="s">
        <v>342</v>
      </c>
      <c r="C806" t="s">
        <v>522</v>
      </c>
      <c r="D806" t="s">
        <v>659</v>
      </c>
      <c r="E806" t="s">
        <v>820</v>
      </c>
      <c r="F806">
        <v>39.99</v>
      </c>
      <c r="G806">
        <v>4</v>
      </c>
      <c r="H806">
        <v>20</v>
      </c>
      <c r="I806">
        <v>31.99</v>
      </c>
      <c r="J806">
        <v>127.96</v>
      </c>
      <c r="K806" t="s">
        <v>655</v>
      </c>
      <c r="L806" t="s">
        <v>656</v>
      </c>
    </row>
    <row r="807" spans="1:13" x14ac:dyDescent="0.25">
      <c r="A807" t="s">
        <v>2000</v>
      </c>
      <c r="B807" t="s">
        <v>345</v>
      </c>
      <c r="C807" t="s">
        <v>1687</v>
      </c>
      <c r="D807" t="s">
        <v>659</v>
      </c>
      <c r="E807" t="s">
        <v>660</v>
      </c>
      <c r="F807">
        <v>19.989999999999998</v>
      </c>
      <c r="G807">
        <v>1</v>
      </c>
      <c r="H807">
        <v>10</v>
      </c>
      <c r="I807">
        <v>17.989999999999998</v>
      </c>
      <c r="J807">
        <v>17.989999999999998</v>
      </c>
      <c r="K807" t="s">
        <v>655</v>
      </c>
      <c r="L807" t="s">
        <v>656</v>
      </c>
      <c r="M807">
        <v>4</v>
      </c>
    </row>
    <row r="808" spans="1:13" x14ac:dyDescent="0.25">
      <c r="A808" t="s">
        <v>2001</v>
      </c>
      <c r="B808" t="s">
        <v>345</v>
      </c>
      <c r="C808" t="s">
        <v>2002</v>
      </c>
      <c r="D808" t="s">
        <v>659</v>
      </c>
      <c r="E808" t="s">
        <v>762</v>
      </c>
      <c r="F808">
        <v>49.99</v>
      </c>
      <c r="G808">
        <v>3</v>
      </c>
      <c r="H808">
        <v>10</v>
      </c>
      <c r="I808">
        <v>44.99</v>
      </c>
      <c r="J808">
        <v>134.97</v>
      </c>
      <c r="K808" t="s">
        <v>655</v>
      </c>
      <c r="L808" t="s">
        <v>656</v>
      </c>
      <c r="M808">
        <v>3</v>
      </c>
    </row>
    <row r="809" spans="1:13" x14ac:dyDescent="0.25">
      <c r="A809" t="s">
        <v>2003</v>
      </c>
      <c r="B809" t="s">
        <v>345</v>
      </c>
      <c r="C809" t="s">
        <v>704</v>
      </c>
      <c r="D809" t="s">
        <v>653</v>
      </c>
      <c r="E809" t="s">
        <v>827</v>
      </c>
      <c r="F809">
        <v>29.99</v>
      </c>
      <c r="G809">
        <v>1</v>
      </c>
      <c r="H809">
        <v>10</v>
      </c>
      <c r="I809">
        <v>26.99</v>
      </c>
      <c r="J809">
        <v>26.99</v>
      </c>
      <c r="K809" t="s">
        <v>675</v>
      </c>
      <c r="L809" t="s">
        <v>656</v>
      </c>
    </row>
    <row r="810" spans="1:13" x14ac:dyDescent="0.25">
      <c r="A810" t="s">
        <v>2004</v>
      </c>
      <c r="B810" t="s">
        <v>345</v>
      </c>
      <c r="C810" t="s">
        <v>1360</v>
      </c>
      <c r="D810" t="s">
        <v>659</v>
      </c>
      <c r="E810" t="s">
        <v>664</v>
      </c>
      <c r="F810">
        <v>24.99</v>
      </c>
      <c r="G810">
        <v>3</v>
      </c>
      <c r="H810">
        <v>15</v>
      </c>
      <c r="I810">
        <v>21.24</v>
      </c>
      <c r="J810">
        <v>63.72</v>
      </c>
      <c r="K810" t="s">
        <v>675</v>
      </c>
      <c r="L810" t="s">
        <v>693</v>
      </c>
      <c r="M810">
        <v>5</v>
      </c>
    </row>
    <row r="811" spans="1:13" x14ac:dyDescent="0.25">
      <c r="A811" t="s">
        <v>2005</v>
      </c>
      <c r="B811" t="s">
        <v>345</v>
      </c>
      <c r="C811" t="s">
        <v>1533</v>
      </c>
      <c r="D811" t="s">
        <v>667</v>
      </c>
      <c r="E811" t="s">
        <v>668</v>
      </c>
      <c r="F811">
        <v>64.989999999999995</v>
      </c>
      <c r="G811">
        <v>1</v>
      </c>
      <c r="H811">
        <v>0</v>
      </c>
      <c r="I811">
        <v>64.989999999999995</v>
      </c>
      <c r="J811">
        <v>64.989999999999995</v>
      </c>
      <c r="K811" t="s">
        <v>655</v>
      </c>
      <c r="L811" t="s">
        <v>656</v>
      </c>
      <c r="M811">
        <v>4</v>
      </c>
    </row>
    <row r="812" spans="1:13" x14ac:dyDescent="0.25">
      <c r="A812" t="s">
        <v>2006</v>
      </c>
      <c r="B812" t="s">
        <v>345</v>
      </c>
      <c r="C812" t="s">
        <v>2007</v>
      </c>
      <c r="D812" t="s">
        <v>672</v>
      </c>
      <c r="E812" t="s">
        <v>735</v>
      </c>
      <c r="F812">
        <v>44.99</v>
      </c>
      <c r="G812">
        <v>1</v>
      </c>
      <c r="H812">
        <v>0</v>
      </c>
      <c r="I812">
        <v>44.99</v>
      </c>
      <c r="J812">
        <v>44.99</v>
      </c>
      <c r="K812" t="s">
        <v>682</v>
      </c>
      <c r="L812" t="s">
        <v>656</v>
      </c>
      <c r="M812">
        <v>1</v>
      </c>
    </row>
    <row r="813" spans="1:13" x14ac:dyDescent="0.25">
      <c r="A813" t="s">
        <v>2008</v>
      </c>
      <c r="B813" t="s">
        <v>345</v>
      </c>
      <c r="C813" t="s">
        <v>2009</v>
      </c>
      <c r="D813" t="s">
        <v>659</v>
      </c>
      <c r="E813" t="s">
        <v>660</v>
      </c>
      <c r="F813">
        <v>19.989999999999998</v>
      </c>
      <c r="G813">
        <v>1</v>
      </c>
      <c r="H813">
        <v>15</v>
      </c>
      <c r="I813">
        <v>16.989999999999998</v>
      </c>
      <c r="J813">
        <v>16.989999999999998</v>
      </c>
      <c r="K813" t="s">
        <v>675</v>
      </c>
      <c r="L813" t="s">
        <v>656</v>
      </c>
      <c r="M813">
        <v>5</v>
      </c>
    </row>
    <row r="814" spans="1:13" x14ac:dyDescent="0.25">
      <c r="A814" t="s">
        <v>2010</v>
      </c>
      <c r="B814" t="s">
        <v>345</v>
      </c>
      <c r="C814" t="s">
        <v>2011</v>
      </c>
      <c r="D814" t="s">
        <v>667</v>
      </c>
      <c r="E814" t="s">
        <v>714</v>
      </c>
      <c r="F814">
        <v>44.99</v>
      </c>
      <c r="G814">
        <v>3</v>
      </c>
      <c r="H814">
        <v>0</v>
      </c>
      <c r="I814">
        <v>44.99</v>
      </c>
      <c r="J814">
        <v>134.97</v>
      </c>
      <c r="K814" t="s">
        <v>661</v>
      </c>
      <c r="L814" t="s">
        <v>656</v>
      </c>
      <c r="M814">
        <v>3</v>
      </c>
    </row>
    <row r="815" spans="1:13" x14ac:dyDescent="0.25">
      <c r="A815" t="s">
        <v>2012</v>
      </c>
      <c r="B815" t="s">
        <v>345</v>
      </c>
      <c r="C815" t="s">
        <v>1546</v>
      </c>
      <c r="D815" t="s">
        <v>667</v>
      </c>
      <c r="E815" t="s">
        <v>714</v>
      </c>
      <c r="F815">
        <v>44.99</v>
      </c>
      <c r="G815">
        <v>2</v>
      </c>
      <c r="H815">
        <v>10</v>
      </c>
      <c r="I815">
        <v>40.49</v>
      </c>
      <c r="J815">
        <v>80.98</v>
      </c>
      <c r="K815" t="s">
        <v>655</v>
      </c>
      <c r="L815" t="s">
        <v>656</v>
      </c>
      <c r="M815">
        <v>5</v>
      </c>
    </row>
    <row r="816" spans="1:13" x14ac:dyDescent="0.25">
      <c r="A816" t="s">
        <v>2013</v>
      </c>
      <c r="B816" t="s">
        <v>348</v>
      </c>
      <c r="C816" t="s">
        <v>1059</v>
      </c>
      <c r="D816" t="s">
        <v>672</v>
      </c>
      <c r="E816" t="s">
        <v>673</v>
      </c>
      <c r="F816">
        <v>24.99</v>
      </c>
      <c r="G816">
        <v>3</v>
      </c>
      <c r="H816">
        <v>5</v>
      </c>
      <c r="I816">
        <v>23.74</v>
      </c>
      <c r="J816">
        <v>71.22</v>
      </c>
      <c r="K816" t="s">
        <v>669</v>
      </c>
      <c r="L816" t="s">
        <v>656</v>
      </c>
      <c r="M816">
        <v>4</v>
      </c>
    </row>
    <row r="817" spans="1:13" x14ac:dyDescent="0.25">
      <c r="A817" t="s">
        <v>2014</v>
      </c>
      <c r="B817" t="s">
        <v>348</v>
      </c>
      <c r="C817" t="s">
        <v>1382</v>
      </c>
      <c r="D817" t="s">
        <v>680</v>
      </c>
      <c r="E817" t="s">
        <v>688</v>
      </c>
      <c r="F817">
        <v>29.99</v>
      </c>
      <c r="G817">
        <v>3</v>
      </c>
      <c r="H817">
        <v>0</v>
      </c>
      <c r="I817">
        <v>29.99</v>
      </c>
      <c r="J817">
        <v>89.97</v>
      </c>
      <c r="K817" t="s">
        <v>661</v>
      </c>
      <c r="L817" t="s">
        <v>656</v>
      </c>
      <c r="M817">
        <v>4</v>
      </c>
    </row>
    <row r="818" spans="1:13" x14ac:dyDescent="0.25">
      <c r="A818" t="s">
        <v>2015</v>
      </c>
      <c r="B818" t="s">
        <v>348</v>
      </c>
      <c r="C818" t="s">
        <v>2016</v>
      </c>
      <c r="D818" t="s">
        <v>659</v>
      </c>
      <c r="E818" t="s">
        <v>820</v>
      </c>
      <c r="F818">
        <v>39.99</v>
      </c>
      <c r="G818">
        <v>4</v>
      </c>
      <c r="H818">
        <v>20</v>
      </c>
      <c r="I818">
        <v>31.99</v>
      </c>
      <c r="J818">
        <v>127.96</v>
      </c>
      <c r="K818" t="s">
        <v>655</v>
      </c>
      <c r="L818" t="s">
        <v>656</v>
      </c>
      <c r="M818">
        <v>4</v>
      </c>
    </row>
    <row r="819" spans="1:13" x14ac:dyDescent="0.25">
      <c r="A819" t="s">
        <v>2017</v>
      </c>
      <c r="B819" t="s">
        <v>348</v>
      </c>
      <c r="C819" t="s">
        <v>1199</v>
      </c>
      <c r="D819" t="s">
        <v>680</v>
      </c>
      <c r="E819" t="s">
        <v>749</v>
      </c>
      <c r="F819">
        <v>14.99</v>
      </c>
      <c r="G819">
        <v>1</v>
      </c>
      <c r="H819">
        <v>10</v>
      </c>
      <c r="I819">
        <v>13.49</v>
      </c>
      <c r="J819">
        <v>13.49</v>
      </c>
      <c r="K819" t="s">
        <v>682</v>
      </c>
      <c r="L819" t="s">
        <v>656</v>
      </c>
      <c r="M819">
        <v>4</v>
      </c>
    </row>
    <row r="820" spans="1:13" x14ac:dyDescent="0.25">
      <c r="A820" t="s">
        <v>2018</v>
      </c>
      <c r="B820" t="s">
        <v>348</v>
      </c>
      <c r="C820" t="s">
        <v>2019</v>
      </c>
      <c r="D820" t="s">
        <v>672</v>
      </c>
      <c r="E820" t="s">
        <v>724</v>
      </c>
      <c r="F820">
        <v>89.99</v>
      </c>
      <c r="G820">
        <v>1</v>
      </c>
      <c r="H820">
        <v>0</v>
      </c>
      <c r="I820">
        <v>89.99</v>
      </c>
      <c r="J820">
        <v>89.99</v>
      </c>
      <c r="K820" t="s">
        <v>655</v>
      </c>
      <c r="L820" t="s">
        <v>656</v>
      </c>
      <c r="M820">
        <v>3</v>
      </c>
    </row>
    <row r="821" spans="1:13" x14ac:dyDescent="0.25">
      <c r="A821" t="s">
        <v>2020</v>
      </c>
      <c r="B821" t="s">
        <v>348</v>
      </c>
      <c r="C821" t="s">
        <v>738</v>
      </c>
      <c r="D821" t="s">
        <v>672</v>
      </c>
      <c r="E821" t="s">
        <v>724</v>
      </c>
      <c r="F821">
        <v>89.99</v>
      </c>
      <c r="G821">
        <v>1</v>
      </c>
      <c r="H821">
        <v>5</v>
      </c>
      <c r="I821">
        <v>85.49</v>
      </c>
      <c r="J821">
        <v>85.49</v>
      </c>
      <c r="K821" t="s">
        <v>669</v>
      </c>
      <c r="L821" t="s">
        <v>656</v>
      </c>
      <c r="M821">
        <v>5</v>
      </c>
    </row>
    <row r="822" spans="1:13" x14ac:dyDescent="0.25">
      <c r="A822" t="s">
        <v>2021</v>
      </c>
      <c r="B822" t="s">
        <v>348</v>
      </c>
      <c r="C822" t="s">
        <v>1463</v>
      </c>
      <c r="D822" t="s">
        <v>680</v>
      </c>
      <c r="E822" t="s">
        <v>681</v>
      </c>
      <c r="F822">
        <v>19.989999999999998</v>
      </c>
      <c r="G822">
        <v>3</v>
      </c>
      <c r="H822">
        <v>0</v>
      </c>
      <c r="I822">
        <v>19.989999999999998</v>
      </c>
      <c r="J822">
        <v>59.97</v>
      </c>
      <c r="K822" t="s">
        <v>682</v>
      </c>
      <c r="L822" t="s">
        <v>656</v>
      </c>
      <c r="M822">
        <v>5</v>
      </c>
    </row>
    <row r="823" spans="1:13" x14ac:dyDescent="0.25">
      <c r="A823" t="s">
        <v>2022</v>
      </c>
      <c r="B823" t="s">
        <v>348</v>
      </c>
      <c r="C823" t="s">
        <v>1470</v>
      </c>
      <c r="D823" t="s">
        <v>672</v>
      </c>
      <c r="E823" t="s">
        <v>735</v>
      </c>
      <c r="F823">
        <v>44.99</v>
      </c>
      <c r="G823">
        <v>1</v>
      </c>
      <c r="H823">
        <v>10</v>
      </c>
      <c r="I823">
        <v>40.49</v>
      </c>
      <c r="J823">
        <v>40.49</v>
      </c>
      <c r="K823" t="s">
        <v>669</v>
      </c>
      <c r="L823" t="s">
        <v>656</v>
      </c>
      <c r="M823">
        <v>4</v>
      </c>
    </row>
    <row r="824" spans="1:13" x14ac:dyDescent="0.25">
      <c r="A824" t="s">
        <v>2023</v>
      </c>
      <c r="B824" t="s">
        <v>348</v>
      </c>
      <c r="C824" t="s">
        <v>223</v>
      </c>
      <c r="D824" t="s">
        <v>667</v>
      </c>
      <c r="E824" t="s">
        <v>714</v>
      </c>
      <c r="F824">
        <v>44.99</v>
      </c>
      <c r="G824">
        <v>3</v>
      </c>
      <c r="H824">
        <v>5</v>
      </c>
      <c r="I824">
        <v>42.74</v>
      </c>
      <c r="J824">
        <v>128.22</v>
      </c>
      <c r="K824" t="s">
        <v>655</v>
      </c>
      <c r="L824" t="s">
        <v>656</v>
      </c>
      <c r="M824">
        <v>4</v>
      </c>
    </row>
    <row r="825" spans="1:13" x14ac:dyDescent="0.25">
      <c r="A825" t="s">
        <v>2024</v>
      </c>
      <c r="B825" t="s">
        <v>348</v>
      </c>
      <c r="C825" t="s">
        <v>2025</v>
      </c>
      <c r="D825" t="s">
        <v>710</v>
      </c>
      <c r="E825" t="s">
        <v>744</v>
      </c>
      <c r="F825">
        <v>29.99</v>
      </c>
      <c r="G825">
        <v>1</v>
      </c>
      <c r="H825">
        <v>15</v>
      </c>
      <c r="I825">
        <v>25.49</v>
      </c>
      <c r="J825">
        <v>25.49</v>
      </c>
      <c r="K825" t="s">
        <v>655</v>
      </c>
      <c r="L825" t="s">
        <v>656</v>
      </c>
    </row>
    <row r="826" spans="1:13" x14ac:dyDescent="0.25">
      <c r="A826" t="s">
        <v>2026</v>
      </c>
      <c r="B826" t="s">
        <v>348</v>
      </c>
      <c r="C826" t="s">
        <v>72</v>
      </c>
      <c r="D826" t="s">
        <v>680</v>
      </c>
      <c r="E826" t="s">
        <v>749</v>
      </c>
      <c r="F826">
        <v>14.99</v>
      </c>
      <c r="G826">
        <v>4</v>
      </c>
      <c r="H826">
        <v>0</v>
      </c>
      <c r="I826">
        <v>14.99</v>
      </c>
      <c r="J826">
        <v>59.96</v>
      </c>
      <c r="K826" t="s">
        <v>669</v>
      </c>
      <c r="L826" t="s">
        <v>656</v>
      </c>
      <c r="M826">
        <v>5</v>
      </c>
    </row>
    <row r="827" spans="1:13" x14ac:dyDescent="0.25">
      <c r="A827" t="s">
        <v>2027</v>
      </c>
      <c r="B827" t="s">
        <v>351</v>
      </c>
      <c r="C827" t="s">
        <v>1343</v>
      </c>
      <c r="D827" t="s">
        <v>680</v>
      </c>
      <c r="E827" t="s">
        <v>708</v>
      </c>
      <c r="F827">
        <v>24.99</v>
      </c>
      <c r="G827">
        <v>2</v>
      </c>
      <c r="H827">
        <v>0</v>
      </c>
      <c r="I827">
        <v>24.99</v>
      </c>
      <c r="J827">
        <v>49.98</v>
      </c>
      <c r="K827" t="s">
        <v>669</v>
      </c>
      <c r="L827" t="s">
        <v>656</v>
      </c>
      <c r="M827">
        <v>5</v>
      </c>
    </row>
    <row r="828" spans="1:13" x14ac:dyDescent="0.25">
      <c r="A828" t="s">
        <v>2028</v>
      </c>
      <c r="B828" t="s">
        <v>351</v>
      </c>
      <c r="C828" t="s">
        <v>2029</v>
      </c>
      <c r="D828" t="s">
        <v>667</v>
      </c>
      <c r="E828" t="s">
        <v>699</v>
      </c>
      <c r="F828">
        <v>89.99</v>
      </c>
      <c r="G828">
        <v>1</v>
      </c>
      <c r="H828">
        <v>10</v>
      </c>
      <c r="I828">
        <v>80.989999999999995</v>
      </c>
      <c r="J828">
        <v>80.989999999999995</v>
      </c>
      <c r="K828" t="s">
        <v>655</v>
      </c>
      <c r="L828" t="s">
        <v>656</v>
      </c>
      <c r="M828">
        <v>3</v>
      </c>
    </row>
    <row r="829" spans="1:13" x14ac:dyDescent="0.25">
      <c r="A829" t="s">
        <v>2030</v>
      </c>
      <c r="B829" t="s">
        <v>351</v>
      </c>
      <c r="C829" t="s">
        <v>636</v>
      </c>
      <c r="D829" t="s">
        <v>659</v>
      </c>
      <c r="E829" t="s">
        <v>660</v>
      </c>
      <c r="F829">
        <v>19.989999999999998</v>
      </c>
      <c r="G829">
        <v>1</v>
      </c>
      <c r="H829">
        <v>20</v>
      </c>
      <c r="I829">
        <v>15.99</v>
      </c>
      <c r="J829">
        <v>15.99</v>
      </c>
      <c r="K829" t="s">
        <v>661</v>
      </c>
      <c r="L829" t="s">
        <v>656</v>
      </c>
      <c r="M829">
        <v>5</v>
      </c>
    </row>
    <row r="830" spans="1:13" x14ac:dyDescent="0.25">
      <c r="A830" t="s">
        <v>2031</v>
      </c>
      <c r="B830" t="s">
        <v>351</v>
      </c>
      <c r="C830" t="s">
        <v>1119</v>
      </c>
      <c r="D830" t="s">
        <v>667</v>
      </c>
      <c r="E830" t="s">
        <v>714</v>
      </c>
      <c r="F830">
        <v>44.99</v>
      </c>
      <c r="G830">
        <v>1</v>
      </c>
      <c r="H830">
        <v>10</v>
      </c>
      <c r="I830">
        <v>40.49</v>
      </c>
      <c r="J830">
        <v>40.49</v>
      </c>
      <c r="K830" t="s">
        <v>661</v>
      </c>
      <c r="L830" t="s">
        <v>656</v>
      </c>
      <c r="M830">
        <v>2</v>
      </c>
    </row>
    <row r="831" spans="1:13" x14ac:dyDescent="0.25">
      <c r="A831" t="s">
        <v>2032</v>
      </c>
      <c r="B831" t="s">
        <v>351</v>
      </c>
      <c r="C831" t="s">
        <v>1961</v>
      </c>
      <c r="D831" t="s">
        <v>667</v>
      </c>
      <c r="E831" t="s">
        <v>696</v>
      </c>
      <c r="F831">
        <v>59.99</v>
      </c>
      <c r="G831">
        <v>1</v>
      </c>
      <c r="H831">
        <v>5</v>
      </c>
      <c r="I831">
        <v>56.99</v>
      </c>
      <c r="J831">
        <v>56.99</v>
      </c>
      <c r="K831" t="s">
        <v>655</v>
      </c>
      <c r="L831" t="s">
        <v>656</v>
      </c>
      <c r="M831">
        <v>3</v>
      </c>
    </row>
    <row r="832" spans="1:13" x14ac:dyDescent="0.25">
      <c r="A832" t="s">
        <v>2033</v>
      </c>
      <c r="B832" t="s">
        <v>351</v>
      </c>
      <c r="C832" t="s">
        <v>2034</v>
      </c>
      <c r="D832" t="s">
        <v>680</v>
      </c>
      <c r="E832" t="s">
        <v>749</v>
      </c>
      <c r="F832">
        <v>14.99</v>
      </c>
      <c r="G832">
        <v>1</v>
      </c>
      <c r="H832">
        <v>5</v>
      </c>
      <c r="I832">
        <v>14.24</v>
      </c>
      <c r="J832">
        <v>14.24</v>
      </c>
      <c r="K832" t="s">
        <v>661</v>
      </c>
      <c r="L832" t="s">
        <v>656</v>
      </c>
      <c r="M832">
        <v>4</v>
      </c>
    </row>
    <row r="833" spans="1:13" x14ac:dyDescent="0.25">
      <c r="A833" t="s">
        <v>2035</v>
      </c>
      <c r="B833" t="s">
        <v>351</v>
      </c>
      <c r="C833" t="s">
        <v>1699</v>
      </c>
      <c r="D833" t="s">
        <v>667</v>
      </c>
      <c r="E833" t="s">
        <v>668</v>
      </c>
      <c r="F833">
        <v>64.989999999999995</v>
      </c>
      <c r="G833">
        <v>2</v>
      </c>
      <c r="H833">
        <v>10</v>
      </c>
      <c r="I833">
        <v>58.49</v>
      </c>
      <c r="J833">
        <v>116.98</v>
      </c>
      <c r="K833" t="s">
        <v>669</v>
      </c>
      <c r="L833" t="s">
        <v>656</v>
      </c>
      <c r="M833">
        <v>4</v>
      </c>
    </row>
    <row r="834" spans="1:13" x14ac:dyDescent="0.25">
      <c r="A834" t="s">
        <v>2036</v>
      </c>
      <c r="B834" t="s">
        <v>354</v>
      </c>
      <c r="C834" t="s">
        <v>809</v>
      </c>
      <c r="D834" t="s">
        <v>684</v>
      </c>
      <c r="E834" t="s">
        <v>815</v>
      </c>
      <c r="F834">
        <v>34.99</v>
      </c>
      <c r="G834">
        <v>4</v>
      </c>
      <c r="H834">
        <v>0</v>
      </c>
      <c r="I834">
        <v>34.99</v>
      </c>
      <c r="J834">
        <v>139.96</v>
      </c>
      <c r="K834" t="s">
        <v>669</v>
      </c>
      <c r="L834" t="s">
        <v>656</v>
      </c>
    </row>
    <row r="835" spans="1:13" x14ac:dyDescent="0.25">
      <c r="A835" t="s">
        <v>2037</v>
      </c>
      <c r="B835" t="s">
        <v>354</v>
      </c>
      <c r="C835" t="s">
        <v>930</v>
      </c>
      <c r="D835" t="s">
        <v>684</v>
      </c>
      <c r="E835" t="s">
        <v>685</v>
      </c>
      <c r="F835">
        <v>49.99</v>
      </c>
      <c r="G835">
        <v>2</v>
      </c>
      <c r="H835">
        <v>10</v>
      </c>
      <c r="I835">
        <v>44.99</v>
      </c>
      <c r="J835">
        <v>89.98</v>
      </c>
      <c r="K835" t="s">
        <v>669</v>
      </c>
      <c r="L835" t="s">
        <v>656</v>
      </c>
      <c r="M835">
        <v>2</v>
      </c>
    </row>
    <row r="836" spans="1:13" x14ac:dyDescent="0.25">
      <c r="A836" t="s">
        <v>2038</v>
      </c>
      <c r="B836" t="s">
        <v>354</v>
      </c>
      <c r="C836" t="s">
        <v>2039</v>
      </c>
      <c r="D836" t="s">
        <v>653</v>
      </c>
      <c r="E836" t="s">
        <v>654</v>
      </c>
      <c r="F836">
        <v>39.99</v>
      </c>
      <c r="G836">
        <v>4</v>
      </c>
      <c r="H836">
        <v>5</v>
      </c>
      <c r="I836">
        <v>37.99</v>
      </c>
      <c r="J836">
        <v>151.96</v>
      </c>
      <c r="K836" t="s">
        <v>661</v>
      </c>
      <c r="L836" t="s">
        <v>656</v>
      </c>
    </row>
    <row r="837" spans="1:13" x14ac:dyDescent="0.25">
      <c r="A837" t="s">
        <v>2040</v>
      </c>
      <c r="B837" t="s">
        <v>354</v>
      </c>
      <c r="C837" t="s">
        <v>1229</v>
      </c>
      <c r="D837" t="s">
        <v>684</v>
      </c>
      <c r="E837" t="s">
        <v>702</v>
      </c>
      <c r="F837">
        <v>199.99</v>
      </c>
      <c r="G837">
        <v>4</v>
      </c>
      <c r="H837">
        <v>0</v>
      </c>
      <c r="I837">
        <v>199.99</v>
      </c>
      <c r="J837">
        <v>799.96</v>
      </c>
      <c r="K837" t="s">
        <v>661</v>
      </c>
      <c r="L837" t="s">
        <v>656</v>
      </c>
      <c r="M837">
        <v>4</v>
      </c>
    </row>
    <row r="838" spans="1:13" x14ac:dyDescent="0.25">
      <c r="A838" t="s">
        <v>2041</v>
      </c>
      <c r="B838" t="s">
        <v>354</v>
      </c>
      <c r="C838" t="s">
        <v>2042</v>
      </c>
      <c r="D838" t="s">
        <v>680</v>
      </c>
      <c r="E838" t="s">
        <v>688</v>
      </c>
      <c r="F838">
        <v>29.99</v>
      </c>
      <c r="G838">
        <v>1</v>
      </c>
      <c r="H838">
        <v>15</v>
      </c>
      <c r="I838">
        <v>25.49</v>
      </c>
      <c r="J838">
        <v>25.49</v>
      </c>
      <c r="K838" t="s">
        <v>682</v>
      </c>
      <c r="L838" t="s">
        <v>739</v>
      </c>
      <c r="M838">
        <v>2</v>
      </c>
    </row>
    <row r="839" spans="1:13" x14ac:dyDescent="0.25">
      <c r="A839" t="s">
        <v>2043</v>
      </c>
      <c r="B839" t="s">
        <v>354</v>
      </c>
      <c r="C839" t="s">
        <v>856</v>
      </c>
      <c r="D839" t="s">
        <v>710</v>
      </c>
      <c r="E839" t="s">
        <v>711</v>
      </c>
      <c r="F839">
        <v>14.99</v>
      </c>
      <c r="G839">
        <v>1</v>
      </c>
      <c r="H839">
        <v>10</v>
      </c>
      <c r="I839">
        <v>13.49</v>
      </c>
      <c r="J839">
        <v>13.49</v>
      </c>
      <c r="K839" t="s">
        <v>655</v>
      </c>
      <c r="L839" t="s">
        <v>788</v>
      </c>
      <c r="M839">
        <v>4</v>
      </c>
    </row>
    <row r="840" spans="1:13" x14ac:dyDescent="0.25">
      <c r="A840" t="s">
        <v>2044</v>
      </c>
      <c r="B840" t="s">
        <v>354</v>
      </c>
      <c r="C840" t="s">
        <v>2045</v>
      </c>
      <c r="D840" t="s">
        <v>680</v>
      </c>
      <c r="E840" t="s">
        <v>749</v>
      </c>
      <c r="F840">
        <v>14.99</v>
      </c>
      <c r="G840">
        <v>4</v>
      </c>
      <c r="H840">
        <v>20</v>
      </c>
      <c r="I840">
        <v>11.99</v>
      </c>
      <c r="J840">
        <v>47.96</v>
      </c>
      <c r="K840" t="s">
        <v>669</v>
      </c>
      <c r="L840" t="s">
        <v>656</v>
      </c>
      <c r="M840">
        <v>3</v>
      </c>
    </row>
    <row r="841" spans="1:13" x14ac:dyDescent="0.25">
      <c r="A841" t="s">
        <v>2046</v>
      </c>
      <c r="B841" t="s">
        <v>354</v>
      </c>
      <c r="C841" t="s">
        <v>295</v>
      </c>
      <c r="D841" t="s">
        <v>710</v>
      </c>
      <c r="E841" t="s">
        <v>721</v>
      </c>
      <c r="F841">
        <v>24.99</v>
      </c>
      <c r="G841">
        <v>4</v>
      </c>
      <c r="H841">
        <v>0</v>
      </c>
      <c r="I841">
        <v>24.99</v>
      </c>
      <c r="J841">
        <v>99.96</v>
      </c>
      <c r="K841" t="s">
        <v>669</v>
      </c>
      <c r="L841" t="s">
        <v>656</v>
      </c>
      <c r="M841">
        <v>5</v>
      </c>
    </row>
    <row r="842" spans="1:13" x14ac:dyDescent="0.25">
      <c r="A842" t="s">
        <v>2047</v>
      </c>
      <c r="B842" t="s">
        <v>354</v>
      </c>
      <c r="C842" t="s">
        <v>1503</v>
      </c>
      <c r="D842" t="s">
        <v>710</v>
      </c>
      <c r="E842" t="s">
        <v>744</v>
      </c>
      <c r="F842">
        <v>29.99</v>
      </c>
      <c r="G842">
        <v>3</v>
      </c>
      <c r="H842">
        <v>0</v>
      </c>
      <c r="I842">
        <v>29.99</v>
      </c>
      <c r="J842">
        <v>89.97</v>
      </c>
      <c r="K842" t="s">
        <v>655</v>
      </c>
      <c r="L842" t="s">
        <v>656</v>
      </c>
      <c r="M842">
        <v>5</v>
      </c>
    </row>
    <row r="843" spans="1:13" x14ac:dyDescent="0.25">
      <c r="A843" t="s">
        <v>2048</v>
      </c>
      <c r="B843" t="s">
        <v>354</v>
      </c>
      <c r="C843" t="s">
        <v>1290</v>
      </c>
      <c r="D843" t="s">
        <v>684</v>
      </c>
      <c r="E843" t="s">
        <v>815</v>
      </c>
      <c r="F843">
        <v>34.99</v>
      </c>
      <c r="G843">
        <v>3</v>
      </c>
      <c r="H843">
        <v>0</v>
      </c>
      <c r="I843">
        <v>34.99</v>
      </c>
      <c r="J843">
        <v>104.97</v>
      </c>
      <c r="K843" t="s">
        <v>682</v>
      </c>
      <c r="L843" t="s">
        <v>656</v>
      </c>
    </row>
    <row r="844" spans="1:13" x14ac:dyDescent="0.25">
      <c r="A844" t="s">
        <v>2049</v>
      </c>
      <c r="B844" t="s">
        <v>354</v>
      </c>
      <c r="C844" t="s">
        <v>802</v>
      </c>
      <c r="D844" t="s">
        <v>653</v>
      </c>
      <c r="E844" t="s">
        <v>654</v>
      </c>
      <c r="F844">
        <v>39.99</v>
      </c>
      <c r="G844">
        <v>3</v>
      </c>
      <c r="H844">
        <v>20</v>
      </c>
      <c r="I844">
        <v>31.99</v>
      </c>
      <c r="J844">
        <v>95.97</v>
      </c>
      <c r="K844" t="s">
        <v>661</v>
      </c>
      <c r="L844" t="s">
        <v>656</v>
      </c>
      <c r="M844">
        <v>4</v>
      </c>
    </row>
    <row r="845" spans="1:13" x14ac:dyDescent="0.25">
      <c r="A845" t="s">
        <v>2050</v>
      </c>
      <c r="B845" t="s">
        <v>354</v>
      </c>
      <c r="C845" t="s">
        <v>2051</v>
      </c>
      <c r="D845" t="s">
        <v>710</v>
      </c>
      <c r="E845" t="s">
        <v>721</v>
      </c>
      <c r="F845">
        <v>24.99</v>
      </c>
      <c r="G845">
        <v>2</v>
      </c>
      <c r="H845">
        <v>0</v>
      </c>
      <c r="I845">
        <v>24.99</v>
      </c>
      <c r="J845">
        <v>49.98</v>
      </c>
      <c r="K845" t="s">
        <v>661</v>
      </c>
      <c r="L845" t="s">
        <v>656</v>
      </c>
      <c r="M845">
        <v>3</v>
      </c>
    </row>
    <row r="846" spans="1:13" x14ac:dyDescent="0.25">
      <c r="A846" t="s">
        <v>2052</v>
      </c>
      <c r="B846" t="s">
        <v>354</v>
      </c>
      <c r="C846" t="s">
        <v>93</v>
      </c>
      <c r="D846" t="s">
        <v>672</v>
      </c>
      <c r="E846" t="s">
        <v>673</v>
      </c>
      <c r="F846">
        <v>24.99</v>
      </c>
      <c r="G846">
        <v>2</v>
      </c>
      <c r="H846">
        <v>5</v>
      </c>
      <c r="I846">
        <v>23.74</v>
      </c>
      <c r="J846">
        <v>47.48</v>
      </c>
      <c r="K846" t="s">
        <v>675</v>
      </c>
      <c r="L846" t="s">
        <v>656</v>
      </c>
    </row>
    <row r="847" spans="1:13" x14ac:dyDescent="0.25">
      <c r="A847" t="s">
        <v>2053</v>
      </c>
      <c r="B847" t="s">
        <v>354</v>
      </c>
      <c r="C847" t="s">
        <v>128</v>
      </c>
      <c r="D847" t="s">
        <v>710</v>
      </c>
      <c r="E847" t="s">
        <v>730</v>
      </c>
      <c r="F847">
        <v>39.99</v>
      </c>
      <c r="G847">
        <v>1</v>
      </c>
      <c r="H847">
        <v>20</v>
      </c>
      <c r="I847">
        <v>31.99</v>
      </c>
      <c r="J847">
        <v>31.99</v>
      </c>
      <c r="K847" t="s">
        <v>669</v>
      </c>
      <c r="L847" t="s">
        <v>656</v>
      </c>
      <c r="M847">
        <v>5</v>
      </c>
    </row>
    <row r="848" spans="1:13" x14ac:dyDescent="0.25">
      <c r="A848" t="s">
        <v>2054</v>
      </c>
      <c r="B848" t="s">
        <v>354</v>
      </c>
      <c r="C848" t="s">
        <v>1440</v>
      </c>
      <c r="D848" t="s">
        <v>680</v>
      </c>
      <c r="E848" t="s">
        <v>688</v>
      </c>
      <c r="F848">
        <v>29.99</v>
      </c>
      <c r="G848">
        <v>3</v>
      </c>
      <c r="H848">
        <v>0</v>
      </c>
      <c r="I848">
        <v>29.99</v>
      </c>
      <c r="J848">
        <v>89.97</v>
      </c>
      <c r="K848" t="s">
        <v>669</v>
      </c>
      <c r="L848" t="s">
        <v>656</v>
      </c>
      <c r="M848">
        <v>2</v>
      </c>
    </row>
    <row r="849" spans="1:13" x14ac:dyDescent="0.25">
      <c r="A849" t="s">
        <v>2055</v>
      </c>
      <c r="B849" t="s">
        <v>357</v>
      </c>
      <c r="C849" t="s">
        <v>2034</v>
      </c>
      <c r="D849" t="s">
        <v>667</v>
      </c>
      <c r="E849" t="s">
        <v>699</v>
      </c>
      <c r="F849">
        <v>89.99</v>
      </c>
      <c r="G849">
        <v>3</v>
      </c>
      <c r="H849">
        <v>5</v>
      </c>
      <c r="I849">
        <v>85.49</v>
      </c>
      <c r="J849">
        <v>256.47000000000003</v>
      </c>
      <c r="K849" t="s">
        <v>682</v>
      </c>
      <c r="L849" t="s">
        <v>656</v>
      </c>
      <c r="M849">
        <v>1</v>
      </c>
    </row>
    <row r="850" spans="1:13" x14ac:dyDescent="0.25">
      <c r="A850" t="s">
        <v>2056</v>
      </c>
      <c r="B850" t="s">
        <v>360</v>
      </c>
      <c r="C850" t="s">
        <v>596</v>
      </c>
      <c r="D850" t="s">
        <v>653</v>
      </c>
      <c r="E850" t="s">
        <v>654</v>
      </c>
      <c r="F850">
        <v>39.99</v>
      </c>
      <c r="G850">
        <v>4</v>
      </c>
      <c r="H850">
        <v>10</v>
      </c>
      <c r="I850">
        <v>35.99</v>
      </c>
      <c r="J850">
        <v>143.96</v>
      </c>
      <c r="K850" t="s">
        <v>669</v>
      </c>
      <c r="L850" t="s">
        <v>656</v>
      </c>
      <c r="M850">
        <v>4</v>
      </c>
    </row>
    <row r="851" spans="1:13" x14ac:dyDescent="0.25">
      <c r="A851" t="s">
        <v>2057</v>
      </c>
      <c r="B851" t="s">
        <v>360</v>
      </c>
      <c r="C851" t="s">
        <v>1809</v>
      </c>
      <c r="D851" t="s">
        <v>680</v>
      </c>
      <c r="E851" t="s">
        <v>681</v>
      </c>
      <c r="F851">
        <v>19.989999999999998</v>
      </c>
      <c r="G851">
        <v>1</v>
      </c>
      <c r="H851">
        <v>0</v>
      </c>
      <c r="I851">
        <v>19.989999999999998</v>
      </c>
      <c r="J851">
        <v>19.989999999999998</v>
      </c>
      <c r="K851" t="s">
        <v>675</v>
      </c>
      <c r="L851" t="s">
        <v>656</v>
      </c>
      <c r="M851">
        <v>2</v>
      </c>
    </row>
    <row r="852" spans="1:13" x14ac:dyDescent="0.25">
      <c r="A852" t="s">
        <v>2058</v>
      </c>
      <c r="B852" t="s">
        <v>360</v>
      </c>
      <c r="C852" t="s">
        <v>753</v>
      </c>
      <c r="D852" t="s">
        <v>710</v>
      </c>
      <c r="E852" t="s">
        <v>721</v>
      </c>
      <c r="F852">
        <v>24.99</v>
      </c>
      <c r="G852">
        <v>1</v>
      </c>
      <c r="H852">
        <v>20</v>
      </c>
      <c r="I852">
        <v>19.989999999999998</v>
      </c>
      <c r="J852">
        <v>19.989999999999998</v>
      </c>
      <c r="K852" t="s">
        <v>682</v>
      </c>
      <c r="L852" t="s">
        <v>788</v>
      </c>
    </row>
    <row r="853" spans="1:13" x14ac:dyDescent="0.25">
      <c r="A853" t="s">
        <v>2059</v>
      </c>
      <c r="B853" t="s">
        <v>360</v>
      </c>
      <c r="C853" t="s">
        <v>2060</v>
      </c>
      <c r="D853" t="s">
        <v>659</v>
      </c>
      <c r="E853" t="s">
        <v>762</v>
      </c>
      <c r="F853">
        <v>49.99</v>
      </c>
      <c r="G853">
        <v>4</v>
      </c>
      <c r="H853">
        <v>15</v>
      </c>
      <c r="I853">
        <v>42.49</v>
      </c>
      <c r="J853">
        <v>169.96</v>
      </c>
      <c r="K853" t="s">
        <v>661</v>
      </c>
      <c r="L853" t="s">
        <v>656</v>
      </c>
      <c r="M853">
        <v>5</v>
      </c>
    </row>
    <row r="854" spans="1:13" x14ac:dyDescent="0.25">
      <c r="A854" t="s">
        <v>2061</v>
      </c>
      <c r="B854" t="s">
        <v>360</v>
      </c>
      <c r="C854" t="s">
        <v>798</v>
      </c>
      <c r="D854" t="s">
        <v>653</v>
      </c>
      <c r="E854" t="s">
        <v>769</v>
      </c>
      <c r="F854">
        <v>49.99</v>
      </c>
      <c r="G854">
        <v>4</v>
      </c>
      <c r="H854">
        <v>0</v>
      </c>
      <c r="I854">
        <v>49.99</v>
      </c>
      <c r="J854">
        <v>199.96</v>
      </c>
      <c r="K854" t="s">
        <v>669</v>
      </c>
      <c r="L854" t="s">
        <v>656</v>
      </c>
      <c r="M854">
        <v>3</v>
      </c>
    </row>
    <row r="855" spans="1:13" x14ac:dyDescent="0.25">
      <c r="A855" t="s">
        <v>2062</v>
      </c>
      <c r="B855" t="s">
        <v>360</v>
      </c>
      <c r="C855" t="s">
        <v>2063</v>
      </c>
      <c r="D855" t="s">
        <v>653</v>
      </c>
      <c r="E855" t="s">
        <v>827</v>
      </c>
      <c r="F855">
        <v>29.99</v>
      </c>
      <c r="G855">
        <v>2</v>
      </c>
      <c r="H855">
        <v>0</v>
      </c>
      <c r="I855">
        <v>29.99</v>
      </c>
      <c r="J855">
        <v>59.98</v>
      </c>
      <c r="K855" t="s">
        <v>675</v>
      </c>
      <c r="L855" t="s">
        <v>656</v>
      </c>
    </row>
    <row r="856" spans="1:13" x14ac:dyDescent="0.25">
      <c r="A856" t="s">
        <v>2064</v>
      </c>
      <c r="B856" t="s">
        <v>363</v>
      </c>
      <c r="C856" t="s">
        <v>2065</v>
      </c>
      <c r="D856" t="s">
        <v>659</v>
      </c>
      <c r="E856" t="s">
        <v>762</v>
      </c>
      <c r="F856">
        <v>49.99</v>
      </c>
      <c r="G856">
        <v>1</v>
      </c>
      <c r="H856">
        <v>20</v>
      </c>
      <c r="I856">
        <v>39.99</v>
      </c>
      <c r="J856">
        <v>39.99</v>
      </c>
      <c r="K856" t="s">
        <v>669</v>
      </c>
      <c r="L856" t="s">
        <v>656</v>
      </c>
    </row>
    <row r="857" spans="1:13" x14ac:dyDescent="0.25">
      <c r="A857" t="s">
        <v>2066</v>
      </c>
      <c r="B857" t="s">
        <v>363</v>
      </c>
      <c r="C857" t="s">
        <v>1455</v>
      </c>
      <c r="D857" t="s">
        <v>659</v>
      </c>
      <c r="E857" t="s">
        <v>660</v>
      </c>
      <c r="F857">
        <v>19.989999999999998</v>
      </c>
      <c r="G857">
        <v>4</v>
      </c>
      <c r="H857">
        <v>0</v>
      </c>
      <c r="I857">
        <v>19.989999999999998</v>
      </c>
      <c r="J857">
        <v>79.959999999999994</v>
      </c>
      <c r="K857" t="s">
        <v>669</v>
      </c>
      <c r="L857" t="s">
        <v>656</v>
      </c>
      <c r="M857">
        <v>5</v>
      </c>
    </row>
    <row r="858" spans="1:13" x14ac:dyDescent="0.25">
      <c r="A858" t="s">
        <v>2067</v>
      </c>
      <c r="B858" t="s">
        <v>363</v>
      </c>
      <c r="C858" t="s">
        <v>1298</v>
      </c>
      <c r="D858" t="s">
        <v>653</v>
      </c>
      <c r="E858" t="s">
        <v>654</v>
      </c>
      <c r="F858">
        <v>39.99</v>
      </c>
      <c r="G858">
        <v>4</v>
      </c>
      <c r="H858">
        <v>15</v>
      </c>
      <c r="I858">
        <v>33.99</v>
      </c>
      <c r="J858">
        <v>135.96</v>
      </c>
      <c r="K858" t="s">
        <v>655</v>
      </c>
      <c r="L858" t="s">
        <v>656</v>
      </c>
      <c r="M858">
        <v>5</v>
      </c>
    </row>
    <row r="859" spans="1:13" x14ac:dyDescent="0.25">
      <c r="A859" t="s">
        <v>2068</v>
      </c>
      <c r="B859" t="s">
        <v>363</v>
      </c>
      <c r="C859" t="s">
        <v>1666</v>
      </c>
      <c r="D859" t="s">
        <v>710</v>
      </c>
      <c r="E859" t="s">
        <v>744</v>
      </c>
      <c r="F859">
        <v>29.99</v>
      </c>
      <c r="G859">
        <v>3</v>
      </c>
      <c r="H859">
        <v>20</v>
      </c>
      <c r="I859">
        <v>23.99</v>
      </c>
      <c r="J859">
        <v>71.97</v>
      </c>
      <c r="K859" t="s">
        <v>682</v>
      </c>
      <c r="L859" t="s">
        <v>656</v>
      </c>
    </row>
    <row r="860" spans="1:13" x14ac:dyDescent="0.25">
      <c r="A860" t="s">
        <v>2069</v>
      </c>
      <c r="B860" t="s">
        <v>363</v>
      </c>
      <c r="C860" t="s">
        <v>977</v>
      </c>
      <c r="D860" t="s">
        <v>653</v>
      </c>
      <c r="E860" t="s">
        <v>727</v>
      </c>
      <c r="F860">
        <v>14.99</v>
      </c>
      <c r="G860">
        <v>4</v>
      </c>
      <c r="H860">
        <v>15</v>
      </c>
      <c r="I860">
        <v>12.74</v>
      </c>
      <c r="J860">
        <v>50.96</v>
      </c>
      <c r="K860" t="s">
        <v>675</v>
      </c>
      <c r="L860" t="s">
        <v>656</v>
      </c>
    </row>
    <row r="861" spans="1:13" x14ac:dyDescent="0.25">
      <c r="A861" t="s">
        <v>2070</v>
      </c>
      <c r="B861" t="s">
        <v>363</v>
      </c>
      <c r="C861" t="s">
        <v>2071</v>
      </c>
      <c r="D861" t="s">
        <v>680</v>
      </c>
      <c r="E861" t="s">
        <v>688</v>
      </c>
      <c r="F861">
        <v>29.99</v>
      </c>
      <c r="G861">
        <v>4</v>
      </c>
      <c r="H861">
        <v>0</v>
      </c>
      <c r="I861">
        <v>29.99</v>
      </c>
      <c r="J861">
        <v>119.96</v>
      </c>
      <c r="K861" t="s">
        <v>669</v>
      </c>
      <c r="L861" t="s">
        <v>656</v>
      </c>
      <c r="M861">
        <v>5</v>
      </c>
    </row>
    <row r="862" spans="1:13" x14ac:dyDescent="0.25">
      <c r="A862" t="s">
        <v>2072</v>
      </c>
      <c r="B862" t="s">
        <v>363</v>
      </c>
      <c r="C862" t="s">
        <v>205</v>
      </c>
      <c r="D862" t="s">
        <v>680</v>
      </c>
      <c r="E862" t="s">
        <v>749</v>
      </c>
      <c r="F862">
        <v>14.99</v>
      </c>
      <c r="G862">
        <v>1</v>
      </c>
      <c r="H862">
        <v>5</v>
      </c>
      <c r="I862">
        <v>14.24</v>
      </c>
      <c r="J862">
        <v>14.24</v>
      </c>
      <c r="K862" t="s">
        <v>661</v>
      </c>
      <c r="L862" t="s">
        <v>656</v>
      </c>
      <c r="M862">
        <v>4</v>
      </c>
    </row>
    <row r="863" spans="1:13" x14ac:dyDescent="0.25">
      <c r="A863" t="s">
        <v>2073</v>
      </c>
      <c r="B863" t="s">
        <v>366</v>
      </c>
      <c r="C863" t="s">
        <v>1440</v>
      </c>
      <c r="D863" t="s">
        <v>667</v>
      </c>
      <c r="E863" t="s">
        <v>714</v>
      </c>
      <c r="F863">
        <v>44.99</v>
      </c>
      <c r="G863">
        <v>2</v>
      </c>
      <c r="H863">
        <v>15</v>
      </c>
      <c r="I863">
        <v>38.24</v>
      </c>
      <c r="J863">
        <v>76.48</v>
      </c>
      <c r="K863" t="s">
        <v>661</v>
      </c>
      <c r="L863" t="s">
        <v>656</v>
      </c>
      <c r="M863">
        <v>5</v>
      </c>
    </row>
    <row r="864" spans="1:13" x14ac:dyDescent="0.25">
      <c r="A864" t="s">
        <v>2074</v>
      </c>
      <c r="B864" t="s">
        <v>366</v>
      </c>
      <c r="C864" t="s">
        <v>1482</v>
      </c>
      <c r="D864" t="s">
        <v>667</v>
      </c>
      <c r="E864" t="s">
        <v>699</v>
      </c>
      <c r="F864">
        <v>89.99</v>
      </c>
      <c r="G864">
        <v>2</v>
      </c>
      <c r="H864">
        <v>0</v>
      </c>
      <c r="I864">
        <v>89.99</v>
      </c>
      <c r="J864">
        <v>179.98</v>
      </c>
      <c r="K864" t="s">
        <v>682</v>
      </c>
      <c r="L864" t="s">
        <v>656</v>
      </c>
      <c r="M864">
        <v>5</v>
      </c>
    </row>
    <row r="865" spans="1:13" x14ac:dyDescent="0.25">
      <c r="A865" t="s">
        <v>2075</v>
      </c>
      <c r="B865" t="s">
        <v>366</v>
      </c>
      <c r="C865" t="s">
        <v>1066</v>
      </c>
      <c r="D865" t="s">
        <v>667</v>
      </c>
      <c r="E865" t="s">
        <v>714</v>
      </c>
      <c r="F865">
        <v>44.99</v>
      </c>
      <c r="G865">
        <v>4</v>
      </c>
      <c r="H865">
        <v>0</v>
      </c>
      <c r="I865">
        <v>44.99</v>
      </c>
      <c r="J865">
        <v>179.96</v>
      </c>
      <c r="K865" t="s">
        <v>682</v>
      </c>
      <c r="L865" t="s">
        <v>656</v>
      </c>
    </row>
    <row r="866" spans="1:13" x14ac:dyDescent="0.25">
      <c r="A866" t="s">
        <v>2076</v>
      </c>
      <c r="B866" t="s">
        <v>366</v>
      </c>
      <c r="C866" t="s">
        <v>2077</v>
      </c>
      <c r="D866" t="s">
        <v>672</v>
      </c>
      <c r="E866" t="s">
        <v>735</v>
      </c>
      <c r="F866">
        <v>44.99</v>
      </c>
      <c r="G866">
        <v>2</v>
      </c>
      <c r="H866">
        <v>0</v>
      </c>
      <c r="I866">
        <v>44.99</v>
      </c>
      <c r="J866">
        <v>89.98</v>
      </c>
      <c r="K866" t="s">
        <v>661</v>
      </c>
      <c r="L866" t="s">
        <v>656</v>
      </c>
    </row>
    <row r="867" spans="1:13" x14ac:dyDescent="0.25">
      <c r="A867" t="s">
        <v>2078</v>
      </c>
      <c r="B867" t="s">
        <v>366</v>
      </c>
      <c r="C867" t="s">
        <v>870</v>
      </c>
      <c r="D867" t="s">
        <v>653</v>
      </c>
      <c r="E867" t="s">
        <v>827</v>
      </c>
      <c r="F867">
        <v>29.99</v>
      </c>
      <c r="G867">
        <v>2</v>
      </c>
      <c r="H867">
        <v>15</v>
      </c>
      <c r="I867">
        <v>25.49</v>
      </c>
      <c r="J867">
        <v>50.98</v>
      </c>
      <c r="K867" t="s">
        <v>675</v>
      </c>
      <c r="L867" t="s">
        <v>656</v>
      </c>
      <c r="M867">
        <v>4</v>
      </c>
    </row>
    <row r="868" spans="1:13" x14ac:dyDescent="0.25">
      <c r="A868" t="s">
        <v>2079</v>
      </c>
      <c r="B868" t="s">
        <v>366</v>
      </c>
      <c r="C868" t="s">
        <v>1848</v>
      </c>
      <c r="D868" t="s">
        <v>710</v>
      </c>
      <c r="E868" t="s">
        <v>744</v>
      </c>
      <c r="F868">
        <v>29.99</v>
      </c>
      <c r="G868">
        <v>2</v>
      </c>
      <c r="H868">
        <v>0</v>
      </c>
      <c r="I868">
        <v>29.99</v>
      </c>
      <c r="J868">
        <v>59.98</v>
      </c>
      <c r="K868" t="s">
        <v>669</v>
      </c>
      <c r="L868" t="s">
        <v>656</v>
      </c>
      <c r="M868">
        <v>3</v>
      </c>
    </row>
    <row r="869" spans="1:13" x14ac:dyDescent="0.25">
      <c r="A869" t="s">
        <v>2080</v>
      </c>
      <c r="B869" t="s">
        <v>366</v>
      </c>
      <c r="C869" t="s">
        <v>834</v>
      </c>
      <c r="D869" t="s">
        <v>710</v>
      </c>
      <c r="E869" t="s">
        <v>721</v>
      </c>
      <c r="F869">
        <v>24.99</v>
      </c>
      <c r="G869">
        <v>1</v>
      </c>
      <c r="H869">
        <v>0</v>
      </c>
      <c r="I869">
        <v>24.99</v>
      </c>
      <c r="J869">
        <v>24.99</v>
      </c>
      <c r="K869" t="s">
        <v>675</v>
      </c>
      <c r="L869" t="s">
        <v>656</v>
      </c>
      <c r="M869">
        <v>2</v>
      </c>
    </row>
    <row r="870" spans="1:13" x14ac:dyDescent="0.25">
      <c r="A870" t="s">
        <v>2081</v>
      </c>
      <c r="B870" t="s">
        <v>366</v>
      </c>
      <c r="C870" t="s">
        <v>1032</v>
      </c>
      <c r="D870" t="s">
        <v>659</v>
      </c>
      <c r="E870" t="s">
        <v>820</v>
      </c>
      <c r="F870">
        <v>39.99</v>
      </c>
      <c r="G870">
        <v>2</v>
      </c>
      <c r="H870">
        <v>10</v>
      </c>
      <c r="I870">
        <v>35.99</v>
      </c>
      <c r="J870">
        <v>71.98</v>
      </c>
      <c r="K870" t="s">
        <v>661</v>
      </c>
      <c r="L870" t="s">
        <v>656</v>
      </c>
      <c r="M870">
        <v>3</v>
      </c>
    </row>
    <row r="871" spans="1:13" x14ac:dyDescent="0.25">
      <c r="A871" t="s">
        <v>2082</v>
      </c>
      <c r="B871" t="s">
        <v>366</v>
      </c>
      <c r="C871" t="s">
        <v>2083</v>
      </c>
      <c r="D871" t="s">
        <v>672</v>
      </c>
      <c r="E871" t="s">
        <v>803</v>
      </c>
      <c r="F871">
        <v>69.989999999999995</v>
      </c>
      <c r="G871">
        <v>3</v>
      </c>
      <c r="H871">
        <v>5</v>
      </c>
      <c r="I871">
        <v>66.489999999999995</v>
      </c>
      <c r="J871">
        <v>199.47</v>
      </c>
      <c r="K871" t="s">
        <v>669</v>
      </c>
      <c r="L871" t="s">
        <v>656</v>
      </c>
      <c r="M871">
        <v>3</v>
      </c>
    </row>
    <row r="872" spans="1:13" x14ac:dyDescent="0.25">
      <c r="A872" t="s">
        <v>2084</v>
      </c>
      <c r="B872" t="s">
        <v>366</v>
      </c>
      <c r="C872" t="s">
        <v>2085</v>
      </c>
      <c r="D872" t="s">
        <v>684</v>
      </c>
      <c r="E872" t="s">
        <v>705</v>
      </c>
      <c r="F872">
        <v>79.989999999999995</v>
      </c>
      <c r="G872">
        <v>3</v>
      </c>
      <c r="H872">
        <v>5</v>
      </c>
      <c r="I872">
        <v>75.989999999999995</v>
      </c>
      <c r="J872">
        <v>227.97</v>
      </c>
      <c r="K872" t="s">
        <v>661</v>
      </c>
      <c r="L872" t="s">
        <v>656</v>
      </c>
      <c r="M872">
        <v>1</v>
      </c>
    </row>
    <row r="873" spans="1:13" x14ac:dyDescent="0.25">
      <c r="A873" t="s">
        <v>2086</v>
      </c>
      <c r="B873" t="s">
        <v>366</v>
      </c>
      <c r="C873" t="s">
        <v>2087</v>
      </c>
      <c r="D873" t="s">
        <v>684</v>
      </c>
      <c r="E873" t="s">
        <v>815</v>
      </c>
      <c r="F873">
        <v>34.99</v>
      </c>
      <c r="G873">
        <v>4</v>
      </c>
      <c r="H873">
        <v>5</v>
      </c>
      <c r="I873">
        <v>33.24</v>
      </c>
      <c r="J873">
        <v>132.96</v>
      </c>
      <c r="K873" t="s">
        <v>669</v>
      </c>
      <c r="L873" t="s">
        <v>656</v>
      </c>
    </row>
    <row r="874" spans="1:13" x14ac:dyDescent="0.25">
      <c r="A874" t="s">
        <v>2088</v>
      </c>
      <c r="B874" t="s">
        <v>369</v>
      </c>
      <c r="C874" t="s">
        <v>2089</v>
      </c>
      <c r="D874" t="s">
        <v>680</v>
      </c>
      <c r="E874" t="s">
        <v>708</v>
      </c>
      <c r="F874">
        <v>24.99</v>
      </c>
      <c r="G874">
        <v>4</v>
      </c>
      <c r="H874">
        <v>0</v>
      </c>
      <c r="I874">
        <v>24.99</v>
      </c>
      <c r="J874">
        <v>99.96</v>
      </c>
      <c r="K874" t="s">
        <v>675</v>
      </c>
      <c r="L874" t="s">
        <v>656</v>
      </c>
      <c r="M874">
        <v>3</v>
      </c>
    </row>
    <row r="875" spans="1:13" x14ac:dyDescent="0.25">
      <c r="A875" t="s">
        <v>2090</v>
      </c>
      <c r="B875" t="s">
        <v>369</v>
      </c>
      <c r="C875" t="s">
        <v>1726</v>
      </c>
      <c r="D875" t="s">
        <v>672</v>
      </c>
      <c r="E875" t="s">
        <v>673</v>
      </c>
      <c r="F875">
        <v>24.99</v>
      </c>
      <c r="G875">
        <v>3</v>
      </c>
      <c r="H875">
        <v>0</v>
      </c>
      <c r="I875">
        <v>24.99</v>
      </c>
      <c r="J875">
        <v>74.97</v>
      </c>
      <c r="K875" t="s">
        <v>669</v>
      </c>
      <c r="L875" t="s">
        <v>785</v>
      </c>
      <c r="M875">
        <v>4</v>
      </c>
    </row>
    <row r="876" spans="1:13" x14ac:dyDescent="0.25">
      <c r="A876" t="s">
        <v>2091</v>
      </c>
      <c r="B876" t="s">
        <v>369</v>
      </c>
      <c r="C876" t="s">
        <v>2092</v>
      </c>
      <c r="D876" t="s">
        <v>672</v>
      </c>
      <c r="E876" t="s">
        <v>724</v>
      </c>
      <c r="F876">
        <v>89.99</v>
      </c>
      <c r="G876">
        <v>3</v>
      </c>
      <c r="H876">
        <v>5</v>
      </c>
      <c r="I876">
        <v>85.49</v>
      </c>
      <c r="J876">
        <v>256.47000000000003</v>
      </c>
      <c r="K876" t="s">
        <v>675</v>
      </c>
      <c r="L876" t="s">
        <v>656</v>
      </c>
    </row>
    <row r="877" spans="1:13" x14ac:dyDescent="0.25">
      <c r="A877" t="s">
        <v>2093</v>
      </c>
      <c r="B877" t="s">
        <v>372</v>
      </c>
      <c r="C877" t="s">
        <v>1406</v>
      </c>
      <c r="D877" t="s">
        <v>653</v>
      </c>
      <c r="E877" t="s">
        <v>727</v>
      </c>
      <c r="F877">
        <v>14.99</v>
      </c>
      <c r="G877">
        <v>3</v>
      </c>
      <c r="H877">
        <v>0</v>
      </c>
      <c r="I877">
        <v>14.99</v>
      </c>
      <c r="J877">
        <v>44.97</v>
      </c>
      <c r="K877" t="s">
        <v>669</v>
      </c>
      <c r="L877" t="s">
        <v>656</v>
      </c>
      <c r="M877">
        <v>5</v>
      </c>
    </row>
    <row r="878" spans="1:13" x14ac:dyDescent="0.25">
      <c r="A878" t="s">
        <v>2094</v>
      </c>
      <c r="B878" t="s">
        <v>372</v>
      </c>
      <c r="C878" t="s">
        <v>2095</v>
      </c>
      <c r="D878" t="s">
        <v>653</v>
      </c>
      <c r="E878" t="s">
        <v>654</v>
      </c>
      <c r="F878">
        <v>39.99</v>
      </c>
      <c r="G878">
        <v>1</v>
      </c>
      <c r="H878">
        <v>0</v>
      </c>
      <c r="I878">
        <v>39.99</v>
      </c>
      <c r="J878">
        <v>39.99</v>
      </c>
      <c r="K878" t="s">
        <v>655</v>
      </c>
      <c r="L878" t="s">
        <v>739</v>
      </c>
      <c r="M878">
        <v>4</v>
      </c>
    </row>
    <row r="879" spans="1:13" x14ac:dyDescent="0.25">
      <c r="A879" t="s">
        <v>2096</v>
      </c>
      <c r="B879" t="s">
        <v>372</v>
      </c>
      <c r="C879" t="s">
        <v>2097</v>
      </c>
      <c r="D879" t="s">
        <v>672</v>
      </c>
      <c r="E879" t="s">
        <v>803</v>
      </c>
      <c r="F879">
        <v>69.989999999999995</v>
      </c>
      <c r="G879">
        <v>1</v>
      </c>
      <c r="H879">
        <v>15</v>
      </c>
      <c r="I879">
        <v>59.49</v>
      </c>
      <c r="J879">
        <v>59.49</v>
      </c>
      <c r="K879" t="s">
        <v>655</v>
      </c>
      <c r="L879" t="s">
        <v>656</v>
      </c>
    </row>
    <row r="880" spans="1:13" x14ac:dyDescent="0.25">
      <c r="A880" t="s">
        <v>2098</v>
      </c>
      <c r="B880" t="s">
        <v>372</v>
      </c>
      <c r="C880" t="s">
        <v>1308</v>
      </c>
      <c r="D880" t="s">
        <v>672</v>
      </c>
      <c r="E880" t="s">
        <v>673</v>
      </c>
      <c r="F880">
        <v>24.99</v>
      </c>
      <c r="G880">
        <v>1</v>
      </c>
      <c r="H880">
        <v>0</v>
      </c>
      <c r="I880">
        <v>24.99</v>
      </c>
      <c r="J880">
        <v>24.99</v>
      </c>
      <c r="K880" t="s">
        <v>669</v>
      </c>
      <c r="L880" t="s">
        <v>656</v>
      </c>
      <c r="M880">
        <v>3</v>
      </c>
    </row>
    <row r="881" spans="1:13" x14ac:dyDescent="0.25">
      <c r="A881" t="s">
        <v>2099</v>
      </c>
      <c r="B881" t="s">
        <v>372</v>
      </c>
      <c r="C881" t="s">
        <v>565</v>
      </c>
      <c r="D881" t="s">
        <v>672</v>
      </c>
      <c r="E881" t="s">
        <v>803</v>
      </c>
      <c r="F881">
        <v>69.989999999999995</v>
      </c>
      <c r="G881">
        <v>4</v>
      </c>
      <c r="H881">
        <v>15</v>
      </c>
      <c r="I881">
        <v>59.49</v>
      </c>
      <c r="J881">
        <v>237.96</v>
      </c>
      <c r="K881" t="s">
        <v>682</v>
      </c>
      <c r="L881" t="s">
        <v>656</v>
      </c>
      <c r="M881">
        <v>5</v>
      </c>
    </row>
    <row r="882" spans="1:13" x14ac:dyDescent="0.25">
      <c r="A882" t="s">
        <v>2100</v>
      </c>
      <c r="B882" t="s">
        <v>372</v>
      </c>
      <c r="C882" t="s">
        <v>2101</v>
      </c>
      <c r="D882" t="s">
        <v>659</v>
      </c>
      <c r="E882" t="s">
        <v>762</v>
      </c>
      <c r="F882">
        <v>49.99</v>
      </c>
      <c r="G882">
        <v>2</v>
      </c>
      <c r="H882">
        <v>20</v>
      </c>
      <c r="I882">
        <v>39.99</v>
      </c>
      <c r="J882">
        <v>79.98</v>
      </c>
      <c r="K882" t="s">
        <v>669</v>
      </c>
      <c r="L882" t="s">
        <v>656</v>
      </c>
      <c r="M882">
        <v>3</v>
      </c>
    </row>
    <row r="883" spans="1:13" x14ac:dyDescent="0.25">
      <c r="A883" t="s">
        <v>2102</v>
      </c>
      <c r="B883" t="s">
        <v>372</v>
      </c>
      <c r="C883" t="s">
        <v>1169</v>
      </c>
      <c r="D883" t="s">
        <v>710</v>
      </c>
      <c r="E883" t="s">
        <v>711</v>
      </c>
      <c r="F883">
        <v>14.99</v>
      </c>
      <c r="G883">
        <v>2</v>
      </c>
      <c r="H883">
        <v>10</v>
      </c>
      <c r="I883">
        <v>13.49</v>
      </c>
      <c r="J883">
        <v>26.98</v>
      </c>
      <c r="K883" t="s">
        <v>669</v>
      </c>
      <c r="L883" t="s">
        <v>693</v>
      </c>
    </row>
    <row r="884" spans="1:13" x14ac:dyDescent="0.25">
      <c r="A884" t="s">
        <v>2103</v>
      </c>
      <c r="B884" t="s">
        <v>372</v>
      </c>
      <c r="C884" t="s">
        <v>2104</v>
      </c>
      <c r="D884" t="s">
        <v>672</v>
      </c>
      <c r="E884" t="s">
        <v>724</v>
      </c>
      <c r="F884">
        <v>89.99</v>
      </c>
      <c r="G884">
        <v>3</v>
      </c>
      <c r="H884">
        <v>15</v>
      </c>
      <c r="I884">
        <v>76.489999999999995</v>
      </c>
      <c r="J884">
        <v>229.47</v>
      </c>
      <c r="K884" t="s">
        <v>682</v>
      </c>
      <c r="L884" t="s">
        <v>693</v>
      </c>
    </row>
    <row r="885" spans="1:13" x14ac:dyDescent="0.25">
      <c r="A885" t="s">
        <v>2105</v>
      </c>
      <c r="B885" t="s">
        <v>372</v>
      </c>
      <c r="C885" t="s">
        <v>966</v>
      </c>
      <c r="D885" t="s">
        <v>667</v>
      </c>
      <c r="E885" t="s">
        <v>714</v>
      </c>
      <c r="F885">
        <v>44.99</v>
      </c>
      <c r="G885">
        <v>1</v>
      </c>
      <c r="H885">
        <v>0</v>
      </c>
      <c r="I885">
        <v>44.99</v>
      </c>
      <c r="J885">
        <v>44.99</v>
      </c>
      <c r="K885" t="s">
        <v>655</v>
      </c>
      <c r="L885" t="s">
        <v>656</v>
      </c>
    </row>
    <row r="886" spans="1:13" x14ac:dyDescent="0.25">
      <c r="A886" t="s">
        <v>2106</v>
      </c>
      <c r="B886" t="s">
        <v>372</v>
      </c>
      <c r="C886" t="s">
        <v>1184</v>
      </c>
      <c r="D886" t="s">
        <v>680</v>
      </c>
      <c r="E886" t="s">
        <v>749</v>
      </c>
      <c r="F886">
        <v>14.99</v>
      </c>
      <c r="G886">
        <v>3</v>
      </c>
      <c r="H886">
        <v>10</v>
      </c>
      <c r="I886">
        <v>13.49</v>
      </c>
      <c r="J886">
        <v>40.47</v>
      </c>
      <c r="K886" t="s">
        <v>669</v>
      </c>
      <c r="L886" t="s">
        <v>656</v>
      </c>
      <c r="M886">
        <v>4</v>
      </c>
    </row>
    <row r="887" spans="1:13" x14ac:dyDescent="0.25">
      <c r="A887" t="s">
        <v>2107</v>
      </c>
      <c r="B887" t="s">
        <v>372</v>
      </c>
      <c r="C887" t="s">
        <v>286</v>
      </c>
      <c r="D887" t="s">
        <v>672</v>
      </c>
      <c r="E887" t="s">
        <v>724</v>
      </c>
      <c r="F887">
        <v>89.99</v>
      </c>
      <c r="G887">
        <v>4</v>
      </c>
      <c r="H887">
        <v>10</v>
      </c>
      <c r="I887">
        <v>80.989999999999995</v>
      </c>
      <c r="J887">
        <v>323.95999999999998</v>
      </c>
      <c r="K887" t="s">
        <v>655</v>
      </c>
      <c r="L887" t="s">
        <v>656</v>
      </c>
      <c r="M887">
        <v>4</v>
      </c>
    </row>
    <row r="888" spans="1:13" x14ac:dyDescent="0.25">
      <c r="A888" t="s">
        <v>2108</v>
      </c>
      <c r="B888" t="s">
        <v>372</v>
      </c>
      <c r="C888" t="s">
        <v>832</v>
      </c>
      <c r="D888" t="s">
        <v>653</v>
      </c>
      <c r="E888" t="s">
        <v>727</v>
      </c>
      <c r="F888">
        <v>14.99</v>
      </c>
      <c r="G888">
        <v>3</v>
      </c>
      <c r="H888">
        <v>15</v>
      </c>
      <c r="I888">
        <v>12.74</v>
      </c>
      <c r="J888">
        <v>38.22</v>
      </c>
      <c r="K888" t="s">
        <v>661</v>
      </c>
      <c r="L888" t="s">
        <v>656</v>
      </c>
      <c r="M888">
        <v>5</v>
      </c>
    </row>
    <row r="889" spans="1:13" x14ac:dyDescent="0.25">
      <c r="A889" t="s">
        <v>2109</v>
      </c>
      <c r="B889" t="s">
        <v>372</v>
      </c>
      <c r="C889" t="s">
        <v>1472</v>
      </c>
      <c r="D889" t="s">
        <v>672</v>
      </c>
      <c r="E889" t="s">
        <v>673</v>
      </c>
      <c r="F889">
        <v>24.99</v>
      </c>
      <c r="G889">
        <v>4</v>
      </c>
      <c r="H889">
        <v>15</v>
      </c>
      <c r="I889">
        <v>21.24</v>
      </c>
      <c r="J889">
        <v>84.96</v>
      </c>
      <c r="K889" t="s">
        <v>675</v>
      </c>
      <c r="L889" t="s">
        <v>656</v>
      </c>
    </row>
    <row r="890" spans="1:13" x14ac:dyDescent="0.25">
      <c r="A890" t="s">
        <v>2110</v>
      </c>
      <c r="B890" t="s">
        <v>375</v>
      </c>
      <c r="C890" t="s">
        <v>1224</v>
      </c>
      <c r="D890" t="s">
        <v>672</v>
      </c>
      <c r="E890" t="s">
        <v>724</v>
      </c>
      <c r="F890">
        <v>89.99</v>
      </c>
      <c r="G890">
        <v>1</v>
      </c>
      <c r="H890">
        <v>0</v>
      </c>
      <c r="I890">
        <v>89.99</v>
      </c>
      <c r="J890">
        <v>89.99</v>
      </c>
      <c r="K890" t="s">
        <v>655</v>
      </c>
      <c r="L890" t="s">
        <v>656</v>
      </c>
      <c r="M890">
        <v>5</v>
      </c>
    </row>
    <row r="891" spans="1:13" x14ac:dyDescent="0.25">
      <c r="A891" t="s">
        <v>2111</v>
      </c>
      <c r="B891" t="s">
        <v>375</v>
      </c>
      <c r="C891" t="s">
        <v>2112</v>
      </c>
      <c r="D891" t="s">
        <v>672</v>
      </c>
      <c r="E891" t="s">
        <v>673</v>
      </c>
      <c r="F891">
        <v>24.99</v>
      </c>
      <c r="G891">
        <v>3</v>
      </c>
      <c r="H891">
        <v>0</v>
      </c>
      <c r="I891">
        <v>24.99</v>
      </c>
      <c r="J891">
        <v>74.97</v>
      </c>
      <c r="K891" t="s">
        <v>655</v>
      </c>
      <c r="L891" t="s">
        <v>656</v>
      </c>
      <c r="M891">
        <v>5</v>
      </c>
    </row>
    <row r="892" spans="1:13" x14ac:dyDescent="0.25">
      <c r="A892" t="s">
        <v>2113</v>
      </c>
      <c r="B892" t="s">
        <v>375</v>
      </c>
      <c r="C892" t="s">
        <v>2114</v>
      </c>
      <c r="D892" t="s">
        <v>672</v>
      </c>
      <c r="E892" t="s">
        <v>735</v>
      </c>
      <c r="F892">
        <v>44.99</v>
      </c>
      <c r="G892">
        <v>2</v>
      </c>
      <c r="H892">
        <v>10</v>
      </c>
      <c r="I892">
        <v>40.49</v>
      </c>
      <c r="J892">
        <v>80.98</v>
      </c>
      <c r="K892" t="s">
        <v>682</v>
      </c>
      <c r="L892" t="s">
        <v>656</v>
      </c>
      <c r="M892">
        <v>3</v>
      </c>
    </row>
    <row r="893" spans="1:13" x14ac:dyDescent="0.25">
      <c r="A893" t="s">
        <v>2115</v>
      </c>
      <c r="B893" t="s">
        <v>375</v>
      </c>
      <c r="C893" t="s">
        <v>2116</v>
      </c>
      <c r="D893" t="s">
        <v>680</v>
      </c>
      <c r="E893" t="s">
        <v>688</v>
      </c>
      <c r="F893">
        <v>29.99</v>
      </c>
      <c r="G893">
        <v>4</v>
      </c>
      <c r="H893">
        <v>20</v>
      </c>
      <c r="I893">
        <v>23.99</v>
      </c>
      <c r="J893">
        <v>95.96</v>
      </c>
      <c r="K893" t="s">
        <v>669</v>
      </c>
      <c r="L893" t="s">
        <v>656</v>
      </c>
      <c r="M893">
        <v>4</v>
      </c>
    </row>
    <row r="894" spans="1:13" x14ac:dyDescent="0.25">
      <c r="A894" t="s">
        <v>2117</v>
      </c>
      <c r="B894" t="s">
        <v>375</v>
      </c>
      <c r="C894" t="s">
        <v>2118</v>
      </c>
      <c r="D894" t="s">
        <v>710</v>
      </c>
      <c r="E894" t="s">
        <v>744</v>
      </c>
      <c r="F894">
        <v>29.99</v>
      </c>
      <c r="G894">
        <v>4</v>
      </c>
      <c r="H894">
        <v>10</v>
      </c>
      <c r="I894">
        <v>26.99</v>
      </c>
      <c r="J894">
        <v>107.96</v>
      </c>
      <c r="K894" t="s">
        <v>675</v>
      </c>
      <c r="L894" t="s">
        <v>656</v>
      </c>
      <c r="M894">
        <v>5</v>
      </c>
    </row>
    <row r="895" spans="1:13" x14ac:dyDescent="0.25">
      <c r="A895" t="s">
        <v>2119</v>
      </c>
      <c r="B895" t="s">
        <v>375</v>
      </c>
      <c r="C895" t="s">
        <v>1020</v>
      </c>
      <c r="D895" t="s">
        <v>653</v>
      </c>
      <c r="E895" t="s">
        <v>769</v>
      </c>
      <c r="F895">
        <v>49.99</v>
      </c>
      <c r="G895">
        <v>4</v>
      </c>
      <c r="H895">
        <v>0</v>
      </c>
      <c r="I895">
        <v>49.99</v>
      </c>
      <c r="J895">
        <v>199.96</v>
      </c>
      <c r="K895" t="s">
        <v>669</v>
      </c>
      <c r="L895" t="s">
        <v>656</v>
      </c>
      <c r="M895">
        <v>4</v>
      </c>
    </row>
    <row r="896" spans="1:13" x14ac:dyDescent="0.25">
      <c r="A896" t="s">
        <v>2120</v>
      </c>
      <c r="B896" t="s">
        <v>378</v>
      </c>
      <c r="C896" t="s">
        <v>2121</v>
      </c>
      <c r="D896" t="s">
        <v>684</v>
      </c>
      <c r="E896" t="s">
        <v>702</v>
      </c>
      <c r="F896">
        <v>199.99</v>
      </c>
      <c r="G896">
        <v>3</v>
      </c>
      <c r="H896">
        <v>15</v>
      </c>
      <c r="I896">
        <v>169.99</v>
      </c>
      <c r="J896">
        <v>509.97</v>
      </c>
      <c r="K896" t="s">
        <v>675</v>
      </c>
      <c r="L896" t="s">
        <v>656</v>
      </c>
      <c r="M896">
        <v>4</v>
      </c>
    </row>
    <row r="897" spans="1:13" x14ac:dyDescent="0.25">
      <c r="A897" t="s">
        <v>2122</v>
      </c>
      <c r="B897" t="s">
        <v>378</v>
      </c>
      <c r="C897" t="s">
        <v>2123</v>
      </c>
      <c r="D897" t="s">
        <v>659</v>
      </c>
      <c r="E897" t="s">
        <v>660</v>
      </c>
      <c r="F897">
        <v>19.989999999999998</v>
      </c>
      <c r="G897">
        <v>4</v>
      </c>
      <c r="H897">
        <v>0</v>
      </c>
      <c r="I897">
        <v>19.989999999999998</v>
      </c>
      <c r="J897">
        <v>79.959999999999994</v>
      </c>
      <c r="K897" t="s">
        <v>675</v>
      </c>
      <c r="L897" t="s">
        <v>656</v>
      </c>
      <c r="M897">
        <v>4</v>
      </c>
    </row>
    <row r="898" spans="1:13" x14ac:dyDescent="0.25">
      <c r="A898" t="s">
        <v>2124</v>
      </c>
      <c r="B898" t="s">
        <v>378</v>
      </c>
      <c r="C898" t="s">
        <v>1108</v>
      </c>
      <c r="D898" t="s">
        <v>672</v>
      </c>
      <c r="E898" t="s">
        <v>803</v>
      </c>
      <c r="F898">
        <v>69.989999999999995</v>
      </c>
      <c r="G898">
        <v>1</v>
      </c>
      <c r="H898">
        <v>15</v>
      </c>
      <c r="I898">
        <v>59.49</v>
      </c>
      <c r="J898">
        <v>59.49</v>
      </c>
      <c r="K898" t="s">
        <v>682</v>
      </c>
      <c r="L898" t="s">
        <v>739</v>
      </c>
    </row>
    <row r="899" spans="1:13" x14ac:dyDescent="0.25">
      <c r="A899" t="s">
        <v>2125</v>
      </c>
      <c r="B899" t="s">
        <v>378</v>
      </c>
      <c r="C899" t="s">
        <v>39</v>
      </c>
      <c r="D899" t="s">
        <v>653</v>
      </c>
      <c r="E899" t="s">
        <v>827</v>
      </c>
      <c r="F899">
        <v>29.99</v>
      </c>
      <c r="G899">
        <v>3</v>
      </c>
      <c r="H899">
        <v>15</v>
      </c>
      <c r="I899">
        <v>25.49</v>
      </c>
      <c r="J899">
        <v>76.47</v>
      </c>
      <c r="K899" t="s">
        <v>675</v>
      </c>
      <c r="L899" t="s">
        <v>656</v>
      </c>
    </row>
    <row r="900" spans="1:13" x14ac:dyDescent="0.25">
      <c r="A900" t="s">
        <v>2126</v>
      </c>
      <c r="B900" t="s">
        <v>378</v>
      </c>
      <c r="C900" t="s">
        <v>2127</v>
      </c>
      <c r="D900" t="s">
        <v>659</v>
      </c>
      <c r="E900" t="s">
        <v>762</v>
      </c>
      <c r="F900">
        <v>49.99</v>
      </c>
      <c r="G900">
        <v>1</v>
      </c>
      <c r="H900">
        <v>0</v>
      </c>
      <c r="I900">
        <v>49.99</v>
      </c>
      <c r="J900">
        <v>49.99</v>
      </c>
      <c r="K900" t="s">
        <v>675</v>
      </c>
      <c r="L900" t="s">
        <v>656</v>
      </c>
    </row>
    <row r="901" spans="1:13" x14ac:dyDescent="0.25">
      <c r="A901" t="s">
        <v>2128</v>
      </c>
      <c r="B901" t="s">
        <v>381</v>
      </c>
      <c r="C901" t="s">
        <v>1874</v>
      </c>
      <c r="D901" t="s">
        <v>710</v>
      </c>
      <c r="E901" t="s">
        <v>721</v>
      </c>
      <c r="F901">
        <v>24.99</v>
      </c>
      <c r="G901">
        <v>3</v>
      </c>
      <c r="H901">
        <v>5</v>
      </c>
      <c r="I901">
        <v>23.74</v>
      </c>
      <c r="J901">
        <v>71.22</v>
      </c>
      <c r="K901" t="s">
        <v>661</v>
      </c>
      <c r="L901" t="s">
        <v>656</v>
      </c>
    </row>
    <row r="902" spans="1:13" x14ac:dyDescent="0.25">
      <c r="A902" t="s">
        <v>2129</v>
      </c>
      <c r="B902" t="s">
        <v>381</v>
      </c>
      <c r="C902" t="s">
        <v>687</v>
      </c>
      <c r="D902" t="s">
        <v>684</v>
      </c>
      <c r="E902" t="s">
        <v>705</v>
      </c>
      <c r="F902">
        <v>79.989999999999995</v>
      </c>
      <c r="G902">
        <v>3</v>
      </c>
      <c r="H902">
        <v>20</v>
      </c>
      <c r="I902">
        <v>63.99</v>
      </c>
      <c r="J902">
        <v>191.97</v>
      </c>
      <c r="K902" t="s">
        <v>675</v>
      </c>
      <c r="L902" t="s">
        <v>656</v>
      </c>
      <c r="M902">
        <v>3</v>
      </c>
    </row>
    <row r="903" spans="1:13" x14ac:dyDescent="0.25">
      <c r="A903" t="s">
        <v>2130</v>
      </c>
      <c r="B903" t="s">
        <v>381</v>
      </c>
      <c r="C903" t="s">
        <v>2131</v>
      </c>
      <c r="D903" t="s">
        <v>672</v>
      </c>
      <c r="E903" t="s">
        <v>803</v>
      </c>
      <c r="F903">
        <v>69.989999999999995</v>
      </c>
      <c r="G903">
        <v>4</v>
      </c>
      <c r="H903">
        <v>5</v>
      </c>
      <c r="I903">
        <v>66.489999999999995</v>
      </c>
      <c r="J903">
        <v>265.95999999999998</v>
      </c>
      <c r="K903" t="s">
        <v>661</v>
      </c>
      <c r="L903" t="s">
        <v>656</v>
      </c>
    </row>
    <row r="904" spans="1:13" x14ac:dyDescent="0.25">
      <c r="A904" t="s">
        <v>2132</v>
      </c>
      <c r="B904" t="s">
        <v>381</v>
      </c>
      <c r="C904" t="s">
        <v>1549</v>
      </c>
      <c r="D904" t="s">
        <v>653</v>
      </c>
      <c r="E904" t="s">
        <v>727</v>
      </c>
      <c r="F904">
        <v>14.99</v>
      </c>
      <c r="G904">
        <v>4</v>
      </c>
      <c r="H904">
        <v>0</v>
      </c>
      <c r="I904">
        <v>14.99</v>
      </c>
      <c r="J904">
        <v>59.96</v>
      </c>
      <c r="K904" t="s">
        <v>669</v>
      </c>
      <c r="L904" t="s">
        <v>656</v>
      </c>
    </row>
    <row r="905" spans="1:13" x14ac:dyDescent="0.25">
      <c r="A905" t="s">
        <v>2133</v>
      </c>
      <c r="B905" t="s">
        <v>381</v>
      </c>
      <c r="C905" t="s">
        <v>503</v>
      </c>
      <c r="D905" t="s">
        <v>659</v>
      </c>
      <c r="E905" t="s">
        <v>762</v>
      </c>
      <c r="F905">
        <v>49.99</v>
      </c>
      <c r="G905">
        <v>4</v>
      </c>
      <c r="H905">
        <v>0</v>
      </c>
      <c r="I905">
        <v>49.99</v>
      </c>
      <c r="J905">
        <v>199.96</v>
      </c>
      <c r="K905" t="s">
        <v>655</v>
      </c>
      <c r="L905" t="s">
        <v>656</v>
      </c>
      <c r="M905">
        <v>4</v>
      </c>
    </row>
    <row r="906" spans="1:13" x14ac:dyDescent="0.25">
      <c r="A906" t="s">
        <v>2134</v>
      </c>
      <c r="B906" t="s">
        <v>381</v>
      </c>
      <c r="C906" t="s">
        <v>72</v>
      </c>
      <c r="D906" t="s">
        <v>653</v>
      </c>
      <c r="E906" t="s">
        <v>654</v>
      </c>
      <c r="F906">
        <v>39.99</v>
      </c>
      <c r="G906">
        <v>4</v>
      </c>
      <c r="H906">
        <v>10</v>
      </c>
      <c r="I906">
        <v>35.99</v>
      </c>
      <c r="J906">
        <v>143.96</v>
      </c>
      <c r="K906" t="s">
        <v>675</v>
      </c>
      <c r="L906" t="s">
        <v>656</v>
      </c>
    </row>
    <row r="907" spans="1:13" x14ac:dyDescent="0.25">
      <c r="A907" t="s">
        <v>2135</v>
      </c>
      <c r="B907" t="s">
        <v>381</v>
      </c>
      <c r="C907" t="s">
        <v>1375</v>
      </c>
      <c r="D907" t="s">
        <v>684</v>
      </c>
      <c r="E907" t="s">
        <v>685</v>
      </c>
      <c r="F907">
        <v>49.99</v>
      </c>
      <c r="G907">
        <v>2</v>
      </c>
      <c r="H907">
        <v>0</v>
      </c>
      <c r="I907">
        <v>49.99</v>
      </c>
      <c r="J907">
        <v>99.98</v>
      </c>
      <c r="K907" t="s">
        <v>675</v>
      </c>
      <c r="L907" t="s">
        <v>656</v>
      </c>
      <c r="M907">
        <v>4</v>
      </c>
    </row>
    <row r="908" spans="1:13" x14ac:dyDescent="0.25">
      <c r="A908" t="s">
        <v>2136</v>
      </c>
      <c r="B908" t="s">
        <v>381</v>
      </c>
      <c r="C908" t="s">
        <v>2137</v>
      </c>
      <c r="D908" t="s">
        <v>659</v>
      </c>
      <c r="E908" t="s">
        <v>762</v>
      </c>
      <c r="F908">
        <v>49.99</v>
      </c>
      <c r="G908">
        <v>4</v>
      </c>
      <c r="H908">
        <v>20</v>
      </c>
      <c r="I908">
        <v>39.99</v>
      </c>
      <c r="J908">
        <v>159.96</v>
      </c>
      <c r="K908" t="s">
        <v>661</v>
      </c>
      <c r="L908" t="s">
        <v>693</v>
      </c>
      <c r="M908">
        <v>5</v>
      </c>
    </row>
    <row r="909" spans="1:13" x14ac:dyDescent="0.25">
      <c r="A909" t="s">
        <v>2138</v>
      </c>
      <c r="B909" t="s">
        <v>381</v>
      </c>
      <c r="C909" t="s">
        <v>2139</v>
      </c>
      <c r="D909" t="s">
        <v>667</v>
      </c>
      <c r="E909" t="s">
        <v>714</v>
      </c>
      <c r="F909">
        <v>44.99</v>
      </c>
      <c r="G909">
        <v>3</v>
      </c>
      <c r="H909">
        <v>20</v>
      </c>
      <c r="I909">
        <v>35.99</v>
      </c>
      <c r="J909">
        <v>107.97</v>
      </c>
      <c r="K909" t="s">
        <v>661</v>
      </c>
      <c r="L909" t="s">
        <v>656</v>
      </c>
      <c r="M909">
        <v>4</v>
      </c>
    </row>
    <row r="910" spans="1:13" x14ac:dyDescent="0.25">
      <c r="A910" t="s">
        <v>2140</v>
      </c>
      <c r="B910" t="s">
        <v>381</v>
      </c>
      <c r="C910" t="s">
        <v>1015</v>
      </c>
      <c r="D910" t="s">
        <v>659</v>
      </c>
      <c r="E910" t="s">
        <v>820</v>
      </c>
      <c r="F910">
        <v>39.99</v>
      </c>
      <c r="G910">
        <v>4</v>
      </c>
      <c r="H910">
        <v>0</v>
      </c>
      <c r="I910">
        <v>39.99</v>
      </c>
      <c r="J910">
        <v>159.96</v>
      </c>
      <c r="K910" t="s">
        <v>675</v>
      </c>
      <c r="L910" t="s">
        <v>656</v>
      </c>
      <c r="M910">
        <v>4</v>
      </c>
    </row>
    <row r="911" spans="1:13" x14ac:dyDescent="0.25">
      <c r="A911" t="s">
        <v>2141</v>
      </c>
      <c r="B911" t="s">
        <v>381</v>
      </c>
      <c r="C911" t="s">
        <v>741</v>
      </c>
      <c r="D911" t="s">
        <v>680</v>
      </c>
      <c r="E911" t="s">
        <v>749</v>
      </c>
      <c r="F911">
        <v>14.99</v>
      </c>
      <c r="G911">
        <v>2</v>
      </c>
      <c r="H911">
        <v>5</v>
      </c>
      <c r="I911">
        <v>14.24</v>
      </c>
      <c r="J911">
        <v>28.48</v>
      </c>
      <c r="K911" t="s">
        <v>682</v>
      </c>
      <c r="L911" t="s">
        <v>656</v>
      </c>
      <c r="M911">
        <v>2</v>
      </c>
    </row>
    <row r="912" spans="1:13" x14ac:dyDescent="0.25">
      <c r="A912" t="s">
        <v>2142</v>
      </c>
      <c r="B912" t="s">
        <v>381</v>
      </c>
      <c r="C912" t="s">
        <v>2143</v>
      </c>
      <c r="D912" t="s">
        <v>667</v>
      </c>
      <c r="E912" t="s">
        <v>696</v>
      </c>
      <c r="F912">
        <v>59.99</v>
      </c>
      <c r="G912">
        <v>4</v>
      </c>
      <c r="H912">
        <v>0</v>
      </c>
      <c r="I912">
        <v>59.99</v>
      </c>
      <c r="J912">
        <v>239.96</v>
      </c>
      <c r="K912" t="s">
        <v>675</v>
      </c>
      <c r="L912" t="s">
        <v>656</v>
      </c>
      <c r="M912">
        <v>3</v>
      </c>
    </row>
    <row r="913" spans="1:13" x14ac:dyDescent="0.25">
      <c r="A913" t="s">
        <v>2144</v>
      </c>
      <c r="B913" t="s">
        <v>381</v>
      </c>
      <c r="C913" t="s">
        <v>1343</v>
      </c>
      <c r="D913" t="s">
        <v>684</v>
      </c>
      <c r="E913" t="s">
        <v>815</v>
      </c>
      <c r="F913">
        <v>34.99</v>
      </c>
      <c r="G913">
        <v>1</v>
      </c>
      <c r="H913">
        <v>0</v>
      </c>
      <c r="I913">
        <v>34.99</v>
      </c>
      <c r="J913">
        <v>34.99</v>
      </c>
      <c r="K913" t="s">
        <v>675</v>
      </c>
      <c r="L913" t="s">
        <v>656</v>
      </c>
    </row>
    <row r="914" spans="1:13" x14ac:dyDescent="0.25">
      <c r="A914" t="s">
        <v>2145</v>
      </c>
      <c r="B914" t="s">
        <v>381</v>
      </c>
      <c r="C914" t="s">
        <v>1182</v>
      </c>
      <c r="D914" t="s">
        <v>680</v>
      </c>
      <c r="E914" t="s">
        <v>708</v>
      </c>
      <c r="F914">
        <v>24.99</v>
      </c>
      <c r="G914">
        <v>2</v>
      </c>
      <c r="H914">
        <v>0</v>
      </c>
      <c r="I914">
        <v>24.99</v>
      </c>
      <c r="J914">
        <v>49.98</v>
      </c>
      <c r="K914" t="s">
        <v>655</v>
      </c>
      <c r="L914" t="s">
        <v>656</v>
      </c>
    </row>
    <row r="915" spans="1:13" x14ac:dyDescent="0.25">
      <c r="A915" t="s">
        <v>2146</v>
      </c>
      <c r="B915" t="s">
        <v>381</v>
      </c>
      <c r="C915" t="s">
        <v>2147</v>
      </c>
      <c r="D915" t="s">
        <v>684</v>
      </c>
      <c r="E915" t="s">
        <v>705</v>
      </c>
      <c r="F915">
        <v>79.989999999999995</v>
      </c>
      <c r="G915">
        <v>1</v>
      </c>
      <c r="H915">
        <v>20</v>
      </c>
      <c r="I915">
        <v>63.99</v>
      </c>
      <c r="J915">
        <v>63.99</v>
      </c>
      <c r="K915" t="s">
        <v>661</v>
      </c>
      <c r="L915" t="s">
        <v>656</v>
      </c>
      <c r="M915">
        <v>5</v>
      </c>
    </row>
    <row r="916" spans="1:13" x14ac:dyDescent="0.25">
      <c r="A916" t="s">
        <v>2148</v>
      </c>
      <c r="B916" t="s">
        <v>384</v>
      </c>
      <c r="C916" t="s">
        <v>889</v>
      </c>
      <c r="D916" t="s">
        <v>672</v>
      </c>
      <c r="E916" t="s">
        <v>724</v>
      </c>
      <c r="F916">
        <v>89.99</v>
      </c>
      <c r="G916">
        <v>2</v>
      </c>
      <c r="H916">
        <v>10</v>
      </c>
      <c r="I916">
        <v>80.989999999999995</v>
      </c>
      <c r="J916">
        <v>161.97999999999999</v>
      </c>
      <c r="K916" t="s">
        <v>675</v>
      </c>
      <c r="L916" t="s">
        <v>788</v>
      </c>
      <c r="M916">
        <v>3</v>
      </c>
    </row>
    <row r="917" spans="1:13" x14ac:dyDescent="0.25">
      <c r="A917" t="s">
        <v>2149</v>
      </c>
      <c r="B917" t="s">
        <v>384</v>
      </c>
      <c r="C917" t="s">
        <v>1265</v>
      </c>
      <c r="D917" t="s">
        <v>684</v>
      </c>
      <c r="E917" t="s">
        <v>815</v>
      </c>
      <c r="F917">
        <v>34.99</v>
      </c>
      <c r="G917">
        <v>4</v>
      </c>
      <c r="H917">
        <v>0</v>
      </c>
      <c r="I917">
        <v>34.99</v>
      </c>
      <c r="J917">
        <v>139.96</v>
      </c>
      <c r="K917" t="s">
        <v>661</v>
      </c>
      <c r="L917" t="s">
        <v>788</v>
      </c>
      <c r="M917">
        <v>2</v>
      </c>
    </row>
    <row r="918" spans="1:13" x14ac:dyDescent="0.25">
      <c r="A918" t="s">
        <v>2150</v>
      </c>
      <c r="B918" t="s">
        <v>384</v>
      </c>
      <c r="C918" t="s">
        <v>1600</v>
      </c>
      <c r="D918" t="s">
        <v>672</v>
      </c>
      <c r="E918" t="s">
        <v>724</v>
      </c>
      <c r="F918">
        <v>89.99</v>
      </c>
      <c r="G918">
        <v>3</v>
      </c>
      <c r="H918">
        <v>20</v>
      </c>
      <c r="I918">
        <v>71.989999999999995</v>
      </c>
      <c r="J918">
        <v>215.97</v>
      </c>
      <c r="K918" t="s">
        <v>655</v>
      </c>
      <c r="L918" t="s">
        <v>788</v>
      </c>
    </row>
    <row r="919" spans="1:13" x14ac:dyDescent="0.25">
      <c r="A919" t="s">
        <v>2151</v>
      </c>
      <c r="B919" t="s">
        <v>384</v>
      </c>
      <c r="C919" t="s">
        <v>1890</v>
      </c>
      <c r="D919" t="s">
        <v>672</v>
      </c>
      <c r="E919" t="s">
        <v>735</v>
      </c>
      <c r="F919">
        <v>44.99</v>
      </c>
      <c r="G919">
        <v>3</v>
      </c>
      <c r="H919">
        <v>20</v>
      </c>
      <c r="I919">
        <v>35.99</v>
      </c>
      <c r="J919">
        <v>107.97</v>
      </c>
      <c r="K919" t="s">
        <v>675</v>
      </c>
      <c r="L919" t="s">
        <v>656</v>
      </c>
    </row>
    <row r="920" spans="1:13" x14ac:dyDescent="0.25">
      <c r="A920" t="s">
        <v>2152</v>
      </c>
      <c r="B920" t="s">
        <v>384</v>
      </c>
      <c r="C920" t="s">
        <v>2153</v>
      </c>
      <c r="D920" t="s">
        <v>680</v>
      </c>
      <c r="E920" t="s">
        <v>749</v>
      </c>
      <c r="F920">
        <v>14.99</v>
      </c>
      <c r="G920">
        <v>3</v>
      </c>
      <c r="H920">
        <v>0</v>
      </c>
      <c r="I920">
        <v>14.99</v>
      </c>
      <c r="J920">
        <v>44.97</v>
      </c>
      <c r="K920" t="s">
        <v>682</v>
      </c>
      <c r="L920" t="s">
        <v>656</v>
      </c>
      <c r="M920">
        <v>4</v>
      </c>
    </row>
    <row r="921" spans="1:13" x14ac:dyDescent="0.25">
      <c r="A921" t="s">
        <v>2154</v>
      </c>
      <c r="B921" t="s">
        <v>384</v>
      </c>
      <c r="C921" t="s">
        <v>901</v>
      </c>
      <c r="D921" t="s">
        <v>667</v>
      </c>
      <c r="E921" t="s">
        <v>668</v>
      </c>
      <c r="F921">
        <v>64.989999999999995</v>
      </c>
      <c r="G921">
        <v>2</v>
      </c>
      <c r="H921">
        <v>15</v>
      </c>
      <c r="I921">
        <v>55.24</v>
      </c>
      <c r="J921">
        <v>110.48</v>
      </c>
      <c r="K921" t="s">
        <v>675</v>
      </c>
      <c r="L921" t="s">
        <v>656</v>
      </c>
      <c r="M921">
        <v>4</v>
      </c>
    </row>
    <row r="922" spans="1:13" x14ac:dyDescent="0.25">
      <c r="A922" t="s">
        <v>2155</v>
      </c>
      <c r="B922" t="s">
        <v>384</v>
      </c>
      <c r="C922" t="s">
        <v>2156</v>
      </c>
      <c r="D922" t="s">
        <v>653</v>
      </c>
      <c r="E922" t="s">
        <v>727</v>
      </c>
      <c r="F922">
        <v>14.99</v>
      </c>
      <c r="G922">
        <v>1</v>
      </c>
      <c r="H922">
        <v>0</v>
      </c>
      <c r="I922">
        <v>14.99</v>
      </c>
      <c r="J922">
        <v>14.99</v>
      </c>
      <c r="K922" t="s">
        <v>669</v>
      </c>
      <c r="L922" t="s">
        <v>656</v>
      </c>
      <c r="M922">
        <v>3</v>
      </c>
    </row>
    <row r="923" spans="1:13" x14ac:dyDescent="0.25">
      <c r="A923" t="s">
        <v>2157</v>
      </c>
      <c r="B923" t="s">
        <v>384</v>
      </c>
      <c r="C923" t="s">
        <v>1203</v>
      </c>
      <c r="D923" t="s">
        <v>659</v>
      </c>
      <c r="E923" t="s">
        <v>660</v>
      </c>
      <c r="F923">
        <v>19.989999999999998</v>
      </c>
      <c r="G923">
        <v>3</v>
      </c>
      <c r="H923">
        <v>5</v>
      </c>
      <c r="I923">
        <v>18.989999999999998</v>
      </c>
      <c r="J923">
        <v>56.97</v>
      </c>
      <c r="K923" t="s">
        <v>675</v>
      </c>
      <c r="L923" t="s">
        <v>656</v>
      </c>
      <c r="M923">
        <v>4</v>
      </c>
    </row>
    <row r="924" spans="1:13" x14ac:dyDescent="0.25">
      <c r="A924" t="s">
        <v>2158</v>
      </c>
      <c r="B924" t="s">
        <v>384</v>
      </c>
      <c r="C924" t="s">
        <v>1520</v>
      </c>
      <c r="D924" t="s">
        <v>684</v>
      </c>
      <c r="E924" t="s">
        <v>815</v>
      </c>
      <c r="F924">
        <v>34.99</v>
      </c>
      <c r="G924">
        <v>2</v>
      </c>
      <c r="H924">
        <v>0</v>
      </c>
      <c r="I924">
        <v>34.99</v>
      </c>
      <c r="J924">
        <v>69.98</v>
      </c>
      <c r="K924" t="s">
        <v>655</v>
      </c>
      <c r="L924" t="s">
        <v>656</v>
      </c>
    </row>
    <row r="925" spans="1:13" x14ac:dyDescent="0.25">
      <c r="A925" t="s">
        <v>2159</v>
      </c>
      <c r="B925" t="s">
        <v>384</v>
      </c>
      <c r="C925" t="s">
        <v>847</v>
      </c>
      <c r="D925" t="s">
        <v>659</v>
      </c>
      <c r="E925" t="s">
        <v>820</v>
      </c>
      <c r="F925">
        <v>39.99</v>
      </c>
      <c r="G925">
        <v>1</v>
      </c>
      <c r="H925">
        <v>0</v>
      </c>
      <c r="I925">
        <v>39.99</v>
      </c>
      <c r="J925">
        <v>39.99</v>
      </c>
      <c r="K925" t="s">
        <v>669</v>
      </c>
      <c r="L925" t="s">
        <v>656</v>
      </c>
      <c r="M925">
        <v>2</v>
      </c>
    </row>
    <row r="926" spans="1:13" x14ac:dyDescent="0.25">
      <c r="A926" t="s">
        <v>2160</v>
      </c>
      <c r="B926" t="s">
        <v>384</v>
      </c>
      <c r="C926" t="s">
        <v>937</v>
      </c>
      <c r="D926" t="s">
        <v>653</v>
      </c>
      <c r="E926" t="s">
        <v>727</v>
      </c>
      <c r="F926">
        <v>14.99</v>
      </c>
      <c r="G926">
        <v>3</v>
      </c>
      <c r="H926">
        <v>0</v>
      </c>
      <c r="I926">
        <v>14.99</v>
      </c>
      <c r="J926">
        <v>44.97</v>
      </c>
      <c r="K926" t="s">
        <v>661</v>
      </c>
      <c r="L926" t="s">
        <v>656</v>
      </c>
      <c r="M926">
        <v>4</v>
      </c>
    </row>
    <row r="927" spans="1:13" x14ac:dyDescent="0.25">
      <c r="A927" t="s">
        <v>2161</v>
      </c>
      <c r="B927" t="s">
        <v>387</v>
      </c>
      <c r="C927" t="s">
        <v>2162</v>
      </c>
      <c r="D927" t="s">
        <v>710</v>
      </c>
      <c r="E927" t="s">
        <v>730</v>
      </c>
      <c r="F927">
        <v>39.99</v>
      </c>
      <c r="G927">
        <v>1</v>
      </c>
      <c r="H927">
        <v>20</v>
      </c>
      <c r="I927">
        <v>31.99</v>
      </c>
      <c r="J927">
        <v>31.99</v>
      </c>
      <c r="K927" t="s">
        <v>655</v>
      </c>
      <c r="L927" t="s">
        <v>656</v>
      </c>
      <c r="M927">
        <v>5</v>
      </c>
    </row>
    <row r="928" spans="1:13" x14ac:dyDescent="0.25">
      <c r="A928" t="s">
        <v>2163</v>
      </c>
      <c r="B928" t="s">
        <v>387</v>
      </c>
      <c r="C928" t="s">
        <v>2164</v>
      </c>
      <c r="D928" t="s">
        <v>680</v>
      </c>
      <c r="E928" t="s">
        <v>749</v>
      </c>
      <c r="F928">
        <v>14.99</v>
      </c>
      <c r="G928">
        <v>2</v>
      </c>
      <c r="H928">
        <v>5</v>
      </c>
      <c r="I928">
        <v>14.24</v>
      </c>
      <c r="J928">
        <v>28.48</v>
      </c>
      <c r="K928" t="s">
        <v>655</v>
      </c>
      <c r="L928" t="s">
        <v>788</v>
      </c>
      <c r="M928">
        <v>4</v>
      </c>
    </row>
    <row r="929" spans="1:13" x14ac:dyDescent="0.25">
      <c r="A929" t="s">
        <v>2165</v>
      </c>
      <c r="B929" t="s">
        <v>387</v>
      </c>
      <c r="C929" t="s">
        <v>2166</v>
      </c>
      <c r="D929" t="s">
        <v>667</v>
      </c>
      <c r="E929" t="s">
        <v>696</v>
      </c>
      <c r="F929">
        <v>59.99</v>
      </c>
      <c r="G929">
        <v>1</v>
      </c>
      <c r="H929">
        <v>0</v>
      </c>
      <c r="I929">
        <v>59.99</v>
      </c>
      <c r="J929">
        <v>59.99</v>
      </c>
      <c r="K929" t="s">
        <v>661</v>
      </c>
      <c r="L929" t="s">
        <v>656</v>
      </c>
      <c r="M929">
        <v>5</v>
      </c>
    </row>
    <row r="930" spans="1:13" x14ac:dyDescent="0.25">
      <c r="A930" t="s">
        <v>2167</v>
      </c>
      <c r="B930" t="s">
        <v>387</v>
      </c>
      <c r="C930" t="s">
        <v>1414</v>
      </c>
      <c r="D930" t="s">
        <v>672</v>
      </c>
      <c r="E930" t="s">
        <v>735</v>
      </c>
      <c r="F930">
        <v>44.99</v>
      </c>
      <c r="G930">
        <v>2</v>
      </c>
      <c r="H930">
        <v>20</v>
      </c>
      <c r="I930">
        <v>35.99</v>
      </c>
      <c r="J930">
        <v>71.98</v>
      </c>
      <c r="K930" t="s">
        <v>675</v>
      </c>
      <c r="L930" t="s">
        <v>656</v>
      </c>
      <c r="M930">
        <v>5</v>
      </c>
    </row>
    <row r="931" spans="1:13" x14ac:dyDescent="0.25">
      <c r="A931" t="s">
        <v>2168</v>
      </c>
      <c r="B931" t="s">
        <v>387</v>
      </c>
      <c r="C931" t="s">
        <v>1428</v>
      </c>
      <c r="D931" t="s">
        <v>680</v>
      </c>
      <c r="E931" t="s">
        <v>681</v>
      </c>
      <c r="F931">
        <v>19.989999999999998</v>
      </c>
      <c r="G931">
        <v>1</v>
      </c>
      <c r="H931">
        <v>10</v>
      </c>
      <c r="I931">
        <v>17.989999999999998</v>
      </c>
      <c r="J931">
        <v>17.989999999999998</v>
      </c>
      <c r="K931" t="s">
        <v>669</v>
      </c>
      <c r="L931" t="s">
        <v>788</v>
      </c>
      <c r="M931">
        <v>5</v>
      </c>
    </row>
    <row r="932" spans="1:13" x14ac:dyDescent="0.25">
      <c r="A932" t="s">
        <v>2169</v>
      </c>
      <c r="B932" t="s">
        <v>387</v>
      </c>
      <c r="C932" t="s">
        <v>2170</v>
      </c>
      <c r="D932" t="s">
        <v>659</v>
      </c>
      <c r="E932" t="s">
        <v>762</v>
      </c>
      <c r="F932">
        <v>49.99</v>
      </c>
      <c r="G932">
        <v>2</v>
      </c>
      <c r="H932">
        <v>0</v>
      </c>
      <c r="I932">
        <v>49.99</v>
      </c>
      <c r="J932">
        <v>99.98</v>
      </c>
      <c r="K932" t="s">
        <v>682</v>
      </c>
      <c r="L932" t="s">
        <v>656</v>
      </c>
      <c r="M932">
        <v>5</v>
      </c>
    </row>
    <row r="933" spans="1:13" x14ac:dyDescent="0.25">
      <c r="A933" t="s">
        <v>2171</v>
      </c>
      <c r="B933" t="s">
        <v>387</v>
      </c>
      <c r="C933" t="s">
        <v>759</v>
      </c>
      <c r="D933" t="s">
        <v>684</v>
      </c>
      <c r="E933" t="s">
        <v>705</v>
      </c>
      <c r="F933">
        <v>79.989999999999995</v>
      </c>
      <c r="G933">
        <v>3</v>
      </c>
      <c r="H933">
        <v>20</v>
      </c>
      <c r="I933">
        <v>63.99</v>
      </c>
      <c r="J933">
        <v>191.97</v>
      </c>
      <c r="K933" t="s">
        <v>669</v>
      </c>
      <c r="L933" t="s">
        <v>739</v>
      </c>
    </row>
    <row r="934" spans="1:13" x14ac:dyDescent="0.25">
      <c r="A934" t="s">
        <v>2172</v>
      </c>
      <c r="B934" t="s">
        <v>387</v>
      </c>
      <c r="C934" t="s">
        <v>17</v>
      </c>
      <c r="D934" t="s">
        <v>667</v>
      </c>
      <c r="E934" t="s">
        <v>696</v>
      </c>
      <c r="F934">
        <v>59.99</v>
      </c>
      <c r="G934">
        <v>3</v>
      </c>
      <c r="H934">
        <v>5</v>
      </c>
      <c r="I934">
        <v>56.99</v>
      </c>
      <c r="J934">
        <v>170.97</v>
      </c>
      <c r="K934" t="s">
        <v>682</v>
      </c>
      <c r="L934" t="s">
        <v>656</v>
      </c>
    </row>
    <row r="935" spans="1:13" x14ac:dyDescent="0.25">
      <c r="A935" t="s">
        <v>2173</v>
      </c>
      <c r="B935" t="s">
        <v>390</v>
      </c>
      <c r="C935" t="s">
        <v>993</v>
      </c>
      <c r="D935" t="s">
        <v>667</v>
      </c>
      <c r="E935" t="s">
        <v>714</v>
      </c>
      <c r="F935">
        <v>44.99</v>
      </c>
      <c r="G935">
        <v>3</v>
      </c>
      <c r="H935">
        <v>5</v>
      </c>
      <c r="I935">
        <v>42.74</v>
      </c>
      <c r="J935">
        <v>128.22</v>
      </c>
      <c r="K935" t="s">
        <v>675</v>
      </c>
      <c r="L935" t="s">
        <v>656</v>
      </c>
      <c r="M935">
        <v>4</v>
      </c>
    </row>
    <row r="936" spans="1:13" x14ac:dyDescent="0.25">
      <c r="A936" t="s">
        <v>2174</v>
      </c>
      <c r="B936" t="s">
        <v>390</v>
      </c>
      <c r="C936" t="s">
        <v>1088</v>
      </c>
      <c r="D936" t="s">
        <v>653</v>
      </c>
      <c r="E936" t="s">
        <v>654</v>
      </c>
      <c r="F936">
        <v>39.99</v>
      </c>
      <c r="G936">
        <v>3</v>
      </c>
      <c r="H936">
        <v>10</v>
      </c>
      <c r="I936">
        <v>35.99</v>
      </c>
      <c r="J936">
        <v>107.97</v>
      </c>
      <c r="K936" t="s">
        <v>661</v>
      </c>
      <c r="L936" t="s">
        <v>656</v>
      </c>
      <c r="M936">
        <v>4</v>
      </c>
    </row>
    <row r="937" spans="1:13" x14ac:dyDescent="0.25">
      <c r="A937" t="s">
        <v>2175</v>
      </c>
      <c r="B937" t="s">
        <v>390</v>
      </c>
      <c r="C937" t="s">
        <v>1582</v>
      </c>
      <c r="D937" t="s">
        <v>672</v>
      </c>
      <c r="E937" t="s">
        <v>735</v>
      </c>
      <c r="F937">
        <v>44.99</v>
      </c>
      <c r="G937">
        <v>4</v>
      </c>
      <c r="H937">
        <v>0</v>
      </c>
      <c r="I937">
        <v>44.99</v>
      </c>
      <c r="J937">
        <v>179.96</v>
      </c>
      <c r="K937" t="s">
        <v>682</v>
      </c>
      <c r="L937" t="s">
        <v>656</v>
      </c>
      <c r="M937">
        <v>4</v>
      </c>
    </row>
    <row r="938" spans="1:13" x14ac:dyDescent="0.25">
      <c r="A938" t="s">
        <v>2176</v>
      </c>
      <c r="B938" t="s">
        <v>390</v>
      </c>
      <c r="C938" t="s">
        <v>2177</v>
      </c>
      <c r="D938" t="s">
        <v>659</v>
      </c>
      <c r="E938" t="s">
        <v>762</v>
      </c>
      <c r="F938">
        <v>49.99</v>
      </c>
      <c r="G938">
        <v>1</v>
      </c>
      <c r="H938">
        <v>10</v>
      </c>
      <c r="I938">
        <v>44.99</v>
      </c>
      <c r="J938">
        <v>44.99</v>
      </c>
      <c r="K938" t="s">
        <v>661</v>
      </c>
      <c r="L938" t="s">
        <v>656</v>
      </c>
      <c r="M938">
        <v>5</v>
      </c>
    </row>
    <row r="939" spans="1:13" x14ac:dyDescent="0.25">
      <c r="A939" t="s">
        <v>2178</v>
      </c>
      <c r="B939" t="s">
        <v>390</v>
      </c>
      <c r="C939" t="s">
        <v>1263</v>
      </c>
      <c r="D939" t="s">
        <v>680</v>
      </c>
      <c r="E939" t="s">
        <v>708</v>
      </c>
      <c r="F939">
        <v>24.99</v>
      </c>
      <c r="G939">
        <v>2</v>
      </c>
      <c r="H939">
        <v>10</v>
      </c>
      <c r="I939">
        <v>22.49</v>
      </c>
      <c r="J939">
        <v>44.98</v>
      </c>
      <c r="K939" t="s">
        <v>675</v>
      </c>
      <c r="L939" t="s">
        <v>656</v>
      </c>
      <c r="M939">
        <v>3</v>
      </c>
    </row>
    <row r="940" spans="1:13" x14ac:dyDescent="0.25">
      <c r="A940" t="s">
        <v>2179</v>
      </c>
      <c r="B940" t="s">
        <v>390</v>
      </c>
      <c r="C940" t="s">
        <v>840</v>
      </c>
      <c r="D940" t="s">
        <v>672</v>
      </c>
      <c r="E940" t="s">
        <v>724</v>
      </c>
      <c r="F940">
        <v>89.99</v>
      </c>
      <c r="G940">
        <v>1</v>
      </c>
      <c r="H940">
        <v>10</v>
      </c>
      <c r="I940">
        <v>80.989999999999995</v>
      </c>
      <c r="J940">
        <v>80.989999999999995</v>
      </c>
      <c r="K940" t="s">
        <v>661</v>
      </c>
      <c r="L940" t="s">
        <v>656</v>
      </c>
    </row>
    <row r="941" spans="1:13" x14ac:dyDescent="0.25">
      <c r="A941" t="s">
        <v>2180</v>
      </c>
      <c r="B941" t="s">
        <v>390</v>
      </c>
      <c r="C941" t="s">
        <v>1625</v>
      </c>
      <c r="D941" t="s">
        <v>659</v>
      </c>
      <c r="E941" t="s">
        <v>762</v>
      </c>
      <c r="F941">
        <v>49.99</v>
      </c>
      <c r="G941">
        <v>1</v>
      </c>
      <c r="H941">
        <v>20</v>
      </c>
      <c r="I941">
        <v>39.99</v>
      </c>
      <c r="J941">
        <v>39.99</v>
      </c>
      <c r="K941" t="s">
        <v>682</v>
      </c>
      <c r="L941" t="s">
        <v>656</v>
      </c>
      <c r="M941">
        <v>4</v>
      </c>
    </row>
    <row r="942" spans="1:13" x14ac:dyDescent="0.25">
      <c r="A942" t="s">
        <v>2181</v>
      </c>
      <c r="B942" t="s">
        <v>390</v>
      </c>
      <c r="C942" t="s">
        <v>2182</v>
      </c>
      <c r="D942" t="s">
        <v>684</v>
      </c>
      <c r="E942" t="s">
        <v>702</v>
      </c>
      <c r="F942">
        <v>199.99</v>
      </c>
      <c r="G942">
        <v>2</v>
      </c>
      <c r="H942">
        <v>0</v>
      </c>
      <c r="I942">
        <v>199.99</v>
      </c>
      <c r="J942">
        <v>399.98</v>
      </c>
      <c r="K942" t="s">
        <v>669</v>
      </c>
      <c r="L942" t="s">
        <v>656</v>
      </c>
    </row>
    <row r="943" spans="1:13" x14ac:dyDescent="0.25">
      <c r="A943" t="s">
        <v>2183</v>
      </c>
      <c r="B943" t="s">
        <v>390</v>
      </c>
      <c r="C943" t="s">
        <v>516</v>
      </c>
      <c r="D943" t="s">
        <v>680</v>
      </c>
      <c r="E943" t="s">
        <v>708</v>
      </c>
      <c r="F943">
        <v>24.99</v>
      </c>
      <c r="G943">
        <v>3</v>
      </c>
      <c r="H943">
        <v>15</v>
      </c>
      <c r="I943">
        <v>21.24</v>
      </c>
      <c r="J943">
        <v>63.72</v>
      </c>
      <c r="K943" t="s">
        <v>669</v>
      </c>
      <c r="L943" t="s">
        <v>656</v>
      </c>
    </row>
    <row r="944" spans="1:13" x14ac:dyDescent="0.25">
      <c r="A944" t="s">
        <v>2184</v>
      </c>
      <c r="B944" t="s">
        <v>390</v>
      </c>
      <c r="C944" t="s">
        <v>836</v>
      </c>
      <c r="D944" t="s">
        <v>680</v>
      </c>
      <c r="E944" t="s">
        <v>708</v>
      </c>
      <c r="F944">
        <v>24.99</v>
      </c>
      <c r="G944">
        <v>4</v>
      </c>
      <c r="H944">
        <v>20</v>
      </c>
      <c r="I944">
        <v>19.989999999999998</v>
      </c>
      <c r="J944">
        <v>79.959999999999994</v>
      </c>
      <c r="K944" t="s">
        <v>655</v>
      </c>
      <c r="L944" t="s">
        <v>656</v>
      </c>
      <c r="M944">
        <v>5</v>
      </c>
    </row>
    <row r="945" spans="1:13" x14ac:dyDescent="0.25">
      <c r="A945" t="s">
        <v>2185</v>
      </c>
      <c r="B945" t="s">
        <v>393</v>
      </c>
      <c r="C945" t="s">
        <v>2186</v>
      </c>
      <c r="D945" t="s">
        <v>684</v>
      </c>
      <c r="E945" t="s">
        <v>815</v>
      </c>
      <c r="F945">
        <v>34.99</v>
      </c>
      <c r="G945">
        <v>2</v>
      </c>
      <c r="H945">
        <v>15</v>
      </c>
      <c r="I945">
        <v>29.74</v>
      </c>
      <c r="J945">
        <v>59.48</v>
      </c>
      <c r="K945" t="s">
        <v>669</v>
      </c>
      <c r="L945" t="s">
        <v>693</v>
      </c>
      <c r="M945">
        <v>5</v>
      </c>
    </row>
    <row r="946" spans="1:13" x14ac:dyDescent="0.25">
      <c r="A946" t="s">
        <v>2187</v>
      </c>
      <c r="B946" t="s">
        <v>393</v>
      </c>
      <c r="C946" t="s">
        <v>1851</v>
      </c>
      <c r="D946" t="s">
        <v>672</v>
      </c>
      <c r="E946" t="s">
        <v>724</v>
      </c>
      <c r="F946">
        <v>89.99</v>
      </c>
      <c r="G946">
        <v>2</v>
      </c>
      <c r="H946">
        <v>20</v>
      </c>
      <c r="I946">
        <v>71.989999999999995</v>
      </c>
      <c r="J946">
        <v>143.97999999999999</v>
      </c>
      <c r="K946" t="s">
        <v>682</v>
      </c>
      <c r="L946" t="s">
        <v>656</v>
      </c>
      <c r="M946">
        <v>4</v>
      </c>
    </row>
    <row r="947" spans="1:13" x14ac:dyDescent="0.25">
      <c r="A947" t="s">
        <v>2188</v>
      </c>
      <c r="B947" t="s">
        <v>393</v>
      </c>
      <c r="C947" t="s">
        <v>1608</v>
      </c>
      <c r="D947" t="s">
        <v>684</v>
      </c>
      <c r="E947" t="s">
        <v>705</v>
      </c>
      <c r="F947">
        <v>79.989999999999995</v>
      </c>
      <c r="G947">
        <v>1</v>
      </c>
      <c r="H947">
        <v>0</v>
      </c>
      <c r="I947">
        <v>79.989999999999995</v>
      </c>
      <c r="J947">
        <v>79.989999999999995</v>
      </c>
      <c r="K947" t="s">
        <v>675</v>
      </c>
      <c r="L947" t="s">
        <v>656</v>
      </c>
      <c r="M947">
        <v>5</v>
      </c>
    </row>
    <row r="948" spans="1:13" x14ac:dyDescent="0.25">
      <c r="A948" t="s">
        <v>2189</v>
      </c>
      <c r="B948" t="s">
        <v>393</v>
      </c>
      <c r="C948" t="s">
        <v>1991</v>
      </c>
      <c r="D948" t="s">
        <v>710</v>
      </c>
      <c r="E948" t="s">
        <v>711</v>
      </c>
      <c r="F948">
        <v>14.99</v>
      </c>
      <c r="G948">
        <v>2</v>
      </c>
      <c r="H948">
        <v>20</v>
      </c>
      <c r="I948">
        <v>11.99</v>
      </c>
      <c r="J948">
        <v>23.98</v>
      </c>
      <c r="K948" t="s">
        <v>675</v>
      </c>
      <c r="L948" t="s">
        <v>788</v>
      </c>
      <c r="M948">
        <v>5</v>
      </c>
    </row>
    <row r="949" spans="1:13" x14ac:dyDescent="0.25">
      <c r="A949" t="s">
        <v>2190</v>
      </c>
      <c r="B949" t="s">
        <v>393</v>
      </c>
      <c r="C949" t="s">
        <v>2191</v>
      </c>
      <c r="D949" t="s">
        <v>710</v>
      </c>
      <c r="E949" t="s">
        <v>711</v>
      </c>
      <c r="F949">
        <v>14.99</v>
      </c>
      <c r="G949">
        <v>2</v>
      </c>
      <c r="H949">
        <v>10</v>
      </c>
      <c r="I949">
        <v>13.49</v>
      </c>
      <c r="J949">
        <v>26.98</v>
      </c>
      <c r="K949" t="s">
        <v>682</v>
      </c>
      <c r="L949" t="s">
        <v>656</v>
      </c>
      <c r="M949">
        <v>5</v>
      </c>
    </row>
    <row r="950" spans="1:13" x14ac:dyDescent="0.25">
      <c r="A950" t="s">
        <v>2192</v>
      </c>
      <c r="B950" t="s">
        <v>393</v>
      </c>
      <c r="C950" t="s">
        <v>2193</v>
      </c>
      <c r="D950" t="s">
        <v>667</v>
      </c>
      <c r="E950" t="s">
        <v>699</v>
      </c>
      <c r="F950">
        <v>89.99</v>
      </c>
      <c r="G950">
        <v>3</v>
      </c>
      <c r="H950">
        <v>0</v>
      </c>
      <c r="I950">
        <v>89.99</v>
      </c>
      <c r="J950">
        <v>269.97000000000003</v>
      </c>
      <c r="K950" t="s">
        <v>655</v>
      </c>
      <c r="L950" t="s">
        <v>656</v>
      </c>
    </row>
    <row r="951" spans="1:13" x14ac:dyDescent="0.25">
      <c r="A951" t="s">
        <v>2194</v>
      </c>
      <c r="B951" t="s">
        <v>393</v>
      </c>
      <c r="C951" t="s">
        <v>2195</v>
      </c>
      <c r="D951" t="s">
        <v>680</v>
      </c>
      <c r="E951" t="s">
        <v>749</v>
      </c>
      <c r="F951">
        <v>14.99</v>
      </c>
      <c r="G951">
        <v>1</v>
      </c>
      <c r="H951">
        <v>5</v>
      </c>
      <c r="I951">
        <v>14.24</v>
      </c>
      <c r="J951">
        <v>14.24</v>
      </c>
      <c r="K951" t="s">
        <v>655</v>
      </c>
      <c r="L951" t="s">
        <v>656</v>
      </c>
      <c r="M951">
        <v>4</v>
      </c>
    </row>
    <row r="952" spans="1:13" x14ac:dyDescent="0.25">
      <c r="A952" t="s">
        <v>2196</v>
      </c>
      <c r="B952" t="s">
        <v>393</v>
      </c>
      <c r="C952" t="s">
        <v>1161</v>
      </c>
      <c r="D952" t="s">
        <v>659</v>
      </c>
      <c r="E952" t="s">
        <v>762</v>
      </c>
      <c r="F952">
        <v>49.99</v>
      </c>
      <c r="G952">
        <v>2</v>
      </c>
      <c r="H952">
        <v>0</v>
      </c>
      <c r="I952">
        <v>49.99</v>
      </c>
      <c r="J952">
        <v>99.98</v>
      </c>
      <c r="K952" t="s">
        <v>661</v>
      </c>
      <c r="L952" t="s">
        <v>656</v>
      </c>
    </row>
    <row r="953" spans="1:13" x14ac:dyDescent="0.25">
      <c r="A953" t="s">
        <v>2197</v>
      </c>
      <c r="B953" t="s">
        <v>393</v>
      </c>
      <c r="C953" t="s">
        <v>2198</v>
      </c>
      <c r="D953" t="s">
        <v>659</v>
      </c>
      <c r="E953" t="s">
        <v>762</v>
      </c>
      <c r="F953">
        <v>49.99</v>
      </c>
      <c r="G953">
        <v>3</v>
      </c>
      <c r="H953">
        <v>10</v>
      </c>
      <c r="I953">
        <v>44.99</v>
      </c>
      <c r="J953">
        <v>134.97</v>
      </c>
      <c r="K953" t="s">
        <v>661</v>
      </c>
      <c r="L953" t="s">
        <v>656</v>
      </c>
      <c r="M953">
        <v>4</v>
      </c>
    </row>
    <row r="954" spans="1:13" x14ac:dyDescent="0.25">
      <c r="A954" t="s">
        <v>2199</v>
      </c>
      <c r="B954" t="s">
        <v>396</v>
      </c>
      <c r="C954" t="s">
        <v>1233</v>
      </c>
      <c r="D954" t="s">
        <v>653</v>
      </c>
      <c r="E954" t="s">
        <v>654</v>
      </c>
      <c r="F954">
        <v>39.99</v>
      </c>
      <c r="G954">
        <v>2</v>
      </c>
      <c r="H954">
        <v>20</v>
      </c>
      <c r="I954">
        <v>31.99</v>
      </c>
      <c r="J954">
        <v>63.98</v>
      </c>
      <c r="K954" t="s">
        <v>682</v>
      </c>
      <c r="L954" t="s">
        <v>656</v>
      </c>
      <c r="M954">
        <v>3</v>
      </c>
    </row>
    <row r="955" spans="1:13" x14ac:dyDescent="0.25">
      <c r="A955" t="s">
        <v>2200</v>
      </c>
      <c r="B955" t="s">
        <v>396</v>
      </c>
      <c r="C955" t="s">
        <v>1887</v>
      </c>
      <c r="D955" t="s">
        <v>710</v>
      </c>
      <c r="E955" t="s">
        <v>711</v>
      </c>
      <c r="F955">
        <v>14.99</v>
      </c>
      <c r="G955">
        <v>3</v>
      </c>
      <c r="H955">
        <v>0</v>
      </c>
      <c r="I955">
        <v>14.99</v>
      </c>
      <c r="J955">
        <v>44.97</v>
      </c>
      <c r="K955" t="s">
        <v>655</v>
      </c>
      <c r="L955" t="s">
        <v>656</v>
      </c>
      <c r="M955">
        <v>3</v>
      </c>
    </row>
    <row r="956" spans="1:13" x14ac:dyDescent="0.25">
      <c r="A956" t="s">
        <v>2201</v>
      </c>
      <c r="B956" t="s">
        <v>396</v>
      </c>
      <c r="C956" t="s">
        <v>1542</v>
      </c>
      <c r="D956" t="s">
        <v>680</v>
      </c>
      <c r="E956" t="s">
        <v>708</v>
      </c>
      <c r="F956">
        <v>24.99</v>
      </c>
      <c r="G956">
        <v>3</v>
      </c>
      <c r="H956">
        <v>20</v>
      </c>
      <c r="I956">
        <v>19.989999999999998</v>
      </c>
      <c r="J956">
        <v>59.97</v>
      </c>
      <c r="K956" t="s">
        <v>655</v>
      </c>
      <c r="L956" t="s">
        <v>656</v>
      </c>
      <c r="M956">
        <v>5</v>
      </c>
    </row>
    <row r="957" spans="1:13" x14ac:dyDescent="0.25">
      <c r="A957" t="s">
        <v>2202</v>
      </c>
      <c r="B957" t="s">
        <v>396</v>
      </c>
      <c r="C957" t="s">
        <v>1345</v>
      </c>
      <c r="D957" t="s">
        <v>653</v>
      </c>
      <c r="E957" t="s">
        <v>769</v>
      </c>
      <c r="F957">
        <v>49.99</v>
      </c>
      <c r="G957">
        <v>3</v>
      </c>
      <c r="H957">
        <v>20</v>
      </c>
      <c r="I957">
        <v>39.99</v>
      </c>
      <c r="J957">
        <v>119.97</v>
      </c>
      <c r="K957" t="s">
        <v>669</v>
      </c>
      <c r="L957" t="s">
        <v>656</v>
      </c>
      <c r="M957">
        <v>5</v>
      </c>
    </row>
    <row r="958" spans="1:13" x14ac:dyDescent="0.25">
      <c r="A958" t="s">
        <v>2203</v>
      </c>
      <c r="B958" t="s">
        <v>396</v>
      </c>
      <c r="C958" t="s">
        <v>2204</v>
      </c>
      <c r="D958" t="s">
        <v>653</v>
      </c>
      <c r="E958" t="s">
        <v>727</v>
      </c>
      <c r="F958">
        <v>14.99</v>
      </c>
      <c r="G958">
        <v>1</v>
      </c>
      <c r="H958">
        <v>20</v>
      </c>
      <c r="I958">
        <v>11.99</v>
      </c>
      <c r="J958">
        <v>11.99</v>
      </c>
      <c r="K958" t="s">
        <v>655</v>
      </c>
      <c r="L958" t="s">
        <v>656</v>
      </c>
    </row>
    <row r="959" spans="1:13" x14ac:dyDescent="0.25">
      <c r="A959" t="s">
        <v>2205</v>
      </c>
      <c r="B959" t="s">
        <v>396</v>
      </c>
      <c r="C959" t="s">
        <v>2206</v>
      </c>
      <c r="D959" t="s">
        <v>672</v>
      </c>
      <c r="E959" t="s">
        <v>724</v>
      </c>
      <c r="F959">
        <v>89.99</v>
      </c>
      <c r="G959">
        <v>1</v>
      </c>
      <c r="H959">
        <v>0</v>
      </c>
      <c r="I959">
        <v>89.99</v>
      </c>
      <c r="J959">
        <v>89.99</v>
      </c>
      <c r="K959" t="s">
        <v>675</v>
      </c>
      <c r="L959" t="s">
        <v>656</v>
      </c>
      <c r="M959">
        <v>1</v>
      </c>
    </row>
    <row r="960" spans="1:13" x14ac:dyDescent="0.25">
      <c r="A960" t="s">
        <v>2207</v>
      </c>
      <c r="B960" t="s">
        <v>399</v>
      </c>
      <c r="C960" t="s">
        <v>1851</v>
      </c>
      <c r="D960" t="s">
        <v>680</v>
      </c>
      <c r="E960" t="s">
        <v>749</v>
      </c>
      <c r="F960">
        <v>14.99</v>
      </c>
      <c r="G960">
        <v>4</v>
      </c>
      <c r="H960">
        <v>0</v>
      </c>
      <c r="I960">
        <v>14.99</v>
      </c>
      <c r="J960">
        <v>59.96</v>
      </c>
      <c r="K960" t="s">
        <v>675</v>
      </c>
      <c r="L960" t="s">
        <v>656</v>
      </c>
      <c r="M960">
        <v>4</v>
      </c>
    </row>
    <row r="961" spans="1:13" x14ac:dyDescent="0.25">
      <c r="A961" t="s">
        <v>2208</v>
      </c>
      <c r="B961" t="s">
        <v>399</v>
      </c>
      <c r="C961" t="s">
        <v>2209</v>
      </c>
      <c r="D961" t="s">
        <v>653</v>
      </c>
      <c r="E961" t="s">
        <v>827</v>
      </c>
      <c r="F961">
        <v>29.99</v>
      </c>
      <c r="G961">
        <v>2</v>
      </c>
      <c r="H961">
        <v>0</v>
      </c>
      <c r="I961">
        <v>29.99</v>
      </c>
      <c r="J961">
        <v>59.98</v>
      </c>
      <c r="K961" t="s">
        <v>655</v>
      </c>
      <c r="L961" t="s">
        <v>656</v>
      </c>
      <c r="M961">
        <v>4</v>
      </c>
    </row>
    <row r="962" spans="1:13" x14ac:dyDescent="0.25">
      <c r="A962" t="s">
        <v>2210</v>
      </c>
      <c r="B962" t="s">
        <v>402</v>
      </c>
      <c r="C962" t="s">
        <v>1637</v>
      </c>
      <c r="D962" t="s">
        <v>653</v>
      </c>
      <c r="E962" t="s">
        <v>769</v>
      </c>
      <c r="F962">
        <v>49.99</v>
      </c>
      <c r="G962">
        <v>2</v>
      </c>
      <c r="H962">
        <v>15</v>
      </c>
      <c r="I962">
        <v>42.49</v>
      </c>
      <c r="J962">
        <v>84.98</v>
      </c>
      <c r="K962" t="s">
        <v>655</v>
      </c>
      <c r="L962" t="s">
        <v>656</v>
      </c>
      <c r="M962">
        <v>4</v>
      </c>
    </row>
    <row r="963" spans="1:13" x14ac:dyDescent="0.25">
      <c r="A963" t="s">
        <v>2211</v>
      </c>
      <c r="B963" t="s">
        <v>402</v>
      </c>
      <c r="C963" t="s">
        <v>2007</v>
      </c>
      <c r="D963" t="s">
        <v>653</v>
      </c>
      <c r="E963" t="s">
        <v>727</v>
      </c>
      <c r="F963">
        <v>14.99</v>
      </c>
      <c r="G963">
        <v>3</v>
      </c>
      <c r="H963">
        <v>0</v>
      </c>
      <c r="I963">
        <v>14.99</v>
      </c>
      <c r="J963">
        <v>44.97</v>
      </c>
      <c r="K963" t="s">
        <v>669</v>
      </c>
      <c r="L963" t="s">
        <v>656</v>
      </c>
      <c r="M963">
        <v>5</v>
      </c>
    </row>
    <row r="964" spans="1:13" x14ac:dyDescent="0.25">
      <c r="A964" t="s">
        <v>2212</v>
      </c>
      <c r="B964" t="s">
        <v>402</v>
      </c>
      <c r="C964" t="s">
        <v>2213</v>
      </c>
      <c r="D964" t="s">
        <v>672</v>
      </c>
      <c r="E964" t="s">
        <v>803</v>
      </c>
      <c r="F964">
        <v>69.989999999999995</v>
      </c>
      <c r="G964">
        <v>2</v>
      </c>
      <c r="H964">
        <v>15</v>
      </c>
      <c r="I964">
        <v>59.49</v>
      </c>
      <c r="J964">
        <v>118.98</v>
      </c>
      <c r="K964" t="s">
        <v>661</v>
      </c>
      <c r="L964" t="s">
        <v>739</v>
      </c>
      <c r="M964">
        <v>2</v>
      </c>
    </row>
    <row r="965" spans="1:13" x14ac:dyDescent="0.25">
      <c r="A965" t="s">
        <v>2214</v>
      </c>
      <c r="B965" t="s">
        <v>402</v>
      </c>
      <c r="C965" t="s">
        <v>577</v>
      </c>
      <c r="D965" t="s">
        <v>653</v>
      </c>
      <c r="E965" t="s">
        <v>654</v>
      </c>
      <c r="F965">
        <v>39.99</v>
      </c>
      <c r="G965">
        <v>1</v>
      </c>
      <c r="H965">
        <v>10</v>
      </c>
      <c r="I965">
        <v>35.99</v>
      </c>
      <c r="J965">
        <v>35.99</v>
      </c>
      <c r="K965" t="s">
        <v>682</v>
      </c>
      <c r="L965" t="s">
        <v>788</v>
      </c>
      <c r="M965">
        <v>4</v>
      </c>
    </row>
    <row r="966" spans="1:13" x14ac:dyDescent="0.25">
      <c r="A966" t="s">
        <v>2215</v>
      </c>
      <c r="B966" t="s">
        <v>402</v>
      </c>
      <c r="C966" t="s">
        <v>979</v>
      </c>
      <c r="D966" t="s">
        <v>680</v>
      </c>
      <c r="E966" t="s">
        <v>708</v>
      </c>
      <c r="F966">
        <v>24.99</v>
      </c>
      <c r="G966">
        <v>2</v>
      </c>
      <c r="H966">
        <v>20</v>
      </c>
      <c r="I966">
        <v>19.989999999999998</v>
      </c>
      <c r="J966">
        <v>39.979999999999997</v>
      </c>
      <c r="K966" t="s">
        <v>682</v>
      </c>
      <c r="L966" t="s">
        <v>656</v>
      </c>
      <c r="M966">
        <v>5</v>
      </c>
    </row>
    <row r="967" spans="1:13" x14ac:dyDescent="0.25">
      <c r="A967" t="s">
        <v>2216</v>
      </c>
      <c r="B967" t="s">
        <v>402</v>
      </c>
      <c r="C967" t="s">
        <v>991</v>
      </c>
      <c r="D967" t="s">
        <v>680</v>
      </c>
      <c r="E967" t="s">
        <v>688</v>
      </c>
      <c r="F967">
        <v>29.99</v>
      </c>
      <c r="G967">
        <v>2</v>
      </c>
      <c r="H967">
        <v>20</v>
      </c>
      <c r="I967">
        <v>23.99</v>
      </c>
      <c r="J967">
        <v>47.98</v>
      </c>
      <c r="K967" t="s">
        <v>669</v>
      </c>
      <c r="L967" t="s">
        <v>656</v>
      </c>
      <c r="M967">
        <v>5</v>
      </c>
    </row>
    <row r="968" spans="1:13" x14ac:dyDescent="0.25">
      <c r="A968" t="s">
        <v>2217</v>
      </c>
      <c r="B968" t="s">
        <v>402</v>
      </c>
      <c r="C968" t="s">
        <v>1188</v>
      </c>
      <c r="D968" t="s">
        <v>667</v>
      </c>
      <c r="E968" t="s">
        <v>714</v>
      </c>
      <c r="F968">
        <v>44.99</v>
      </c>
      <c r="G968">
        <v>2</v>
      </c>
      <c r="H968">
        <v>10</v>
      </c>
      <c r="I968">
        <v>40.49</v>
      </c>
      <c r="J968">
        <v>80.98</v>
      </c>
      <c r="K968" t="s">
        <v>669</v>
      </c>
      <c r="L968" t="s">
        <v>656</v>
      </c>
      <c r="M968">
        <v>3</v>
      </c>
    </row>
    <row r="969" spans="1:13" x14ac:dyDescent="0.25">
      <c r="A969" t="s">
        <v>2218</v>
      </c>
      <c r="B969" t="s">
        <v>402</v>
      </c>
      <c r="C969" t="s">
        <v>2219</v>
      </c>
      <c r="D969" t="s">
        <v>710</v>
      </c>
      <c r="E969" t="s">
        <v>721</v>
      </c>
      <c r="F969">
        <v>24.99</v>
      </c>
      <c r="G969">
        <v>3</v>
      </c>
      <c r="H969">
        <v>0</v>
      </c>
      <c r="I969">
        <v>24.99</v>
      </c>
      <c r="J969">
        <v>74.97</v>
      </c>
      <c r="K969" t="s">
        <v>655</v>
      </c>
      <c r="L969" t="s">
        <v>656</v>
      </c>
      <c r="M969">
        <v>4</v>
      </c>
    </row>
    <row r="970" spans="1:13" x14ac:dyDescent="0.25">
      <c r="A970" t="s">
        <v>2220</v>
      </c>
      <c r="B970" t="s">
        <v>402</v>
      </c>
      <c r="C970" t="s">
        <v>2221</v>
      </c>
      <c r="D970" t="s">
        <v>684</v>
      </c>
      <c r="E970" t="s">
        <v>815</v>
      </c>
      <c r="F970">
        <v>34.99</v>
      </c>
      <c r="G970">
        <v>2</v>
      </c>
      <c r="H970">
        <v>10</v>
      </c>
      <c r="I970">
        <v>31.49</v>
      </c>
      <c r="J970">
        <v>62.98</v>
      </c>
      <c r="K970" t="s">
        <v>669</v>
      </c>
      <c r="L970" t="s">
        <v>656</v>
      </c>
      <c r="M970">
        <v>5</v>
      </c>
    </row>
    <row r="971" spans="1:13" x14ac:dyDescent="0.25">
      <c r="A971" t="s">
        <v>2222</v>
      </c>
      <c r="B971" t="s">
        <v>402</v>
      </c>
      <c r="C971" t="s">
        <v>2223</v>
      </c>
      <c r="D971" t="s">
        <v>710</v>
      </c>
      <c r="E971" t="s">
        <v>744</v>
      </c>
      <c r="F971">
        <v>29.99</v>
      </c>
      <c r="G971">
        <v>3</v>
      </c>
      <c r="H971">
        <v>5</v>
      </c>
      <c r="I971">
        <v>28.49</v>
      </c>
      <c r="J971">
        <v>85.47</v>
      </c>
      <c r="K971" t="s">
        <v>655</v>
      </c>
      <c r="L971" t="s">
        <v>788</v>
      </c>
    </row>
    <row r="972" spans="1:13" x14ac:dyDescent="0.25">
      <c r="A972" t="s">
        <v>2224</v>
      </c>
      <c r="B972" t="s">
        <v>402</v>
      </c>
      <c r="C972" t="s">
        <v>1455</v>
      </c>
      <c r="D972" t="s">
        <v>710</v>
      </c>
      <c r="E972" t="s">
        <v>711</v>
      </c>
      <c r="F972">
        <v>14.99</v>
      </c>
      <c r="G972">
        <v>1</v>
      </c>
      <c r="H972">
        <v>20</v>
      </c>
      <c r="I972">
        <v>11.99</v>
      </c>
      <c r="J972">
        <v>11.99</v>
      </c>
      <c r="K972" t="s">
        <v>682</v>
      </c>
      <c r="L972" t="s">
        <v>656</v>
      </c>
      <c r="M972">
        <v>5</v>
      </c>
    </row>
    <row r="973" spans="1:13" x14ac:dyDescent="0.25">
      <c r="A973" t="s">
        <v>2225</v>
      </c>
      <c r="B973" t="s">
        <v>402</v>
      </c>
      <c r="C973" t="s">
        <v>2226</v>
      </c>
      <c r="D973" t="s">
        <v>659</v>
      </c>
      <c r="E973" t="s">
        <v>660</v>
      </c>
      <c r="F973">
        <v>19.989999999999998</v>
      </c>
      <c r="G973">
        <v>4</v>
      </c>
      <c r="H973">
        <v>0</v>
      </c>
      <c r="I973">
        <v>19.989999999999998</v>
      </c>
      <c r="J973">
        <v>79.959999999999994</v>
      </c>
      <c r="K973" t="s">
        <v>682</v>
      </c>
      <c r="L973" t="s">
        <v>656</v>
      </c>
      <c r="M973">
        <v>5</v>
      </c>
    </row>
    <row r="974" spans="1:13" x14ac:dyDescent="0.25">
      <c r="A974" t="s">
        <v>2227</v>
      </c>
      <c r="B974" t="s">
        <v>402</v>
      </c>
      <c r="C974" t="s">
        <v>167</v>
      </c>
      <c r="D974" t="s">
        <v>672</v>
      </c>
      <c r="E974" t="s">
        <v>673</v>
      </c>
      <c r="F974">
        <v>24.99</v>
      </c>
      <c r="G974">
        <v>1</v>
      </c>
      <c r="H974">
        <v>15</v>
      </c>
      <c r="I974">
        <v>21.24</v>
      </c>
      <c r="J974">
        <v>21.24</v>
      </c>
      <c r="K974" t="s">
        <v>682</v>
      </c>
      <c r="L974" t="s">
        <v>788</v>
      </c>
      <c r="M974">
        <v>4</v>
      </c>
    </row>
    <row r="975" spans="1:13" x14ac:dyDescent="0.25">
      <c r="A975" t="s">
        <v>2228</v>
      </c>
      <c r="B975" t="s">
        <v>402</v>
      </c>
      <c r="C975" t="s">
        <v>377</v>
      </c>
      <c r="D975" t="s">
        <v>672</v>
      </c>
      <c r="E975" t="s">
        <v>673</v>
      </c>
      <c r="F975">
        <v>24.99</v>
      </c>
      <c r="G975">
        <v>2</v>
      </c>
      <c r="H975">
        <v>0</v>
      </c>
      <c r="I975">
        <v>24.99</v>
      </c>
      <c r="J975">
        <v>49.98</v>
      </c>
      <c r="K975" t="s">
        <v>655</v>
      </c>
      <c r="L975" t="s">
        <v>656</v>
      </c>
    </row>
    <row r="976" spans="1:13" x14ac:dyDescent="0.25">
      <c r="A976" t="s">
        <v>2229</v>
      </c>
      <c r="B976" t="s">
        <v>402</v>
      </c>
      <c r="C976" t="s">
        <v>2230</v>
      </c>
      <c r="D976" t="s">
        <v>659</v>
      </c>
      <c r="E976" t="s">
        <v>660</v>
      </c>
      <c r="F976">
        <v>19.989999999999998</v>
      </c>
      <c r="G976">
        <v>1</v>
      </c>
      <c r="H976">
        <v>0</v>
      </c>
      <c r="I976">
        <v>19.989999999999998</v>
      </c>
      <c r="J976">
        <v>19.989999999999998</v>
      </c>
      <c r="K976" t="s">
        <v>669</v>
      </c>
      <c r="L976" t="s">
        <v>656</v>
      </c>
    </row>
    <row r="977" spans="1:13" x14ac:dyDescent="0.25">
      <c r="A977" t="s">
        <v>2231</v>
      </c>
      <c r="B977" t="s">
        <v>405</v>
      </c>
      <c r="C977" t="s">
        <v>1172</v>
      </c>
      <c r="D977" t="s">
        <v>659</v>
      </c>
      <c r="E977" t="s">
        <v>820</v>
      </c>
      <c r="F977">
        <v>39.99</v>
      </c>
      <c r="G977">
        <v>3</v>
      </c>
      <c r="H977">
        <v>0</v>
      </c>
      <c r="I977">
        <v>39.99</v>
      </c>
      <c r="J977">
        <v>119.97</v>
      </c>
      <c r="K977" t="s">
        <v>661</v>
      </c>
      <c r="L977" t="s">
        <v>788</v>
      </c>
      <c r="M977">
        <v>5</v>
      </c>
    </row>
    <row r="978" spans="1:13" x14ac:dyDescent="0.25">
      <c r="A978" t="s">
        <v>2232</v>
      </c>
      <c r="B978" t="s">
        <v>405</v>
      </c>
      <c r="C978" t="s">
        <v>2233</v>
      </c>
      <c r="D978" t="s">
        <v>667</v>
      </c>
      <c r="E978" t="s">
        <v>696</v>
      </c>
      <c r="F978">
        <v>59.99</v>
      </c>
      <c r="G978">
        <v>3</v>
      </c>
      <c r="H978">
        <v>0</v>
      </c>
      <c r="I978">
        <v>59.99</v>
      </c>
      <c r="J978">
        <v>179.97</v>
      </c>
      <c r="K978" t="s">
        <v>682</v>
      </c>
      <c r="L978" t="s">
        <v>656</v>
      </c>
      <c r="M978">
        <v>4</v>
      </c>
    </row>
    <row r="979" spans="1:13" x14ac:dyDescent="0.25">
      <c r="A979" t="s">
        <v>2234</v>
      </c>
      <c r="B979" t="s">
        <v>408</v>
      </c>
      <c r="C979" t="s">
        <v>2235</v>
      </c>
      <c r="D979" t="s">
        <v>680</v>
      </c>
      <c r="E979" t="s">
        <v>688</v>
      </c>
      <c r="F979">
        <v>29.99</v>
      </c>
      <c r="G979">
        <v>2</v>
      </c>
      <c r="H979">
        <v>0</v>
      </c>
      <c r="I979">
        <v>29.99</v>
      </c>
      <c r="J979">
        <v>59.98</v>
      </c>
      <c r="K979" t="s">
        <v>661</v>
      </c>
      <c r="L979" t="s">
        <v>656</v>
      </c>
    </row>
    <row r="980" spans="1:13" x14ac:dyDescent="0.25">
      <c r="A980" t="s">
        <v>2236</v>
      </c>
      <c r="B980" t="s">
        <v>408</v>
      </c>
      <c r="C980" t="s">
        <v>1617</v>
      </c>
      <c r="D980" t="s">
        <v>667</v>
      </c>
      <c r="E980" t="s">
        <v>699</v>
      </c>
      <c r="F980">
        <v>89.99</v>
      </c>
      <c r="G980">
        <v>3</v>
      </c>
      <c r="H980">
        <v>0</v>
      </c>
      <c r="I980">
        <v>89.99</v>
      </c>
      <c r="J980">
        <v>269.97000000000003</v>
      </c>
      <c r="K980" t="s">
        <v>661</v>
      </c>
      <c r="L980" t="s">
        <v>656</v>
      </c>
      <c r="M980">
        <v>4</v>
      </c>
    </row>
    <row r="981" spans="1:13" x14ac:dyDescent="0.25">
      <c r="A981" t="s">
        <v>2237</v>
      </c>
      <c r="B981" t="s">
        <v>408</v>
      </c>
      <c r="C981" t="s">
        <v>1128</v>
      </c>
      <c r="D981" t="s">
        <v>680</v>
      </c>
      <c r="E981" t="s">
        <v>688</v>
      </c>
      <c r="F981">
        <v>29.99</v>
      </c>
      <c r="G981">
        <v>2</v>
      </c>
      <c r="H981">
        <v>0</v>
      </c>
      <c r="I981">
        <v>29.99</v>
      </c>
      <c r="J981">
        <v>59.98</v>
      </c>
      <c r="K981" t="s">
        <v>669</v>
      </c>
      <c r="L981" t="s">
        <v>656</v>
      </c>
    </row>
    <row r="982" spans="1:13" x14ac:dyDescent="0.25">
      <c r="A982" t="s">
        <v>2238</v>
      </c>
      <c r="B982" t="s">
        <v>408</v>
      </c>
      <c r="C982" t="s">
        <v>2104</v>
      </c>
      <c r="D982" t="s">
        <v>710</v>
      </c>
      <c r="E982" t="s">
        <v>711</v>
      </c>
      <c r="F982">
        <v>14.99</v>
      </c>
      <c r="G982">
        <v>3</v>
      </c>
      <c r="H982">
        <v>0</v>
      </c>
      <c r="I982">
        <v>14.99</v>
      </c>
      <c r="J982">
        <v>44.97</v>
      </c>
      <c r="K982" t="s">
        <v>669</v>
      </c>
      <c r="L982" t="s">
        <v>656</v>
      </c>
      <c r="M982">
        <v>5</v>
      </c>
    </row>
    <row r="983" spans="1:13" x14ac:dyDescent="0.25">
      <c r="A983" t="s">
        <v>2239</v>
      </c>
      <c r="B983" t="s">
        <v>408</v>
      </c>
      <c r="C983" t="s">
        <v>997</v>
      </c>
      <c r="D983" t="s">
        <v>659</v>
      </c>
      <c r="E983" t="s">
        <v>762</v>
      </c>
      <c r="F983">
        <v>49.99</v>
      </c>
      <c r="G983">
        <v>4</v>
      </c>
      <c r="H983">
        <v>0</v>
      </c>
      <c r="I983">
        <v>49.99</v>
      </c>
      <c r="J983">
        <v>199.96</v>
      </c>
      <c r="K983" t="s">
        <v>661</v>
      </c>
      <c r="L983" t="s">
        <v>656</v>
      </c>
      <c r="M983">
        <v>5</v>
      </c>
    </row>
    <row r="984" spans="1:13" x14ac:dyDescent="0.25">
      <c r="A984" t="s">
        <v>2240</v>
      </c>
      <c r="B984" t="s">
        <v>408</v>
      </c>
      <c r="C984" t="s">
        <v>2241</v>
      </c>
      <c r="D984" t="s">
        <v>710</v>
      </c>
      <c r="E984" t="s">
        <v>730</v>
      </c>
      <c r="F984">
        <v>39.99</v>
      </c>
      <c r="G984">
        <v>4</v>
      </c>
      <c r="H984">
        <v>10</v>
      </c>
      <c r="I984">
        <v>35.99</v>
      </c>
      <c r="J984">
        <v>143.96</v>
      </c>
      <c r="K984" t="s">
        <v>669</v>
      </c>
      <c r="L984" t="s">
        <v>656</v>
      </c>
      <c r="M984">
        <v>5</v>
      </c>
    </row>
    <row r="985" spans="1:13" x14ac:dyDescent="0.25">
      <c r="A985" t="s">
        <v>2242</v>
      </c>
      <c r="B985" t="s">
        <v>408</v>
      </c>
      <c r="C985" t="s">
        <v>1708</v>
      </c>
      <c r="D985" t="s">
        <v>684</v>
      </c>
      <c r="E985" t="s">
        <v>815</v>
      </c>
      <c r="F985">
        <v>34.99</v>
      </c>
      <c r="G985">
        <v>3</v>
      </c>
      <c r="H985">
        <v>0</v>
      </c>
      <c r="I985">
        <v>34.99</v>
      </c>
      <c r="J985">
        <v>104.97</v>
      </c>
      <c r="K985" t="s">
        <v>682</v>
      </c>
      <c r="L985" t="s">
        <v>785</v>
      </c>
    </row>
    <row r="986" spans="1:13" x14ac:dyDescent="0.25">
      <c r="A986" t="s">
        <v>2243</v>
      </c>
      <c r="B986" t="s">
        <v>408</v>
      </c>
      <c r="C986" t="s">
        <v>1085</v>
      </c>
      <c r="D986" t="s">
        <v>659</v>
      </c>
      <c r="E986" t="s">
        <v>762</v>
      </c>
      <c r="F986">
        <v>49.99</v>
      </c>
      <c r="G986">
        <v>4</v>
      </c>
      <c r="H986">
        <v>0</v>
      </c>
      <c r="I986">
        <v>49.99</v>
      </c>
      <c r="J986">
        <v>199.96</v>
      </c>
      <c r="K986" t="s">
        <v>661</v>
      </c>
      <c r="L986" t="s">
        <v>656</v>
      </c>
    </row>
    <row r="987" spans="1:13" x14ac:dyDescent="0.25">
      <c r="A987" t="s">
        <v>2244</v>
      </c>
      <c r="B987" t="s">
        <v>408</v>
      </c>
      <c r="C987" t="s">
        <v>2245</v>
      </c>
      <c r="D987" t="s">
        <v>653</v>
      </c>
      <c r="E987" t="s">
        <v>769</v>
      </c>
      <c r="F987">
        <v>49.99</v>
      </c>
      <c r="G987">
        <v>4</v>
      </c>
      <c r="H987">
        <v>20</v>
      </c>
      <c r="I987">
        <v>39.99</v>
      </c>
      <c r="J987">
        <v>159.96</v>
      </c>
      <c r="K987" t="s">
        <v>675</v>
      </c>
      <c r="L987" t="s">
        <v>656</v>
      </c>
      <c r="M987">
        <v>3</v>
      </c>
    </row>
    <row r="988" spans="1:13" x14ac:dyDescent="0.25">
      <c r="A988" t="s">
        <v>2246</v>
      </c>
      <c r="B988" t="s">
        <v>408</v>
      </c>
      <c r="C988" t="s">
        <v>1422</v>
      </c>
      <c r="D988" t="s">
        <v>667</v>
      </c>
      <c r="E988" t="s">
        <v>699</v>
      </c>
      <c r="F988">
        <v>89.99</v>
      </c>
      <c r="G988">
        <v>1</v>
      </c>
      <c r="H988">
        <v>0</v>
      </c>
      <c r="I988">
        <v>89.99</v>
      </c>
      <c r="J988">
        <v>89.99</v>
      </c>
      <c r="K988" t="s">
        <v>669</v>
      </c>
      <c r="L988" t="s">
        <v>656</v>
      </c>
      <c r="M988">
        <v>5</v>
      </c>
    </row>
    <row r="989" spans="1:13" x14ac:dyDescent="0.25">
      <c r="A989" t="s">
        <v>2247</v>
      </c>
      <c r="B989" t="s">
        <v>411</v>
      </c>
      <c r="C989" t="s">
        <v>2248</v>
      </c>
      <c r="D989" t="s">
        <v>667</v>
      </c>
      <c r="E989" t="s">
        <v>699</v>
      </c>
      <c r="F989">
        <v>89.99</v>
      </c>
      <c r="G989">
        <v>4</v>
      </c>
      <c r="H989">
        <v>0</v>
      </c>
      <c r="I989">
        <v>89.99</v>
      </c>
      <c r="J989">
        <v>359.96</v>
      </c>
      <c r="K989" t="s">
        <v>655</v>
      </c>
      <c r="L989" t="s">
        <v>656</v>
      </c>
    </row>
    <row r="990" spans="1:13" x14ac:dyDescent="0.25">
      <c r="A990" t="s">
        <v>2249</v>
      </c>
      <c r="B990" t="s">
        <v>411</v>
      </c>
      <c r="C990" t="s">
        <v>819</v>
      </c>
      <c r="D990" t="s">
        <v>710</v>
      </c>
      <c r="E990" t="s">
        <v>744</v>
      </c>
      <c r="F990">
        <v>29.99</v>
      </c>
      <c r="G990">
        <v>4</v>
      </c>
      <c r="H990">
        <v>0</v>
      </c>
      <c r="I990">
        <v>29.99</v>
      </c>
      <c r="J990">
        <v>119.96</v>
      </c>
      <c r="K990" t="s">
        <v>661</v>
      </c>
      <c r="L990" t="s">
        <v>788</v>
      </c>
      <c r="M990">
        <v>4</v>
      </c>
    </row>
    <row r="991" spans="1:13" x14ac:dyDescent="0.25">
      <c r="A991" t="s">
        <v>2250</v>
      </c>
      <c r="B991" t="s">
        <v>411</v>
      </c>
      <c r="C991" t="s">
        <v>832</v>
      </c>
      <c r="D991" t="s">
        <v>684</v>
      </c>
      <c r="E991" t="s">
        <v>685</v>
      </c>
      <c r="F991">
        <v>49.99</v>
      </c>
      <c r="G991">
        <v>3</v>
      </c>
      <c r="H991">
        <v>10</v>
      </c>
      <c r="I991">
        <v>44.99</v>
      </c>
      <c r="J991">
        <v>134.97</v>
      </c>
      <c r="K991" t="s">
        <v>675</v>
      </c>
      <c r="L991" t="s">
        <v>656</v>
      </c>
    </row>
    <row r="992" spans="1:13" x14ac:dyDescent="0.25">
      <c r="A992" t="s">
        <v>2251</v>
      </c>
      <c r="B992" t="s">
        <v>411</v>
      </c>
      <c r="C992" t="s">
        <v>2252</v>
      </c>
      <c r="D992" t="s">
        <v>667</v>
      </c>
      <c r="E992" t="s">
        <v>699</v>
      </c>
      <c r="F992">
        <v>89.99</v>
      </c>
      <c r="G992">
        <v>2</v>
      </c>
      <c r="H992">
        <v>0</v>
      </c>
      <c r="I992">
        <v>89.99</v>
      </c>
      <c r="J992">
        <v>179.98</v>
      </c>
      <c r="K992" t="s">
        <v>661</v>
      </c>
      <c r="L992" t="s">
        <v>656</v>
      </c>
    </row>
    <row r="993" spans="1:13" x14ac:dyDescent="0.25">
      <c r="A993" t="s">
        <v>2253</v>
      </c>
      <c r="B993" t="s">
        <v>411</v>
      </c>
      <c r="C993" t="s">
        <v>1296</v>
      </c>
      <c r="D993" t="s">
        <v>659</v>
      </c>
      <c r="E993" t="s">
        <v>664</v>
      </c>
      <c r="F993">
        <v>24.99</v>
      </c>
      <c r="G993">
        <v>1</v>
      </c>
      <c r="H993">
        <v>15</v>
      </c>
      <c r="I993">
        <v>21.24</v>
      </c>
      <c r="J993">
        <v>21.24</v>
      </c>
      <c r="K993" t="s">
        <v>675</v>
      </c>
      <c r="L993" t="s">
        <v>656</v>
      </c>
      <c r="M993">
        <v>2</v>
      </c>
    </row>
    <row r="994" spans="1:13" x14ac:dyDescent="0.25">
      <c r="A994" t="s">
        <v>2254</v>
      </c>
      <c r="B994" t="s">
        <v>411</v>
      </c>
      <c r="C994" t="s">
        <v>2255</v>
      </c>
      <c r="D994" t="s">
        <v>653</v>
      </c>
      <c r="E994" t="s">
        <v>769</v>
      </c>
      <c r="F994">
        <v>49.99</v>
      </c>
      <c r="G994">
        <v>1</v>
      </c>
      <c r="H994">
        <v>20</v>
      </c>
      <c r="I994">
        <v>39.99</v>
      </c>
      <c r="J994">
        <v>39.99</v>
      </c>
      <c r="K994" t="s">
        <v>682</v>
      </c>
      <c r="L994" t="s">
        <v>656</v>
      </c>
      <c r="M994">
        <v>4</v>
      </c>
    </row>
    <row r="995" spans="1:13" x14ac:dyDescent="0.25">
      <c r="A995" t="s">
        <v>2256</v>
      </c>
      <c r="B995" t="s">
        <v>411</v>
      </c>
      <c r="C995" t="s">
        <v>1174</v>
      </c>
      <c r="D995" t="s">
        <v>653</v>
      </c>
      <c r="E995" t="s">
        <v>769</v>
      </c>
      <c r="F995">
        <v>49.99</v>
      </c>
      <c r="G995">
        <v>3</v>
      </c>
      <c r="H995">
        <v>15</v>
      </c>
      <c r="I995">
        <v>42.49</v>
      </c>
      <c r="J995">
        <v>127.47</v>
      </c>
      <c r="K995" t="s">
        <v>682</v>
      </c>
      <c r="L995" t="s">
        <v>656</v>
      </c>
      <c r="M995">
        <v>5</v>
      </c>
    </row>
    <row r="996" spans="1:13" x14ac:dyDescent="0.25">
      <c r="A996" t="s">
        <v>2257</v>
      </c>
      <c r="B996" t="s">
        <v>411</v>
      </c>
      <c r="C996" t="s">
        <v>911</v>
      </c>
      <c r="D996" t="s">
        <v>653</v>
      </c>
      <c r="E996" t="s">
        <v>654</v>
      </c>
      <c r="F996">
        <v>39.99</v>
      </c>
      <c r="G996">
        <v>2</v>
      </c>
      <c r="H996">
        <v>0</v>
      </c>
      <c r="I996">
        <v>39.99</v>
      </c>
      <c r="J996">
        <v>79.98</v>
      </c>
      <c r="K996" t="s">
        <v>661</v>
      </c>
      <c r="L996" t="s">
        <v>656</v>
      </c>
      <c r="M996">
        <v>4</v>
      </c>
    </row>
    <row r="997" spans="1:13" x14ac:dyDescent="0.25">
      <c r="A997" t="s">
        <v>2258</v>
      </c>
      <c r="B997" t="s">
        <v>411</v>
      </c>
      <c r="C997" t="s">
        <v>1539</v>
      </c>
      <c r="D997" t="s">
        <v>680</v>
      </c>
      <c r="E997" t="s">
        <v>688</v>
      </c>
      <c r="F997">
        <v>29.99</v>
      </c>
      <c r="G997">
        <v>1</v>
      </c>
      <c r="H997">
        <v>0</v>
      </c>
      <c r="I997">
        <v>29.99</v>
      </c>
      <c r="J997">
        <v>29.99</v>
      </c>
      <c r="K997" t="s">
        <v>661</v>
      </c>
      <c r="L997" t="s">
        <v>656</v>
      </c>
      <c r="M997">
        <v>5</v>
      </c>
    </row>
    <row r="998" spans="1:13" x14ac:dyDescent="0.25">
      <c r="A998" t="s">
        <v>2259</v>
      </c>
      <c r="B998" t="s">
        <v>414</v>
      </c>
      <c r="C998" t="s">
        <v>2260</v>
      </c>
      <c r="D998" t="s">
        <v>672</v>
      </c>
      <c r="E998" t="s">
        <v>803</v>
      </c>
      <c r="F998">
        <v>69.989999999999995</v>
      </c>
      <c r="G998">
        <v>2</v>
      </c>
      <c r="H998">
        <v>10</v>
      </c>
      <c r="I998">
        <v>62.99</v>
      </c>
      <c r="J998">
        <v>125.98</v>
      </c>
      <c r="K998" t="s">
        <v>675</v>
      </c>
      <c r="L998" t="s">
        <v>656</v>
      </c>
      <c r="M998">
        <v>5</v>
      </c>
    </row>
    <row r="999" spans="1:13" x14ac:dyDescent="0.25">
      <c r="A999" t="s">
        <v>2261</v>
      </c>
      <c r="B999" t="s">
        <v>414</v>
      </c>
      <c r="C999" t="s">
        <v>2262</v>
      </c>
      <c r="D999" t="s">
        <v>667</v>
      </c>
      <c r="E999" t="s">
        <v>696</v>
      </c>
      <c r="F999">
        <v>59.99</v>
      </c>
      <c r="G999">
        <v>3</v>
      </c>
      <c r="H999">
        <v>0</v>
      </c>
      <c r="I999">
        <v>59.99</v>
      </c>
      <c r="J999">
        <v>179.97</v>
      </c>
      <c r="K999" t="s">
        <v>675</v>
      </c>
      <c r="L999" t="s">
        <v>656</v>
      </c>
      <c r="M999">
        <v>5</v>
      </c>
    </row>
    <row r="1000" spans="1:13" x14ac:dyDescent="0.25">
      <c r="A1000" t="s">
        <v>2263</v>
      </c>
      <c r="B1000" t="s">
        <v>414</v>
      </c>
      <c r="C1000" t="s">
        <v>761</v>
      </c>
      <c r="D1000" t="s">
        <v>710</v>
      </c>
      <c r="E1000" t="s">
        <v>721</v>
      </c>
      <c r="F1000">
        <v>24.99</v>
      </c>
      <c r="G1000">
        <v>2</v>
      </c>
      <c r="H1000">
        <v>15</v>
      </c>
      <c r="I1000">
        <v>21.24</v>
      </c>
      <c r="J1000">
        <v>42.48</v>
      </c>
      <c r="K1000" t="s">
        <v>661</v>
      </c>
      <c r="L1000" t="s">
        <v>656</v>
      </c>
      <c r="M1000">
        <v>3</v>
      </c>
    </row>
    <row r="1001" spans="1:13" x14ac:dyDescent="0.25">
      <c r="A1001" t="s">
        <v>2264</v>
      </c>
      <c r="B1001" t="s">
        <v>417</v>
      </c>
      <c r="C1001" t="s">
        <v>2265</v>
      </c>
      <c r="D1001" t="s">
        <v>710</v>
      </c>
      <c r="E1001" t="s">
        <v>744</v>
      </c>
      <c r="F1001">
        <v>29.99</v>
      </c>
      <c r="G1001">
        <v>1</v>
      </c>
      <c r="H1001">
        <v>15</v>
      </c>
      <c r="I1001">
        <v>25.49</v>
      </c>
      <c r="J1001">
        <v>25.49</v>
      </c>
      <c r="K1001" t="s">
        <v>669</v>
      </c>
      <c r="L1001" t="s">
        <v>656</v>
      </c>
    </row>
    <row r="1002" spans="1:13" x14ac:dyDescent="0.25">
      <c r="A1002" t="s">
        <v>2266</v>
      </c>
      <c r="B1002" t="s">
        <v>417</v>
      </c>
      <c r="C1002" t="s">
        <v>830</v>
      </c>
      <c r="D1002" t="s">
        <v>710</v>
      </c>
      <c r="E1002" t="s">
        <v>744</v>
      </c>
      <c r="F1002">
        <v>29.99</v>
      </c>
      <c r="G1002">
        <v>3</v>
      </c>
      <c r="H1002">
        <v>0</v>
      </c>
      <c r="I1002">
        <v>29.99</v>
      </c>
      <c r="J1002">
        <v>89.97</v>
      </c>
      <c r="K1002" t="s">
        <v>661</v>
      </c>
      <c r="L1002" t="s">
        <v>656</v>
      </c>
      <c r="M1002">
        <v>4</v>
      </c>
    </row>
    <row r="1003" spans="1:13" x14ac:dyDescent="0.25">
      <c r="A1003" t="s">
        <v>2267</v>
      </c>
      <c r="B1003" t="s">
        <v>417</v>
      </c>
      <c r="C1003" t="s">
        <v>2268</v>
      </c>
      <c r="D1003" t="s">
        <v>667</v>
      </c>
      <c r="E1003" t="s">
        <v>714</v>
      </c>
      <c r="F1003">
        <v>44.99</v>
      </c>
      <c r="G1003">
        <v>2</v>
      </c>
      <c r="H1003">
        <v>5</v>
      </c>
      <c r="I1003">
        <v>42.74</v>
      </c>
      <c r="J1003">
        <v>85.48</v>
      </c>
      <c r="K1003" t="s">
        <v>682</v>
      </c>
      <c r="L1003" t="s">
        <v>788</v>
      </c>
    </row>
    <row r="1004" spans="1:13" x14ac:dyDescent="0.25">
      <c r="A1004" t="s">
        <v>2269</v>
      </c>
      <c r="B1004" t="s">
        <v>417</v>
      </c>
      <c r="C1004" t="s">
        <v>1587</v>
      </c>
      <c r="D1004" t="s">
        <v>659</v>
      </c>
      <c r="E1004" t="s">
        <v>762</v>
      </c>
      <c r="F1004">
        <v>49.99</v>
      </c>
      <c r="G1004">
        <v>2</v>
      </c>
      <c r="H1004">
        <v>15</v>
      </c>
      <c r="I1004">
        <v>42.49</v>
      </c>
      <c r="J1004">
        <v>84.98</v>
      </c>
      <c r="K1004" t="s">
        <v>675</v>
      </c>
      <c r="L1004" t="s">
        <v>656</v>
      </c>
      <c r="M1004">
        <v>5</v>
      </c>
    </row>
    <row r="1005" spans="1:13" x14ac:dyDescent="0.25">
      <c r="A1005" t="s">
        <v>2270</v>
      </c>
      <c r="B1005" t="s">
        <v>417</v>
      </c>
      <c r="C1005" t="s">
        <v>2271</v>
      </c>
      <c r="D1005" t="s">
        <v>680</v>
      </c>
      <c r="E1005" t="s">
        <v>708</v>
      </c>
      <c r="F1005">
        <v>24.99</v>
      </c>
      <c r="G1005">
        <v>2</v>
      </c>
      <c r="H1005">
        <v>15</v>
      </c>
      <c r="I1005">
        <v>21.24</v>
      </c>
      <c r="J1005">
        <v>42.48</v>
      </c>
      <c r="K1005" t="s">
        <v>669</v>
      </c>
      <c r="L1005" t="s">
        <v>785</v>
      </c>
      <c r="M1005">
        <v>5</v>
      </c>
    </row>
    <row r="1006" spans="1:13" x14ac:dyDescent="0.25">
      <c r="A1006" t="s">
        <v>2272</v>
      </c>
      <c r="B1006" t="s">
        <v>417</v>
      </c>
      <c r="C1006" t="s">
        <v>2273</v>
      </c>
      <c r="D1006" t="s">
        <v>680</v>
      </c>
      <c r="E1006" t="s">
        <v>681</v>
      </c>
      <c r="F1006">
        <v>19.989999999999998</v>
      </c>
      <c r="G1006">
        <v>1</v>
      </c>
      <c r="H1006">
        <v>5</v>
      </c>
      <c r="I1006">
        <v>18.989999999999998</v>
      </c>
      <c r="J1006">
        <v>18.989999999999998</v>
      </c>
      <c r="K1006" t="s">
        <v>682</v>
      </c>
      <c r="L1006" t="s">
        <v>656</v>
      </c>
      <c r="M1006">
        <v>4</v>
      </c>
    </row>
    <row r="1007" spans="1:13" x14ac:dyDescent="0.25">
      <c r="A1007" t="s">
        <v>2274</v>
      </c>
      <c r="B1007" t="s">
        <v>417</v>
      </c>
      <c r="C1007" t="s">
        <v>2275</v>
      </c>
      <c r="D1007" t="s">
        <v>684</v>
      </c>
      <c r="E1007" t="s">
        <v>685</v>
      </c>
      <c r="F1007">
        <v>49.99</v>
      </c>
      <c r="G1007">
        <v>2</v>
      </c>
      <c r="H1007">
        <v>0</v>
      </c>
      <c r="I1007">
        <v>49.99</v>
      </c>
      <c r="J1007">
        <v>99.98</v>
      </c>
      <c r="K1007" t="s">
        <v>675</v>
      </c>
      <c r="L1007" t="s">
        <v>656</v>
      </c>
      <c r="M1007">
        <v>2</v>
      </c>
    </row>
    <row r="1008" spans="1:13" x14ac:dyDescent="0.25">
      <c r="A1008" t="s">
        <v>2276</v>
      </c>
      <c r="B1008" t="s">
        <v>417</v>
      </c>
      <c r="C1008" t="s">
        <v>1585</v>
      </c>
      <c r="D1008" t="s">
        <v>659</v>
      </c>
      <c r="E1008" t="s">
        <v>820</v>
      </c>
      <c r="F1008">
        <v>39.99</v>
      </c>
      <c r="G1008">
        <v>4</v>
      </c>
      <c r="H1008">
        <v>10</v>
      </c>
      <c r="I1008">
        <v>35.99</v>
      </c>
      <c r="J1008">
        <v>143.96</v>
      </c>
      <c r="K1008" t="s">
        <v>661</v>
      </c>
      <c r="L1008" t="s">
        <v>693</v>
      </c>
      <c r="M1008">
        <v>4</v>
      </c>
    </row>
    <row r="1009" spans="1:13" x14ac:dyDescent="0.25">
      <c r="A1009" t="s">
        <v>2277</v>
      </c>
      <c r="B1009" t="s">
        <v>417</v>
      </c>
      <c r="C1009" t="s">
        <v>128</v>
      </c>
      <c r="D1009" t="s">
        <v>680</v>
      </c>
      <c r="E1009" t="s">
        <v>749</v>
      </c>
      <c r="F1009">
        <v>14.99</v>
      </c>
      <c r="G1009">
        <v>1</v>
      </c>
      <c r="H1009">
        <v>5</v>
      </c>
      <c r="I1009">
        <v>14.24</v>
      </c>
      <c r="J1009">
        <v>14.24</v>
      </c>
      <c r="K1009" t="s">
        <v>661</v>
      </c>
      <c r="L1009" t="s">
        <v>656</v>
      </c>
      <c r="M1009">
        <v>5</v>
      </c>
    </row>
    <row r="1010" spans="1:13" x14ac:dyDescent="0.25">
      <c r="A1010" t="s">
        <v>2278</v>
      </c>
      <c r="B1010" t="s">
        <v>417</v>
      </c>
      <c r="C1010" t="s">
        <v>1699</v>
      </c>
      <c r="D1010" t="s">
        <v>659</v>
      </c>
      <c r="E1010" t="s">
        <v>762</v>
      </c>
      <c r="F1010">
        <v>49.99</v>
      </c>
      <c r="G1010">
        <v>3</v>
      </c>
      <c r="H1010">
        <v>5</v>
      </c>
      <c r="I1010">
        <v>47.49</v>
      </c>
      <c r="J1010">
        <v>142.47</v>
      </c>
      <c r="K1010" t="s">
        <v>655</v>
      </c>
      <c r="L1010" t="s">
        <v>656</v>
      </c>
      <c r="M1010">
        <v>4</v>
      </c>
    </row>
    <row r="1011" spans="1:13" x14ac:dyDescent="0.25">
      <c r="A1011" t="s">
        <v>2279</v>
      </c>
      <c r="B1011" t="s">
        <v>417</v>
      </c>
      <c r="C1011" t="s">
        <v>1085</v>
      </c>
      <c r="D1011" t="s">
        <v>659</v>
      </c>
      <c r="E1011" t="s">
        <v>664</v>
      </c>
      <c r="F1011">
        <v>24.99</v>
      </c>
      <c r="G1011">
        <v>2</v>
      </c>
      <c r="H1011">
        <v>15</v>
      </c>
      <c r="I1011">
        <v>21.24</v>
      </c>
      <c r="J1011">
        <v>42.48</v>
      </c>
      <c r="K1011" t="s">
        <v>669</v>
      </c>
      <c r="L1011" t="s">
        <v>656</v>
      </c>
    </row>
    <row r="1012" spans="1:13" x14ac:dyDescent="0.25">
      <c r="A1012" t="s">
        <v>2280</v>
      </c>
      <c r="B1012" t="s">
        <v>417</v>
      </c>
      <c r="C1012" t="s">
        <v>1565</v>
      </c>
      <c r="D1012" t="s">
        <v>653</v>
      </c>
      <c r="E1012" t="s">
        <v>769</v>
      </c>
      <c r="F1012">
        <v>49.99</v>
      </c>
      <c r="G1012">
        <v>1</v>
      </c>
      <c r="H1012">
        <v>0</v>
      </c>
      <c r="I1012">
        <v>49.99</v>
      </c>
      <c r="J1012">
        <v>49.99</v>
      </c>
      <c r="K1012" t="s">
        <v>655</v>
      </c>
      <c r="L1012" t="s">
        <v>656</v>
      </c>
    </row>
    <row r="1013" spans="1:13" x14ac:dyDescent="0.25">
      <c r="A1013" t="s">
        <v>2281</v>
      </c>
      <c r="B1013" t="s">
        <v>417</v>
      </c>
      <c r="C1013" t="s">
        <v>2282</v>
      </c>
      <c r="D1013" t="s">
        <v>672</v>
      </c>
      <c r="E1013" t="s">
        <v>673</v>
      </c>
      <c r="F1013">
        <v>24.99</v>
      </c>
      <c r="G1013">
        <v>3</v>
      </c>
      <c r="H1013">
        <v>15</v>
      </c>
      <c r="I1013">
        <v>21.24</v>
      </c>
      <c r="J1013">
        <v>63.72</v>
      </c>
      <c r="K1013" t="s">
        <v>675</v>
      </c>
      <c r="L1013" t="s">
        <v>656</v>
      </c>
      <c r="M1013">
        <v>5</v>
      </c>
    </row>
    <row r="1014" spans="1:13" x14ac:dyDescent="0.25">
      <c r="A1014" t="s">
        <v>2283</v>
      </c>
      <c r="B1014" t="s">
        <v>420</v>
      </c>
      <c r="C1014" t="s">
        <v>1265</v>
      </c>
      <c r="D1014" t="s">
        <v>653</v>
      </c>
      <c r="E1014" t="s">
        <v>769</v>
      </c>
      <c r="F1014">
        <v>49.99</v>
      </c>
      <c r="G1014">
        <v>4</v>
      </c>
      <c r="H1014">
        <v>0</v>
      </c>
      <c r="I1014">
        <v>49.99</v>
      </c>
      <c r="J1014">
        <v>199.96</v>
      </c>
      <c r="K1014" t="s">
        <v>655</v>
      </c>
      <c r="L1014" t="s">
        <v>656</v>
      </c>
    </row>
    <row r="1015" spans="1:13" x14ac:dyDescent="0.25">
      <c r="A1015" t="s">
        <v>2284</v>
      </c>
      <c r="B1015" t="s">
        <v>420</v>
      </c>
      <c r="C1015" t="s">
        <v>690</v>
      </c>
      <c r="D1015" t="s">
        <v>710</v>
      </c>
      <c r="E1015" t="s">
        <v>730</v>
      </c>
      <c r="F1015">
        <v>39.99</v>
      </c>
      <c r="G1015">
        <v>1</v>
      </c>
      <c r="H1015">
        <v>5</v>
      </c>
      <c r="I1015">
        <v>37.99</v>
      </c>
      <c r="J1015">
        <v>37.99</v>
      </c>
      <c r="K1015" t="s">
        <v>661</v>
      </c>
      <c r="L1015" t="s">
        <v>656</v>
      </c>
      <c r="M1015">
        <v>4</v>
      </c>
    </row>
    <row r="1016" spans="1:13" x14ac:dyDescent="0.25">
      <c r="A1016" t="s">
        <v>2285</v>
      </c>
      <c r="B1016" t="s">
        <v>420</v>
      </c>
      <c r="C1016" t="s">
        <v>905</v>
      </c>
      <c r="D1016" t="s">
        <v>659</v>
      </c>
      <c r="E1016" t="s">
        <v>660</v>
      </c>
      <c r="F1016">
        <v>19.989999999999998</v>
      </c>
      <c r="G1016">
        <v>3</v>
      </c>
      <c r="H1016">
        <v>5</v>
      </c>
      <c r="I1016">
        <v>18.989999999999998</v>
      </c>
      <c r="J1016">
        <v>56.97</v>
      </c>
      <c r="K1016" t="s">
        <v>661</v>
      </c>
      <c r="L1016" t="s">
        <v>656</v>
      </c>
      <c r="M1016">
        <v>4</v>
      </c>
    </row>
    <row r="1017" spans="1:13" x14ac:dyDescent="0.25">
      <c r="A1017" t="s">
        <v>2286</v>
      </c>
      <c r="B1017" t="s">
        <v>420</v>
      </c>
      <c r="C1017" t="s">
        <v>2287</v>
      </c>
      <c r="D1017" t="s">
        <v>684</v>
      </c>
      <c r="E1017" t="s">
        <v>705</v>
      </c>
      <c r="F1017">
        <v>79.989999999999995</v>
      </c>
      <c r="G1017">
        <v>1</v>
      </c>
      <c r="H1017">
        <v>0</v>
      </c>
      <c r="I1017">
        <v>79.989999999999995</v>
      </c>
      <c r="J1017">
        <v>79.989999999999995</v>
      </c>
      <c r="K1017" t="s">
        <v>669</v>
      </c>
      <c r="L1017" t="s">
        <v>656</v>
      </c>
    </row>
    <row r="1018" spans="1:13" x14ac:dyDescent="0.25">
      <c r="A1018" t="s">
        <v>2288</v>
      </c>
      <c r="B1018" t="s">
        <v>420</v>
      </c>
      <c r="C1018" t="s">
        <v>2289</v>
      </c>
      <c r="D1018" t="s">
        <v>653</v>
      </c>
      <c r="E1018" t="s">
        <v>654</v>
      </c>
      <c r="F1018">
        <v>39.99</v>
      </c>
      <c r="G1018">
        <v>3</v>
      </c>
      <c r="H1018">
        <v>10</v>
      </c>
      <c r="I1018">
        <v>35.99</v>
      </c>
      <c r="J1018">
        <v>107.97</v>
      </c>
      <c r="K1018" t="s">
        <v>655</v>
      </c>
      <c r="L1018" t="s">
        <v>656</v>
      </c>
    </row>
    <row r="1019" spans="1:13" x14ac:dyDescent="0.25">
      <c r="A1019" t="s">
        <v>2290</v>
      </c>
      <c r="B1019" t="s">
        <v>420</v>
      </c>
      <c r="C1019" t="s">
        <v>2291</v>
      </c>
      <c r="D1019" t="s">
        <v>684</v>
      </c>
      <c r="E1019" t="s">
        <v>705</v>
      </c>
      <c r="F1019">
        <v>79.989999999999995</v>
      </c>
      <c r="G1019">
        <v>4</v>
      </c>
      <c r="H1019">
        <v>10</v>
      </c>
      <c r="I1019">
        <v>71.989999999999995</v>
      </c>
      <c r="J1019">
        <v>287.95999999999998</v>
      </c>
      <c r="K1019" t="s">
        <v>661</v>
      </c>
      <c r="L1019" t="s">
        <v>656</v>
      </c>
      <c r="M1019">
        <v>5</v>
      </c>
    </row>
    <row r="1020" spans="1:13" x14ac:dyDescent="0.25">
      <c r="A1020" t="s">
        <v>2292</v>
      </c>
      <c r="B1020" t="s">
        <v>420</v>
      </c>
      <c r="C1020" t="s">
        <v>1256</v>
      </c>
      <c r="D1020" t="s">
        <v>710</v>
      </c>
      <c r="E1020" t="s">
        <v>730</v>
      </c>
      <c r="F1020">
        <v>39.99</v>
      </c>
      <c r="G1020">
        <v>1</v>
      </c>
      <c r="H1020">
        <v>0</v>
      </c>
      <c r="I1020">
        <v>39.99</v>
      </c>
      <c r="J1020">
        <v>39.99</v>
      </c>
      <c r="K1020" t="s">
        <v>675</v>
      </c>
      <c r="L1020" t="s">
        <v>656</v>
      </c>
    </row>
    <row r="1021" spans="1:13" x14ac:dyDescent="0.25">
      <c r="A1021" t="s">
        <v>2293</v>
      </c>
      <c r="B1021" t="s">
        <v>420</v>
      </c>
      <c r="C1021" t="s">
        <v>1197</v>
      </c>
      <c r="D1021" t="s">
        <v>653</v>
      </c>
      <c r="E1021" t="s">
        <v>727</v>
      </c>
      <c r="F1021">
        <v>14.99</v>
      </c>
      <c r="G1021">
        <v>2</v>
      </c>
      <c r="H1021">
        <v>0</v>
      </c>
      <c r="I1021">
        <v>14.99</v>
      </c>
      <c r="J1021">
        <v>29.98</v>
      </c>
      <c r="K1021" t="s">
        <v>669</v>
      </c>
      <c r="L1021" t="s">
        <v>656</v>
      </c>
    </row>
    <row r="1022" spans="1:13" x14ac:dyDescent="0.25">
      <c r="A1022" t="s">
        <v>2294</v>
      </c>
      <c r="B1022" t="s">
        <v>420</v>
      </c>
      <c r="C1022" t="s">
        <v>2104</v>
      </c>
      <c r="D1022" t="s">
        <v>680</v>
      </c>
      <c r="E1022" t="s">
        <v>681</v>
      </c>
      <c r="F1022">
        <v>19.989999999999998</v>
      </c>
      <c r="G1022">
        <v>2</v>
      </c>
      <c r="H1022">
        <v>20</v>
      </c>
      <c r="I1022">
        <v>15.99</v>
      </c>
      <c r="J1022">
        <v>31.98</v>
      </c>
      <c r="K1022" t="s">
        <v>675</v>
      </c>
      <c r="L1022" t="s">
        <v>656</v>
      </c>
      <c r="M1022">
        <v>5</v>
      </c>
    </row>
    <row r="1023" spans="1:13" x14ac:dyDescent="0.25">
      <c r="A1023" t="s">
        <v>2295</v>
      </c>
      <c r="B1023" t="s">
        <v>420</v>
      </c>
      <c r="C1023" t="s">
        <v>2296</v>
      </c>
      <c r="D1023" t="s">
        <v>659</v>
      </c>
      <c r="E1023" t="s">
        <v>820</v>
      </c>
      <c r="F1023">
        <v>39.99</v>
      </c>
      <c r="G1023">
        <v>4</v>
      </c>
      <c r="H1023">
        <v>10</v>
      </c>
      <c r="I1023">
        <v>35.99</v>
      </c>
      <c r="J1023">
        <v>143.96</v>
      </c>
      <c r="K1023" t="s">
        <v>669</v>
      </c>
      <c r="L1023" t="s">
        <v>656</v>
      </c>
    </row>
    <row r="1024" spans="1:13" x14ac:dyDescent="0.25">
      <c r="A1024" t="s">
        <v>2297</v>
      </c>
      <c r="B1024" t="s">
        <v>420</v>
      </c>
      <c r="C1024" t="s">
        <v>1868</v>
      </c>
      <c r="D1024" t="s">
        <v>672</v>
      </c>
      <c r="E1024" t="s">
        <v>803</v>
      </c>
      <c r="F1024">
        <v>69.989999999999995</v>
      </c>
      <c r="G1024">
        <v>1</v>
      </c>
      <c r="H1024">
        <v>15</v>
      </c>
      <c r="I1024">
        <v>59.49</v>
      </c>
      <c r="J1024">
        <v>59.49</v>
      </c>
      <c r="K1024" t="s">
        <v>682</v>
      </c>
      <c r="L1024" t="s">
        <v>656</v>
      </c>
    </row>
    <row r="1025" spans="1:13" x14ac:dyDescent="0.25">
      <c r="A1025" t="s">
        <v>2298</v>
      </c>
      <c r="B1025" t="s">
        <v>420</v>
      </c>
      <c r="C1025" t="s">
        <v>2299</v>
      </c>
      <c r="D1025" t="s">
        <v>672</v>
      </c>
      <c r="E1025" t="s">
        <v>673</v>
      </c>
      <c r="F1025">
        <v>24.99</v>
      </c>
      <c r="G1025">
        <v>2</v>
      </c>
      <c r="H1025">
        <v>20</v>
      </c>
      <c r="I1025">
        <v>19.989999999999998</v>
      </c>
      <c r="J1025">
        <v>39.979999999999997</v>
      </c>
      <c r="K1025" t="s">
        <v>682</v>
      </c>
      <c r="L1025" t="s">
        <v>656</v>
      </c>
      <c r="M1025">
        <v>5</v>
      </c>
    </row>
    <row r="1026" spans="1:13" x14ac:dyDescent="0.25">
      <c r="A1026" t="s">
        <v>2300</v>
      </c>
      <c r="B1026" t="s">
        <v>423</v>
      </c>
      <c r="C1026" t="s">
        <v>840</v>
      </c>
      <c r="D1026" t="s">
        <v>684</v>
      </c>
      <c r="E1026" t="s">
        <v>685</v>
      </c>
      <c r="F1026">
        <v>49.99</v>
      </c>
      <c r="G1026">
        <v>4</v>
      </c>
      <c r="H1026">
        <v>0</v>
      </c>
      <c r="I1026">
        <v>49.99</v>
      </c>
      <c r="J1026">
        <v>199.96</v>
      </c>
      <c r="K1026" t="s">
        <v>675</v>
      </c>
      <c r="L1026" t="s">
        <v>656</v>
      </c>
    </row>
    <row r="1027" spans="1:13" x14ac:dyDescent="0.25">
      <c r="A1027" t="s">
        <v>2301</v>
      </c>
      <c r="B1027" t="s">
        <v>423</v>
      </c>
      <c r="C1027" t="s">
        <v>840</v>
      </c>
      <c r="D1027" t="s">
        <v>710</v>
      </c>
      <c r="E1027" t="s">
        <v>730</v>
      </c>
      <c r="F1027">
        <v>39.99</v>
      </c>
      <c r="G1027">
        <v>2</v>
      </c>
      <c r="H1027">
        <v>5</v>
      </c>
      <c r="I1027">
        <v>37.99</v>
      </c>
      <c r="J1027">
        <v>75.98</v>
      </c>
      <c r="K1027" t="s">
        <v>682</v>
      </c>
      <c r="L1027" t="s">
        <v>656</v>
      </c>
      <c r="M1027">
        <v>5</v>
      </c>
    </row>
    <row r="1028" spans="1:13" x14ac:dyDescent="0.25">
      <c r="A1028" t="s">
        <v>2302</v>
      </c>
      <c r="B1028" t="s">
        <v>423</v>
      </c>
      <c r="C1028" t="s">
        <v>262</v>
      </c>
      <c r="D1028" t="s">
        <v>659</v>
      </c>
      <c r="E1028" t="s">
        <v>660</v>
      </c>
      <c r="F1028">
        <v>19.989999999999998</v>
      </c>
      <c r="G1028">
        <v>2</v>
      </c>
      <c r="H1028">
        <v>20</v>
      </c>
      <c r="I1028">
        <v>15.99</v>
      </c>
      <c r="J1028">
        <v>31.98</v>
      </c>
      <c r="K1028" t="s">
        <v>655</v>
      </c>
      <c r="L1028" t="s">
        <v>656</v>
      </c>
      <c r="M1028">
        <v>5</v>
      </c>
    </row>
    <row r="1029" spans="1:13" x14ac:dyDescent="0.25">
      <c r="A1029" t="s">
        <v>2303</v>
      </c>
      <c r="B1029" t="s">
        <v>423</v>
      </c>
      <c r="C1029" t="s">
        <v>679</v>
      </c>
      <c r="D1029" t="s">
        <v>710</v>
      </c>
      <c r="E1029" t="s">
        <v>730</v>
      </c>
      <c r="F1029">
        <v>39.99</v>
      </c>
      <c r="G1029">
        <v>3</v>
      </c>
      <c r="H1029">
        <v>5</v>
      </c>
      <c r="I1029">
        <v>37.99</v>
      </c>
      <c r="J1029">
        <v>113.97</v>
      </c>
      <c r="K1029" t="s">
        <v>655</v>
      </c>
      <c r="L1029" t="s">
        <v>739</v>
      </c>
      <c r="M1029">
        <v>4</v>
      </c>
    </row>
    <row r="1030" spans="1:13" x14ac:dyDescent="0.25">
      <c r="A1030" t="s">
        <v>2304</v>
      </c>
      <c r="B1030" t="s">
        <v>423</v>
      </c>
      <c r="C1030" t="s">
        <v>781</v>
      </c>
      <c r="D1030" t="s">
        <v>653</v>
      </c>
      <c r="E1030" t="s">
        <v>769</v>
      </c>
      <c r="F1030">
        <v>49.99</v>
      </c>
      <c r="G1030">
        <v>2</v>
      </c>
      <c r="H1030">
        <v>20</v>
      </c>
      <c r="I1030">
        <v>39.99</v>
      </c>
      <c r="J1030">
        <v>79.98</v>
      </c>
      <c r="K1030" t="s">
        <v>669</v>
      </c>
      <c r="L1030" t="s">
        <v>656</v>
      </c>
      <c r="M1030">
        <v>5</v>
      </c>
    </row>
    <row r="1031" spans="1:13" x14ac:dyDescent="0.25">
      <c r="A1031" t="s">
        <v>2305</v>
      </c>
      <c r="B1031" t="s">
        <v>423</v>
      </c>
      <c r="C1031" t="s">
        <v>2306</v>
      </c>
      <c r="D1031" t="s">
        <v>667</v>
      </c>
      <c r="E1031" t="s">
        <v>696</v>
      </c>
      <c r="F1031">
        <v>59.99</v>
      </c>
      <c r="G1031">
        <v>4</v>
      </c>
      <c r="H1031">
        <v>0</v>
      </c>
      <c r="I1031">
        <v>59.99</v>
      </c>
      <c r="J1031">
        <v>239.96</v>
      </c>
      <c r="K1031" t="s">
        <v>655</v>
      </c>
      <c r="L1031" t="s">
        <v>739</v>
      </c>
      <c r="M1031">
        <v>3</v>
      </c>
    </row>
    <row r="1032" spans="1:13" x14ac:dyDescent="0.25">
      <c r="A1032" t="s">
        <v>2307</v>
      </c>
      <c r="B1032" t="s">
        <v>423</v>
      </c>
      <c r="C1032" t="s">
        <v>2308</v>
      </c>
      <c r="D1032" t="s">
        <v>653</v>
      </c>
      <c r="E1032" t="s">
        <v>654</v>
      </c>
      <c r="F1032">
        <v>39.99</v>
      </c>
      <c r="G1032">
        <v>2</v>
      </c>
      <c r="H1032">
        <v>0</v>
      </c>
      <c r="I1032">
        <v>39.99</v>
      </c>
      <c r="J1032">
        <v>79.98</v>
      </c>
      <c r="K1032" t="s">
        <v>661</v>
      </c>
      <c r="L1032" t="s">
        <v>656</v>
      </c>
      <c r="M1032">
        <v>4</v>
      </c>
    </row>
    <row r="1033" spans="1:13" x14ac:dyDescent="0.25">
      <c r="A1033" t="s">
        <v>2309</v>
      </c>
      <c r="B1033" t="s">
        <v>423</v>
      </c>
      <c r="C1033" t="s">
        <v>522</v>
      </c>
      <c r="D1033" t="s">
        <v>672</v>
      </c>
      <c r="E1033" t="s">
        <v>724</v>
      </c>
      <c r="F1033">
        <v>89.99</v>
      </c>
      <c r="G1033">
        <v>1</v>
      </c>
      <c r="H1033">
        <v>0</v>
      </c>
      <c r="I1033">
        <v>89.99</v>
      </c>
      <c r="J1033">
        <v>89.99</v>
      </c>
      <c r="K1033" t="s">
        <v>682</v>
      </c>
      <c r="L1033" t="s">
        <v>656</v>
      </c>
      <c r="M1033">
        <v>5</v>
      </c>
    </row>
    <row r="1034" spans="1:13" x14ac:dyDescent="0.25">
      <c r="A1034" t="s">
        <v>2310</v>
      </c>
      <c r="B1034" t="s">
        <v>426</v>
      </c>
      <c r="C1034" t="s">
        <v>1666</v>
      </c>
      <c r="D1034" t="s">
        <v>672</v>
      </c>
      <c r="E1034" t="s">
        <v>673</v>
      </c>
      <c r="F1034">
        <v>24.99</v>
      </c>
      <c r="G1034">
        <v>4</v>
      </c>
      <c r="H1034">
        <v>10</v>
      </c>
      <c r="I1034">
        <v>22.49</v>
      </c>
      <c r="J1034">
        <v>89.96</v>
      </c>
      <c r="K1034" t="s">
        <v>682</v>
      </c>
      <c r="L1034" t="s">
        <v>656</v>
      </c>
      <c r="M1034">
        <v>4</v>
      </c>
    </row>
    <row r="1035" spans="1:13" x14ac:dyDescent="0.25">
      <c r="A1035" t="s">
        <v>2311</v>
      </c>
      <c r="B1035" t="s">
        <v>429</v>
      </c>
      <c r="C1035" t="s">
        <v>880</v>
      </c>
      <c r="D1035" t="s">
        <v>680</v>
      </c>
      <c r="E1035" t="s">
        <v>749</v>
      </c>
      <c r="F1035">
        <v>14.99</v>
      </c>
      <c r="G1035">
        <v>4</v>
      </c>
      <c r="H1035">
        <v>10</v>
      </c>
      <c r="I1035">
        <v>13.49</v>
      </c>
      <c r="J1035">
        <v>53.96</v>
      </c>
      <c r="K1035" t="s">
        <v>655</v>
      </c>
      <c r="L1035" t="s">
        <v>656</v>
      </c>
      <c r="M1035">
        <v>5</v>
      </c>
    </row>
    <row r="1036" spans="1:13" x14ac:dyDescent="0.25">
      <c r="A1036" t="s">
        <v>2312</v>
      </c>
      <c r="B1036" t="s">
        <v>429</v>
      </c>
      <c r="C1036" t="s">
        <v>2265</v>
      </c>
      <c r="D1036" t="s">
        <v>710</v>
      </c>
      <c r="E1036" t="s">
        <v>730</v>
      </c>
      <c r="F1036">
        <v>39.99</v>
      </c>
      <c r="G1036">
        <v>3</v>
      </c>
      <c r="H1036">
        <v>15</v>
      </c>
      <c r="I1036">
        <v>33.99</v>
      </c>
      <c r="J1036">
        <v>101.97</v>
      </c>
      <c r="K1036" t="s">
        <v>669</v>
      </c>
      <c r="L1036" t="s">
        <v>656</v>
      </c>
      <c r="M1036">
        <v>4</v>
      </c>
    </row>
    <row r="1037" spans="1:13" x14ac:dyDescent="0.25">
      <c r="A1037" t="s">
        <v>2313</v>
      </c>
      <c r="B1037" t="s">
        <v>432</v>
      </c>
      <c r="C1037" t="s">
        <v>1926</v>
      </c>
      <c r="D1037" t="s">
        <v>659</v>
      </c>
      <c r="E1037" t="s">
        <v>664</v>
      </c>
      <c r="F1037">
        <v>24.99</v>
      </c>
      <c r="G1037">
        <v>3</v>
      </c>
      <c r="H1037">
        <v>5</v>
      </c>
      <c r="I1037">
        <v>23.74</v>
      </c>
      <c r="J1037">
        <v>71.22</v>
      </c>
      <c r="K1037" t="s">
        <v>661</v>
      </c>
      <c r="L1037" t="s">
        <v>788</v>
      </c>
      <c r="M1037">
        <v>5</v>
      </c>
    </row>
    <row r="1038" spans="1:13" x14ac:dyDescent="0.25">
      <c r="A1038" t="s">
        <v>2314</v>
      </c>
      <c r="B1038" t="s">
        <v>435</v>
      </c>
      <c r="C1038" t="s">
        <v>1868</v>
      </c>
      <c r="D1038" t="s">
        <v>672</v>
      </c>
      <c r="E1038" t="s">
        <v>735</v>
      </c>
      <c r="F1038">
        <v>44.99</v>
      </c>
      <c r="G1038">
        <v>2</v>
      </c>
      <c r="H1038">
        <v>10</v>
      </c>
      <c r="I1038">
        <v>40.49</v>
      </c>
      <c r="J1038">
        <v>80.98</v>
      </c>
      <c r="K1038" t="s">
        <v>669</v>
      </c>
      <c r="L1038" t="s">
        <v>656</v>
      </c>
      <c r="M1038">
        <v>1</v>
      </c>
    </row>
    <row r="1039" spans="1:13" x14ac:dyDescent="0.25">
      <c r="A1039" t="s">
        <v>2315</v>
      </c>
      <c r="B1039" t="s">
        <v>435</v>
      </c>
      <c r="C1039" t="s">
        <v>1403</v>
      </c>
      <c r="D1039" t="s">
        <v>659</v>
      </c>
      <c r="E1039" t="s">
        <v>762</v>
      </c>
      <c r="F1039">
        <v>49.99</v>
      </c>
      <c r="G1039">
        <v>4</v>
      </c>
      <c r="H1039">
        <v>0</v>
      </c>
      <c r="I1039">
        <v>49.99</v>
      </c>
      <c r="J1039">
        <v>199.96</v>
      </c>
      <c r="K1039" t="s">
        <v>675</v>
      </c>
      <c r="L1039" t="s">
        <v>656</v>
      </c>
      <c r="M1039">
        <v>5</v>
      </c>
    </row>
    <row r="1040" spans="1:13" x14ac:dyDescent="0.25">
      <c r="A1040" t="s">
        <v>2316</v>
      </c>
      <c r="B1040" t="s">
        <v>435</v>
      </c>
      <c r="C1040" t="s">
        <v>2147</v>
      </c>
      <c r="D1040" t="s">
        <v>672</v>
      </c>
      <c r="E1040" t="s">
        <v>673</v>
      </c>
      <c r="F1040">
        <v>24.99</v>
      </c>
      <c r="G1040">
        <v>3</v>
      </c>
      <c r="H1040">
        <v>0</v>
      </c>
      <c r="I1040">
        <v>24.99</v>
      </c>
      <c r="J1040">
        <v>74.97</v>
      </c>
      <c r="K1040" t="s">
        <v>655</v>
      </c>
      <c r="L1040" t="s">
        <v>739</v>
      </c>
    </row>
    <row r="1041" spans="1:13" x14ac:dyDescent="0.25">
      <c r="A1041" t="s">
        <v>2317</v>
      </c>
      <c r="B1041" t="s">
        <v>435</v>
      </c>
      <c r="C1041" t="s">
        <v>732</v>
      </c>
      <c r="D1041" t="s">
        <v>680</v>
      </c>
      <c r="E1041" t="s">
        <v>681</v>
      </c>
      <c r="F1041">
        <v>19.989999999999998</v>
      </c>
      <c r="G1041">
        <v>1</v>
      </c>
      <c r="H1041">
        <v>20</v>
      </c>
      <c r="I1041">
        <v>15.99</v>
      </c>
      <c r="J1041">
        <v>15.99</v>
      </c>
      <c r="K1041" t="s">
        <v>675</v>
      </c>
      <c r="L1041" t="s">
        <v>656</v>
      </c>
      <c r="M1041">
        <v>2</v>
      </c>
    </row>
    <row r="1042" spans="1:13" x14ac:dyDescent="0.25">
      <c r="A1042" t="s">
        <v>2318</v>
      </c>
      <c r="B1042" t="s">
        <v>437</v>
      </c>
      <c r="C1042" t="s">
        <v>2319</v>
      </c>
      <c r="D1042" t="s">
        <v>684</v>
      </c>
      <c r="E1042" t="s">
        <v>685</v>
      </c>
      <c r="F1042">
        <v>49.99</v>
      </c>
      <c r="G1042">
        <v>4</v>
      </c>
      <c r="H1042">
        <v>0</v>
      </c>
      <c r="I1042">
        <v>49.99</v>
      </c>
      <c r="J1042">
        <v>199.96</v>
      </c>
      <c r="K1042" t="s">
        <v>682</v>
      </c>
      <c r="L1042" t="s">
        <v>656</v>
      </c>
    </row>
    <row r="1043" spans="1:13" x14ac:dyDescent="0.25">
      <c r="A1043" t="s">
        <v>2320</v>
      </c>
      <c r="B1043" t="s">
        <v>437</v>
      </c>
      <c r="C1043" t="s">
        <v>2321</v>
      </c>
      <c r="D1043" t="s">
        <v>659</v>
      </c>
      <c r="E1043" t="s">
        <v>660</v>
      </c>
      <c r="F1043">
        <v>19.989999999999998</v>
      </c>
      <c r="G1043">
        <v>4</v>
      </c>
      <c r="H1043">
        <v>15</v>
      </c>
      <c r="I1043">
        <v>16.989999999999998</v>
      </c>
      <c r="J1043">
        <v>67.959999999999994</v>
      </c>
      <c r="K1043" t="s">
        <v>669</v>
      </c>
      <c r="L1043" t="s">
        <v>656</v>
      </c>
      <c r="M1043">
        <v>5</v>
      </c>
    </row>
    <row r="1044" spans="1:13" x14ac:dyDescent="0.25">
      <c r="A1044" t="s">
        <v>2322</v>
      </c>
      <c r="B1044" t="s">
        <v>437</v>
      </c>
      <c r="C1044" t="s">
        <v>1411</v>
      </c>
      <c r="D1044" t="s">
        <v>667</v>
      </c>
      <c r="E1044" t="s">
        <v>699</v>
      </c>
      <c r="F1044">
        <v>89.99</v>
      </c>
      <c r="G1044">
        <v>4</v>
      </c>
      <c r="H1044">
        <v>20</v>
      </c>
      <c r="I1044">
        <v>71.989999999999995</v>
      </c>
      <c r="J1044">
        <v>287.95999999999998</v>
      </c>
      <c r="K1044" t="s">
        <v>669</v>
      </c>
      <c r="L1044" t="s">
        <v>656</v>
      </c>
      <c r="M1044">
        <v>4</v>
      </c>
    </row>
    <row r="1045" spans="1:13" x14ac:dyDescent="0.25">
      <c r="A1045" t="s">
        <v>2323</v>
      </c>
      <c r="B1045" t="s">
        <v>437</v>
      </c>
      <c r="C1045" t="s">
        <v>2324</v>
      </c>
      <c r="D1045" t="s">
        <v>672</v>
      </c>
      <c r="E1045" t="s">
        <v>735</v>
      </c>
      <c r="F1045">
        <v>44.99</v>
      </c>
      <c r="G1045">
        <v>2</v>
      </c>
      <c r="H1045">
        <v>15</v>
      </c>
      <c r="I1045">
        <v>38.24</v>
      </c>
      <c r="J1045">
        <v>76.48</v>
      </c>
      <c r="K1045" t="s">
        <v>655</v>
      </c>
      <c r="L1045" t="s">
        <v>656</v>
      </c>
      <c r="M1045">
        <v>4</v>
      </c>
    </row>
    <row r="1046" spans="1:13" x14ac:dyDescent="0.25">
      <c r="A1046" t="s">
        <v>2325</v>
      </c>
      <c r="B1046" t="s">
        <v>437</v>
      </c>
      <c r="C1046" t="s">
        <v>941</v>
      </c>
      <c r="D1046" t="s">
        <v>680</v>
      </c>
      <c r="E1046" t="s">
        <v>688</v>
      </c>
      <c r="F1046">
        <v>29.99</v>
      </c>
      <c r="G1046">
        <v>4</v>
      </c>
      <c r="H1046">
        <v>0</v>
      </c>
      <c r="I1046">
        <v>29.99</v>
      </c>
      <c r="J1046">
        <v>119.96</v>
      </c>
      <c r="K1046" t="s">
        <v>675</v>
      </c>
      <c r="L1046" t="s">
        <v>656</v>
      </c>
      <c r="M1046">
        <v>4</v>
      </c>
    </row>
    <row r="1047" spans="1:13" x14ac:dyDescent="0.25">
      <c r="A1047" t="s">
        <v>2326</v>
      </c>
      <c r="B1047" t="s">
        <v>437</v>
      </c>
      <c r="C1047" t="s">
        <v>2327</v>
      </c>
      <c r="D1047" t="s">
        <v>672</v>
      </c>
      <c r="E1047" t="s">
        <v>673</v>
      </c>
      <c r="F1047">
        <v>24.99</v>
      </c>
      <c r="G1047">
        <v>4</v>
      </c>
      <c r="H1047">
        <v>0</v>
      </c>
      <c r="I1047">
        <v>24.99</v>
      </c>
      <c r="J1047">
        <v>99.96</v>
      </c>
      <c r="K1047" t="s">
        <v>682</v>
      </c>
      <c r="L1047" t="s">
        <v>656</v>
      </c>
    </row>
    <row r="1048" spans="1:13" x14ac:dyDescent="0.25">
      <c r="A1048" t="s">
        <v>2328</v>
      </c>
      <c r="B1048" t="s">
        <v>437</v>
      </c>
      <c r="C1048" t="s">
        <v>2213</v>
      </c>
      <c r="D1048" t="s">
        <v>659</v>
      </c>
      <c r="E1048" t="s">
        <v>762</v>
      </c>
      <c r="F1048">
        <v>49.99</v>
      </c>
      <c r="G1048">
        <v>1</v>
      </c>
      <c r="H1048">
        <v>20</v>
      </c>
      <c r="I1048">
        <v>39.99</v>
      </c>
      <c r="J1048">
        <v>39.99</v>
      </c>
      <c r="K1048" t="s">
        <v>675</v>
      </c>
      <c r="L1048" t="s">
        <v>656</v>
      </c>
    </row>
    <row r="1049" spans="1:13" x14ac:dyDescent="0.25">
      <c r="A1049" t="s">
        <v>2329</v>
      </c>
      <c r="B1049" t="s">
        <v>437</v>
      </c>
      <c r="C1049" t="s">
        <v>2330</v>
      </c>
      <c r="D1049" t="s">
        <v>684</v>
      </c>
      <c r="E1049" t="s">
        <v>702</v>
      </c>
      <c r="F1049">
        <v>199.99</v>
      </c>
      <c r="G1049">
        <v>3</v>
      </c>
      <c r="H1049">
        <v>10</v>
      </c>
      <c r="I1049">
        <v>179.99</v>
      </c>
      <c r="J1049">
        <v>539.97</v>
      </c>
      <c r="K1049" t="s">
        <v>669</v>
      </c>
      <c r="L1049" t="s">
        <v>739</v>
      </c>
      <c r="M1049">
        <v>5</v>
      </c>
    </row>
    <row r="1050" spans="1:13" x14ac:dyDescent="0.25">
      <c r="A1050" t="s">
        <v>2331</v>
      </c>
      <c r="B1050" t="s">
        <v>437</v>
      </c>
      <c r="C1050" t="s">
        <v>1290</v>
      </c>
      <c r="D1050" t="s">
        <v>659</v>
      </c>
      <c r="E1050" t="s">
        <v>762</v>
      </c>
      <c r="F1050">
        <v>49.99</v>
      </c>
      <c r="G1050">
        <v>4</v>
      </c>
      <c r="H1050">
        <v>0</v>
      </c>
      <c r="I1050">
        <v>49.99</v>
      </c>
      <c r="J1050">
        <v>199.96</v>
      </c>
      <c r="K1050" t="s">
        <v>661</v>
      </c>
      <c r="L1050" t="s">
        <v>656</v>
      </c>
    </row>
    <row r="1051" spans="1:13" x14ac:dyDescent="0.25">
      <c r="A1051" t="s">
        <v>2332</v>
      </c>
      <c r="B1051" t="s">
        <v>440</v>
      </c>
      <c r="C1051" t="s">
        <v>389</v>
      </c>
      <c r="D1051" t="s">
        <v>667</v>
      </c>
      <c r="E1051" t="s">
        <v>714</v>
      </c>
      <c r="F1051">
        <v>44.99</v>
      </c>
      <c r="G1051">
        <v>2</v>
      </c>
      <c r="H1051">
        <v>20</v>
      </c>
      <c r="I1051">
        <v>35.99</v>
      </c>
      <c r="J1051">
        <v>71.98</v>
      </c>
      <c r="K1051" t="s">
        <v>682</v>
      </c>
      <c r="L1051" t="s">
        <v>693</v>
      </c>
      <c r="M1051">
        <v>4</v>
      </c>
    </row>
    <row r="1052" spans="1:13" x14ac:dyDescent="0.25">
      <c r="A1052" t="s">
        <v>2333</v>
      </c>
      <c r="B1052" t="s">
        <v>440</v>
      </c>
      <c r="C1052" t="s">
        <v>1839</v>
      </c>
      <c r="D1052" t="s">
        <v>710</v>
      </c>
      <c r="E1052" t="s">
        <v>721</v>
      </c>
      <c r="F1052">
        <v>24.99</v>
      </c>
      <c r="G1052">
        <v>3</v>
      </c>
      <c r="H1052">
        <v>0</v>
      </c>
      <c r="I1052">
        <v>24.99</v>
      </c>
      <c r="J1052">
        <v>74.97</v>
      </c>
      <c r="K1052" t="s">
        <v>661</v>
      </c>
      <c r="L1052" t="s">
        <v>656</v>
      </c>
    </row>
    <row r="1053" spans="1:13" x14ac:dyDescent="0.25">
      <c r="A1053" t="s">
        <v>2334</v>
      </c>
      <c r="B1053" t="s">
        <v>440</v>
      </c>
      <c r="C1053" t="s">
        <v>1904</v>
      </c>
      <c r="D1053" t="s">
        <v>667</v>
      </c>
      <c r="E1053" t="s">
        <v>696</v>
      </c>
      <c r="F1053">
        <v>59.99</v>
      </c>
      <c r="G1053">
        <v>2</v>
      </c>
      <c r="H1053">
        <v>15</v>
      </c>
      <c r="I1053">
        <v>50.99</v>
      </c>
      <c r="J1053">
        <v>101.98</v>
      </c>
      <c r="K1053" t="s">
        <v>669</v>
      </c>
      <c r="L1053" t="s">
        <v>656</v>
      </c>
    </row>
    <row r="1054" spans="1:13" x14ac:dyDescent="0.25">
      <c r="A1054" t="s">
        <v>2335</v>
      </c>
      <c r="B1054" t="s">
        <v>440</v>
      </c>
      <c r="C1054" t="s">
        <v>1203</v>
      </c>
      <c r="D1054" t="s">
        <v>672</v>
      </c>
      <c r="E1054" t="s">
        <v>803</v>
      </c>
      <c r="F1054">
        <v>69.989999999999995</v>
      </c>
      <c r="G1054">
        <v>4</v>
      </c>
      <c r="H1054">
        <v>5</v>
      </c>
      <c r="I1054">
        <v>66.489999999999995</v>
      </c>
      <c r="J1054">
        <v>265.95999999999998</v>
      </c>
      <c r="K1054" t="s">
        <v>669</v>
      </c>
      <c r="L1054" t="s">
        <v>656</v>
      </c>
      <c r="M1054">
        <v>4</v>
      </c>
    </row>
    <row r="1055" spans="1:13" x14ac:dyDescent="0.25">
      <c r="A1055" t="s">
        <v>2336</v>
      </c>
      <c r="B1055" t="s">
        <v>440</v>
      </c>
      <c r="C1055" t="s">
        <v>768</v>
      </c>
      <c r="D1055" t="s">
        <v>680</v>
      </c>
      <c r="E1055" t="s">
        <v>708</v>
      </c>
      <c r="F1055">
        <v>24.99</v>
      </c>
      <c r="G1055">
        <v>2</v>
      </c>
      <c r="H1055">
        <v>15</v>
      </c>
      <c r="I1055">
        <v>21.24</v>
      </c>
      <c r="J1055">
        <v>42.48</v>
      </c>
      <c r="K1055" t="s">
        <v>655</v>
      </c>
      <c r="L1055" t="s">
        <v>656</v>
      </c>
      <c r="M1055">
        <v>5</v>
      </c>
    </row>
    <row r="1056" spans="1:13" x14ac:dyDescent="0.25">
      <c r="A1056" t="s">
        <v>2337</v>
      </c>
      <c r="B1056" t="s">
        <v>440</v>
      </c>
      <c r="C1056" t="s">
        <v>2338</v>
      </c>
      <c r="D1056" t="s">
        <v>684</v>
      </c>
      <c r="E1056" t="s">
        <v>815</v>
      </c>
      <c r="F1056">
        <v>34.99</v>
      </c>
      <c r="G1056">
        <v>1</v>
      </c>
      <c r="H1056">
        <v>0</v>
      </c>
      <c r="I1056">
        <v>34.99</v>
      </c>
      <c r="J1056">
        <v>34.99</v>
      </c>
      <c r="K1056" t="s">
        <v>669</v>
      </c>
      <c r="L1056" t="s">
        <v>656</v>
      </c>
      <c r="M1056">
        <v>4</v>
      </c>
    </row>
    <row r="1057" spans="1:13" x14ac:dyDescent="0.25">
      <c r="A1057" t="s">
        <v>2339</v>
      </c>
      <c r="B1057" t="s">
        <v>440</v>
      </c>
      <c r="C1057" t="s">
        <v>1036</v>
      </c>
      <c r="D1057" t="s">
        <v>667</v>
      </c>
      <c r="E1057" t="s">
        <v>699</v>
      </c>
      <c r="F1057">
        <v>89.99</v>
      </c>
      <c r="G1057">
        <v>4</v>
      </c>
      <c r="H1057">
        <v>20</v>
      </c>
      <c r="I1057">
        <v>71.989999999999995</v>
      </c>
      <c r="J1057">
        <v>287.95999999999998</v>
      </c>
      <c r="K1057" t="s">
        <v>655</v>
      </c>
      <c r="L1057" t="s">
        <v>656</v>
      </c>
      <c r="M1057">
        <v>3</v>
      </c>
    </row>
    <row r="1058" spans="1:13" x14ac:dyDescent="0.25">
      <c r="A1058" t="s">
        <v>2340</v>
      </c>
      <c r="B1058" t="s">
        <v>440</v>
      </c>
      <c r="C1058" t="s">
        <v>2341</v>
      </c>
      <c r="D1058" t="s">
        <v>659</v>
      </c>
      <c r="E1058" t="s">
        <v>664</v>
      </c>
      <c r="F1058">
        <v>24.99</v>
      </c>
      <c r="G1058">
        <v>1</v>
      </c>
      <c r="H1058">
        <v>0</v>
      </c>
      <c r="I1058">
        <v>24.99</v>
      </c>
      <c r="J1058">
        <v>24.99</v>
      </c>
      <c r="K1058" t="s">
        <v>675</v>
      </c>
      <c r="L1058" t="s">
        <v>656</v>
      </c>
    </row>
    <row r="1059" spans="1:13" x14ac:dyDescent="0.25">
      <c r="A1059" t="s">
        <v>2342</v>
      </c>
      <c r="B1059" t="s">
        <v>440</v>
      </c>
      <c r="C1059" t="s">
        <v>1294</v>
      </c>
      <c r="D1059" t="s">
        <v>653</v>
      </c>
      <c r="E1059" t="s">
        <v>727</v>
      </c>
      <c r="F1059">
        <v>14.99</v>
      </c>
      <c r="G1059">
        <v>4</v>
      </c>
      <c r="H1059">
        <v>15</v>
      </c>
      <c r="I1059">
        <v>12.74</v>
      </c>
      <c r="J1059">
        <v>50.96</v>
      </c>
      <c r="K1059" t="s">
        <v>661</v>
      </c>
      <c r="L1059" t="s">
        <v>656</v>
      </c>
      <c r="M1059">
        <v>4</v>
      </c>
    </row>
    <row r="1060" spans="1:13" x14ac:dyDescent="0.25">
      <c r="A1060" t="s">
        <v>2343</v>
      </c>
      <c r="B1060" t="s">
        <v>440</v>
      </c>
      <c r="C1060" t="s">
        <v>2162</v>
      </c>
      <c r="D1060" t="s">
        <v>659</v>
      </c>
      <c r="E1060" t="s">
        <v>664</v>
      </c>
      <c r="F1060">
        <v>24.99</v>
      </c>
      <c r="G1060">
        <v>2</v>
      </c>
      <c r="H1060">
        <v>20</v>
      </c>
      <c r="I1060">
        <v>19.989999999999998</v>
      </c>
      <c r="J1060">
        <v>39.979999999999997</v>
      </c>
      <c r="K1060" t="s">
        <v>655</v>
      </c>
      <c r="L1060" t="s">
        <v>656</v>
      </c>
    </row>
    <row r="1061" spans="1:13" x14ac:dyDescent="0.25">
      <c r="A1061" t="s">
        <v>2344</v>
      </c>
      <c r="B1061" t="s">
        <v>440</v>
      </c>
      <c r="C1061" t="s">
        <v>2085</v>
      </c>
      <c r="D1061" t="s">
        <v>710</v>
      </c>
      <c r="E1061" t="s">
        <v>711</v>
      </c>
      <c r="F1061">
        <v>14.99</v>
      </c>
      <c r="G1061">
        <v>2</v>
      </c>
      <c r="H1061">
        <v>0</v>
      </c>
      <c r="I1061">
        <v>14.99</v>
      </c>
      <c r="J1061">
        <v>29.98</v>
      </c>
      <c r="K1061" t="s">
        <v>661</v>
      </c>
      <c r="L1061" t="s">
        <v>656</v>
      </c>
      <c r="M1061">
        <v>3</v>
      </c>
    </row>
    <row r="1062" spans="1:13" x14ac:dyDescent="0.25">
      <c r="A1062" t="s">
        <v>2345</v>
      </c>
      <c r="B1062" t="s">
        <v>440</v>
      </c>
      <c r="C1062" t="s">
        <v>2346</v>
      </c>
      <c r="D1062" t="s">
        <v>667</v>
      </c>
      <c r="E1062" t="s">
        <v>699</v>
      </c>
      <c r="F1062">
        <v>89.99</v>
      </c>
      <c r="G1062">
        <v>1</v>
      </c>
      <c r="H1062">
        <v>0</v>
      </c>
      <c r="I1062">
        <v>89.99</v>
      </c>
      <c r="J1062">
        <v>89.99</v>
      </c>
      <c r="K1062" t="s">
        <v>655</v>
      </c>
      <c r="L1062" t="s">
        <v>693</v>
      </c>
      <c r="M1062">
        <v>3</v>
      </c>
    </row>
    <row r="1063" spans="1:13" x14ac:dyDescent="0.25">
      <c r="A1063" t="s">
        <v>2347</v>
      </c>
      <c r="B1063" t="s">
        <v>443</v>
      </c>
      <c r="C1063" t="s">
        <v>2348</v>
      </c>
      <c r="D1063" t="s">
        <v>710</v>
      </c>
      <c r="E1063" t="s">
        <v>744</v>
      </c>
      <c r="F1063">
        <v>29.99</v>
      </c>
      <c r="G1063">
        <v>1</v>
      </c>
      <c r="H1063">
        <v>0</v>
      </c>
      <c r="I1063">
        <v>29.99</v>
      </c>
      <c r="J1063">
        <v>29.99</v>
      </c>
      <c r="K1063" t="s">
        <v>682</v>
      </c>
      <c r="L1063" t="s">
        <v>656</v>
      </c>
      <c r="M1063">
        <v>3</v>
      </c>
    </row>
    <row r="1064" spans="1:13" x14ac:dyDescent="0.25">
      <c r="A1064" t="s">
        <v>2349</v>
      </c>
      <c r="B1064" t="s">
        <v>443</v>
      </c>
      <c r="C1064" t="s">
        <v>2350</v>
      </c>
      <c r="D1064" t="s">
        <v>653</v>
      </c>
      <c r="E1064" t="s">
        <v>654</v>
      </c>
      <c r="F1064">
        <v>39.99</v>
      </c>
      <c r="G1064">
        <v>2</v>
      </c>
      <c r="H1064">
        <v>20</v>
      </c>
      <c r="I1064">
        <v>31.99</v>
      </c>
      <c r="J1064">
        <v>63.98</v>
      </c>
      <c r="K1064" t="s">
        <v>669</v>
      </c>
      <c r="L1064" t="s">
        <v>656</v>
      </c>
      <c r="M1064">
        <v>5</v>
      </c>
    </row>
    <row r="1065" spans="1:13" x14ac:dyDescent="0.25">
      <c r="A1065" t="s">
        <v>2351</v>
      </c>
      <c r="B1065" t="s">
        <v>443</v>
      </c>
      <c r="C1065" t="s">
        <v>2104</v>
      </c>
      <c r="D1065" t="s">
        <v>672</v>
      </c>
      <c r="E1065" t="s">
        <v>673</v>
      </c>
      <c r="F1065">
        <v>24.99</v>
      </c>
      <c r="G1065">
        <v>3</v>
      </c>
      <c r="H1065">
        <v>20</v>
      </c>
      <c r="I1065">
        <v>19.989999999999998</v>
      </c>
      <c r="J1065">
        <v>59.97</v>
      </c>
      <c r="K1065" t="s">
        <v>682</v>
      </c>
      <c r="L1065" t="s">
        <v>656</v>
      </c>
    </row>
    <row r="1066" spans="1:13" x14ac:dyDescent="0.25">
      <c r="A1066" t="s">
        <v>2352</v>
      </c>
      <c r="B1066" t="s">
        <v>443</v>
      </c>
      <c r="C1066" t="s">
        <v>1578</v>
      </c>
      <c r="D1066" t="s">
        <v>684</v>
      </c>
      <c r="E1066" t="s">
        <v>705</v>
      </c>
      <c r="F1066">
        <v>79.989999999999995</v>
      </c>
      <c r="G1066">
        <v>3</v>
      </c>
      <c r="H1066">
        <v>20</v>
      </c>
      <c r="I1066">
        <v>63.99</v>
      </c>
      <c r="J1066">
        <v>191.97</v>
      </c>
      <c r="K1066" t="s">
        <v>655</v>
      </c>
      <c r="L1066" t="s">
        <v>656</v>
      </c>
      <c r="M1066">
        <v>4</v>
      </c>
    </row>
    <row r="1067" spans="1:13" x14ac:dyDescent="0.25">
      <c r="A1067" t="s">
        <v>2353</v>
      </c>
      <c r="B1067" t="s">
        <v>443</v>
      </c>
      <c r="C1067" t="s">
        <v>2051</v>
      </c>
      <c r="D1067" t="s">
        <v>672</v>
      </c>
      <c r="E1067" t="s">
        <v>673</v>
      </c>
      <c r="F1067">
        <v>24.99</v>
      </c>
      <c r="G1067">
        <v>2</v>
      </c>
      <c r="H1067">
        <v>0</v>
      </c>
      <c r="I1067">
        <v>24.99</v>
      </c>
      <c r="J1067">
        <v>49.98</v>
      </c>
      <c r="K1067" t="s">
        <v>669</v>
      </c>
      <c r="L1067" t="s">
        <v>656</v>
      </c>
      <c r="M1067">
        <v>4</v>
      </c>
    </row>
    <row r="1068" spans="1:13" x14ac:dyDescent="0.25">
      <c r="A1068" t="s">
        <v>2354</v>
      </c>
      <c r="B1068" t="s">
        <v>446</v>
      </c>
      <c r="C1068" t="s">
        <v>973</v>
      </c>
      <c r="D1068" t="s">
        <v>667</v>
      </c>
      <c r="E1068" t="s">
        <v>696</v>
      </c>
      <c r="F1068">
        <v>59.99</v>
      </c>
      <c r="G1068">
        <v>4</v>
      </c>
      <c r="H1068">
        <v>10</v>
      </c>
      <c r="I1068">
        <v>53.99</v>
      </c>
      <c r="J1068">
        <v>215.96</v>
      </c>
      <c r="K1068" t="s">
        <v>682</v>
      </c>
      <c r="L1068" t="s">
        <v>656</v>
      </c>
      <c r="M1068">
        <v>4</v>
      </c>
    </row>
    <row r="1069" spans="1:13" x14ac:dyDescent="0.25">
      <c r="A1069" t="s">
        <v>2355</v>
      </c>
      <c r="B1069" t="s">
        <v>446</v>
      </c>
      <c r="C1069" t="s">
        <v>2252</v>
      </c>
      <c r="D1069" t="s">
        <v>684</v>
      </c>
      <c r="E1069" t="s">
        <v>815</v>
      </c>
      <c r="F1069">
        <v>34.99</v>
      </c>
      <c r="G1069">
        <v>4</v>
      </c>
      <c r="H1069">
        <v>20</v>
      </c>
      <c r="I1069">
        <v>27.99</v>
      </c>
      <c r="J1069">
        <v>111.96</v>
      </c>
      <c r="K1069" t="s">
        <v>661</v>
      </c>
      <c r="L1069" t="s">
        <v>656</v>
      </c>
      <c r="M1069">
        <v>4</v>
      </c>
    </row>
    <row r="1070" spans="1:13" x14ac:dyDescent="0.25">
      <c r="A1070" t="s">
        <v>2356</v>
      </c>
      <c r="B1070" t="s">
        <v>446</v>
      </c>
      <c r="C1070" t="s">
        <v>1846</v>
      </c>
      <c r="D1070" t="s">
        <v>710</v>
      </c>
      <c r="E1070" t="s">
        <v>711</v>
      </c>
      <c r="F1070">
        <v>14.99</v>
      </c>
      <c r="G1070">
        <v>3</v>
      </c>
      <c r="H1070">
        <v>20</v>
      </c>
      <c r="I1070">
        <v>11.99</v>
      </c>
      <c r="J1070">
        <v>35.97</v>
      </c>
      <c r="K1070" t="s">
        <v>675</v>
      </c>
      <c r="L1070" t="s">
        <v>656</v>
      </c>
      <c r="M1070">
        <v>5</v>
      </c>
    </row>
    <row r="1071" spans="1:13" x14ac:dyDescent="0.25">
      <c r="A1071" t="s">
        <v>2357</v>
      </c>
      <c r="B1071" t="s">
        <v>446</v>
      </c>
      <c r="C1071" t="s">
        <v>723</v>
      </c>
      <c r="D1071" t="s">
        <v>672</v>
      </c>
      <c r="E1071" t="s">
        <v>735</v>
      </c>
      <c r="F1071">
        <v>44.99</v>
      </c>
      <c r="G1071">
        <v>2</v>
      </c>
      <c r="H1071">
        <v>10</v>
      </c>
      <c r="I1071">
        <v>40.49</v>
      </c>
      <c r="J1071">
        <v>80.98</v>
      </c>
      <c r="K1071" t="s">
        <v>655</v>
      </c>
      <c r="L1071" t="s">
        <v>656</v>
      </c>
      <c r="M1071">
        <v>4</v>
      </c>
    </row>
    <row r="1072" spans="1:13" x14ac:dyDescent="0.25">
      <c r="A1072" t="s">
        <v>2358</v>
      </c>
      <c r="B1072" t="s">
        <v>446</v>
      </c>
      <c r="C1072" t="s">
        <v>2359</v>
      </c>
      <c r="D1072" t="s">
        <v>667</v>
      </c>
      <c r="E1072" t="s">
        <v>699</v>
      </c>
      <c r="F1072">
        <v>89.99</v>
      </c>
      <c r="G1072">
        <v>3</v>
      </c>
      <c r="H1072">
        <v>0</v>
      </c>
      <c r="I1072">
        <v>89.99</v>
      </c>
      <c r="J1072">
        <v>269.97000000000003</v>
      </c>
      <c r="K1072" t="s">
        <v>675</v>
      </c>
      <c r="L1072" t="s">
        <v>656</v>
      </c>
      <c r="M1072">
        <v>5</v>
      </c>
    </row>
    <row r="1073" spans="1:13" x14ac:dyDescent="0.25">
      <c r="A1073" t="s">
        <v>2360</v>
      </c>
      <c r="B1073" t="s">
        <v>446</v>
      </c>
      <c r="C1073" t="s">
        <v>2361</v>
      </c>
      <c r="D1073" t="s">
        <v>667</v>
      </c>
      <c r="E1073" t="s">
        <v>714</v>
      </c>
      <c r="F1073">
        <v>44.99</v>
      </c>
      <c r="G1073">
        <v>1</v>
      </c>
      <c r="H1073">
        <v>0</v>
      </c>
      <c r="I1073">
        <v>44.99</v>
      </c>
      <c r="J1073">
        <v>44.99</v>
      </c>
      <c r="K1073" t="s">
        <v>661</v>
      </c>
      <c r="L1073" t="s">
        <v>788</v>
      </c>
    </row>
    <row r="1074" spans="1:13" x14ac:dyDescent="0.25">
      <c r="A1074" t="s">
        <v>2362</v>
      </c>
      <c r="B1074" t="s">
        <v>446</v>
      </c>
      <c r="C1074" t="s">
        <v>773</v>
      </c>
      <c r="D1074" t="s">
        <v>710</v>
      </c>
      <c r="E1074" t="s">
        <v>721</v>
      </c>
      <c r="F1074">
        <v>24.99</v>
      </c>
      <c r="G1074">
        <v>3</v>
      </c>
      <c r="H1074">
        <v>0</v>
      </c>
      <c r="I1074">
        <v>24.99</v>
      </c>
      <c r="J1074">
        <v>74.97</v>
      </c>
      <c r="K1074" t="s">
        <v>675</v>
      </c>
      <c r="L1074" t="s">
        <v>656</v>
      </c>
    </row>
    <row r="1075" spans="1:13" x14ac:dyDescent="0.25">
      <c r="A1075" t="s">
        <v>2363</v>
      </c>
      <c r="B1075" t="s">
        <v>446</v>
      </c>
      <c r="C1075" t="s">
        <v>2245</v>
      </c>
      <c r="D1075" t="s">
        <v>684</v>
      </c>
      <c r="E1075" t="s">
        <v>702</v>
      </c>
      <c r="F1075">
        <v>199.99</v>
      </c>
      <c r="G1075">
        <v>1</v>
      </c>
      <c r="H1075">
        <v>0</v>
      </c>
      <c r="I1075">
        <v>199.99</v>
      </c>
      <c r="J1075">
        <v>199.99</v>
      </c>
      <c r="K1075" t="s">
        <v>661</v>
      </c>
      <c r="L1075" t="s">
        <v>656</v>
      </c>
    </row>
    <row r="1076" spans="1:13" x14ac:dyDescent="0.25">
      <c r="A1076" t="s">
        <v>2364</v>
      </c>
      <c r="B1076" t="s">
        <v>446</v>
      </c>
      <c r="C1076" t="s">
        <v>1353</v>
      </c>
      <c r="D1076" t="s">
        <v>680</v>
      </c>
      <c r="E1076" t="s">
        <v>688</v>
      </c>
      <c r="F1076">
        <v>29.99</v>
      </c>
      <c r="G1076">
        <v>2</v>
      </c>
      <c r="H1076">
        <v>20</v>
      </c>
      <c r="I1076">
        <v>23.99</v>
      </c>
      <c r="J1076">
        <v>47.98</v>
      </c>
      <c r="K1076" t="s">
        <v>675</v>
      </c>
      <c r="L1076" t="s">
        <v>656</v>
      </c>
      <c r="M1076">
        <v>4</v>
      </c>
    </row>
    <row r="1077" spans="1:13" x14ac:dyDescent="0.25">
      <c r="A1077" t="s">
        <v>2365</v>
      </c>
      <c r="B1077" t="s">
        <v>446</v>
      </c>
      <c r="C1077" t="s">
        <v>2366</v>
      </c>
      <c r="D1077" t="s">
        <v>659</v>
      </c>
      <c r="E1077" t="s">
        <v>762</v>
      </c>
      <c r="F1077">
        <v>49.99</v>
      </c>
      <c r="G1077">
        <v>1</v>
      </c>
      <c r="H1077">
        <v>0</v>
      </c>
      <c r="I1077">
        <v>49.99</v>
      </c>
      <c r="J1077">
        <v>49.99</v>
      </c>
      <c r="K1077" t="s">
        <v>661</v>
      </c>
      <c r="L1077" t="s">
        <v>656</v>
      </c>
      <c r="M1077">
        <v>3</v>
      </c>
    </row>
    <row r="1078" spans="1:13" x14ac:dyDescent="0.25">
      <c r="A1078" t="s">
        <v>2367</v>
      </c>
      <c r="B1078" t="s">
        <v>446</v>
      </c>
      <c r="C1078" t="s">
        <v>2368</v>
      </c>
      <c r="D1078" t="s">
        <v>684</v>
      </c>
      <c r="E1078" t="s">
        <v>702</v>
      </c>
      <c r="F1078">
        <v>199.99</v>
      </c>
      <c r="G1078">
        <v>1</v>
      </c>
      <c r="H1078">
        <v>0</v>
      </c>
      <c r="I1078">
        <v>199.99</v>
      </c>
      <c r="J1078">
        <v>199.99</v>
      </c>
      <c r="K1078" t="s">
        <v>669</v>
      </c>
      <c r="L1078" t="s">
        <v>656</v>
      </c>
      <c r="M1078">
        <v>5</v>
      </c>
    </row>
    <row r="1079" spans="1:13" x14ac:dyDescent="0.25">
      <c r="A1079" t="s">
        <v>2369</v>
      </c>
      <c r="B1079" t="s">
        <v>449</v>
      </c>
      <c r="C1079" t="s">
        <v>2370</v>
      </c>
      <c r="D1079" t="s">
        <v>672</v>
      </c>
      <c r="E1079" t="s">
        <v>673</v>
      </c>
      <c r="F1079">
        <v>24.99</v>
      </c>
      <c r="G1079">
        <v>1</v>
      </c>
      <c r="H1079">
        <v>20</v>
      </c>
      <c r="I1079">
        <v>19.989999999999998</v>
      </c>
      <c r="J1079">
        <v>19.989999999999998</v>
      </c>
      <c r="K1079" t="s">
        <v>675</v>
      </c>
      <c r="L1079" t="s">
        <v>656</v>
      </c>
      <c r="M1079">
        <v>4</v>
      </c>
    </row>
    <row r="1080" spans="1:13" x14ac:dyDescent="0.25">
      <c r="A1080" t="s">
        <v>2371</v>
      </c>
      <c r="B1080" t="s">
        <v>449</v>
      </c>
      <c r="C1080" t="s">
        <v>2372</v>
      </c>
      <c r="D1080" t="s">
        <v>684</v>
      </c>
      <c r="E1080" t="s">
        <v>702</v>
      </c>
      <c r="F1080">
        <v>199.99</v>
      </c>
      <c r="G1080">
        <v>3</v>
      </c>
      <c r="H1080">
        <v>15</v>
      </c>
      <c r="I1080">
        <v>169.99</v>
      </c>
      <c r="J1080">
        <v>509.97</v>
      </c>
      <c r="K1080" t="s">
        <v>669</v>
      </c>
      <c r="L1080" t="s">
        <v>656</v>
      </c>
    </row>
    <row r="1081" spans="1:13" x14ac:dyDescent="0.25">
      <c r="A1081" t="s">
        <v>2373</v>
      </c>
      <c r="B1081" t="s">
        <v>449</v>
      </c>
      <c r="C1081" t="s">
        <v>2374</v>
      </c>
      <c r="D1081" t="s">
        <v>672</v>
      </c>
      <c r="E1081" t="s">
        <v>803</v>
      </c>
      <c r="F1081">
        <v>69.989999999999995</v>
      </c>
      <c r="G1081">
        <v>2</v>
      </c>
      <c r="H1081">
        <v>20</v>
      </c>
      <c r="I1081">
        <v>55.99</v>
      </c>
      <c r="J1081">
        <v>111.98</v>
      </c>
      <c r="K1081" t="s">
        <v>675</v>
      </c>
      <c r="L1081" t="s">
        <v>656</v>
      </c>
    </row>
    <row r="1082" spans="1:13" x14ac:dyDescent="0.25">
      <c r="A1082" t="s">
        <v>2375</v>
      </c>
      <c r="B1082" t="s">
        <v>449</v>
      </c>
      <c r="C1082" t="s">
        <v>2376</v>
      </c>
      <c r="D1082" t="s">
        <v>667</v>
      </c>
      <c r="E1082" t="s">
        <v>714</v>
      </c>
      <c r="F1082">
        <v>44.99</v>
      </c>
      <c r="G1082">
        <v>3</v>
      </c>
      <c r="H1082">
        <v>0</v>
      </c>
      <c r="I1082">
        <v>44.99</v>
      </c>
      <c r="J1082">
        <v>134.97</v>
      </c>
      <c r="K1082" t="s">
        <v>682</v>
      </c>
      <c r="L1082" t="s">
        <v>656</v>
      </c>
      <c r="M1082">
        <v>3</v>
      </c>
    </row>
    <row r="1083" spans="1:13" x14ac:dyDescent="0.25">
      <c r="A1083" t="s">
        <v>2377</v>
      </c>
      <c r="B1083" t="s">
        <v>449</v>
      </c>
      <c r="C1083" t="s">
        <v>830</v>
      </c>
      <c r="D1083" t="s">
        <v>653</v>
      </c>
      <c r="E1083" t="s">
        <v>654</v>
      </c>
      <c r="F1083">
        <v>39.99</v>
      </c>
      <c r="G1083">
        <v>2</v>
      </c>
      <c r="H1083">
        <v>10</v>
      </c>
      <c r="I1083">
        <v>35.99</v>
      </c>
      <c r="J1083">
        <v>71.98</v>
      </c>
      <c r="K1083" t="s">
        <v>661</v>
      </c>
      <c r="L1083" t="s">
        <v>656</v>
      </c>
      <c r="M1083">
        <v>5</v>
      </c>
    </row>
    <row r="1084" spans="1:13" x14ac:dyDescent="0.25">
      <c r="A1084" t="s">
        <v>2378</v>
      </c>
      <c r="B1084" t="s">
        <v>449</v>
      </c>
      <c r="C1084" t="s">
        <v>1092</v>
      </c>
      <c r="D1084" t="s">
        <v>659</v>
      </c>
      <c r="E1084" t="s">
        <v>664</v>
      </c>
      <c r="F1084">
        <v>24.99</v>
      </c>
      <c r="G1084">
        <v>1</v>
      </c>
      <c r="H1084">
        <v>20</v>
      </c>
      <c r="I1084">
        <v>19.989999999999998</v>
      </c>
      <c r="J1084">
        <v>19.989999999999998</v>
      </c>
      <c r="K1084" t="s">
        <v>669</v>
      </c>
      <c r="L1084" t="s">
        <v>656</v>
      </c>
      <c r="M1084">
        <v>3</v>
      </c>
    </row>
    <row r="1085" spans="1:13" x14ac:dyDescent="0.25">
      <c r="A1085" t="s">
        <v>2379</v>
      </c>
      <c r="B1085" t="s">
        <v>449</v>
      </c>
      <c r="C1085" t="s">
        <v>1832</v>
      </c>
      <c r="D1085" t="s">
        <v>659</v>
      </c>
      <c r="E1085" t="s">
        <v>660</v>
      </c>
      <c r="F1085">
        <v>19.989999999999998</v>
      </c>
      <c r="G1085">
        <v>2</v>
      </c>
      <c r="H1085">
        <v>0</v>
      </c>
      <c r="I1085">
        <v>19.989999999999998</v>
      </c>
      <c r="J1085">
        <v>39.979999999999997</v>
      </c>
      <c r="K1085" t="s">
        <v>675</v>
      </c>
      <c r="L1085" t="s">
        <v>656</v>
      </c>
      <c r="M1085">
        <v>5</v>
      </c>
    </row>
    <row r="1086" spans="1:13" x14ac:dyDescent="0.25">
      <c r="A1086" t="s">
        <v>2380</v>
      </c>
      <c r="B1086" t="s">
        <v>449</v>
      </c>
      <c r="C1086" t="s">
        <v>692</v>
      </c>
      <c r="D1086" t="s">
        <v>653</v>
      </c>
      <c r="E1086" t="s">
        <v>769</v>
      </c>
      <c r="F1086">
        <v>49.99</v>
      </c>
      <c r="G1086">
        <v>4</v>
      </c>
      <c r="H1086">
        <v>5</v>
      </c>
      <c r="I1086">
        <v>47.49</v>
      </c>
      <c r="J1086">
        <v>189.96</v>
      </c>
      <c r="K1086" t="s">
        <v>669</v>
      </c>
      <c r="L1086" t="s">
        <v>656</v>
      </c>
      <c r="M1086">
        <v>4</v>
      </c>
    </row>
    <row r="1087" spans="1:13" x14ac:dyDescent="0.25">
      <c r="A1087" t="s">
        <v>2381</v>
      </c>
      <c r="B1087" t="s">
        <v>449</v>
      </c>
      <c r="C1087" t="s">
        <v>205</v>
      </c>
      <c r="D1087" t="s">
        <v>653</v>
      </c>
      <c r="E1087" t="s">
        <v>654</v>
      </c>
      <c r="F1087">
        <v>39.99</v>
      </c>
      <c r="G1087">
        <v>3</v>
      </c>
      <c r="H1087">
        <v>0</v>
      </c>
      <c r="I1087">
        <v>39.99</v>
      </c>
      <c r="J1087">
        <v>119.97</v>
      </c>
      <c r="K1087" t="s">
        <v>682</v>
      </c>
      <c r="L1087" t="s">
        <v>656</v>
      </c>
      <c r="M1087">
        <v>5</v>
      </c>
    </row>
    <row r="1088" spans="1:13" x14ac:dyDescent="0.25">
      <c r="A1088" t="s">
        <v>2382</v>
      </c>
      <c r="B1088" t="s">
        <v>449</v>
      </c>
      <c r="C1088" t="s">
        <v>666</v>
      </c>
      <c r="D1088" t="s">
        <v>672</v>
      </c>
      <c r="E1088" t="s">
        <v>724</v>
      </c>
      <c r="F1088">
        <v>89.99</v>
      </c>
      <c r="G1088">
        <v>3</v>
      </c>
      <c r="H1088">
        <v>20</v>
      </c>
      <c r="I1088">
        <v>71.989999999999995</v>
      </c>
      <c r="J1088">
        <v>215.97</v>
      </c>
      <c r="K1088" t="s">
        <v>682</v>
      </c>
      <c r="L1088" t="s">
        <v>656</v>
      </c>
      <c r="M1088">
        <v>4</v>
      </c>
    </row>
    <row r="1089" spans="1:13" x14ac:dyDescent="0.25">
      <c r="A1089" t="s">
        <v>2383</v>
      </c>
      <c r="B1089" t="s">
        <v>449</v>
      </c>
      <c r="C1089" t="s">
        <v>2384</v>
      </c>
      <c r="D1089" t="s">
        <v>684</v>
      </c>
      <c r="E1089" t="s">
        <v>815</v>
      </c>
      <c r="F1089">
        <v>34.99</v>
      </c>
      <c r="G1089">
        <v>4</v>
      </c>
      <c r="H1089">
        <v>10</v>
      </c>
      <c r="I1089">
        <v>31.49</v>
      </c>
      <c r="J1089">
        <v>125.96</v>
      </c>
      <c r="K1089" t="s">
        <v>655</v>
      </c>
      <c r="L1089" t="s">
        <v>656</v>
      </c>
      <c r="M1089">
        <v>4</v>
      </c>
    </row>
    <row r="1090" spans="1:13" x14ac:dyDescent="0.25">
      <c r="A1090" t="s">
        <v>2385</v>
      </c>
      <c r="B1090" t="s">
        <v>449</v>
      </c>
      <c r="C1090" t="s">
        <v>2386</v>
      </c>
      <c r="D1090" t="s">
        <v>672</v>
      </c>
      <c r="E1090" t="s">
        <v>673</v>
      </c>
      <c r="F1090">
        <v>24.99</v>
      </c>
      <c r="G1090">
        <v>1</v>
      </c>
      <c r="H1090">
        <v>0</v>
      </c>
      <c r="I1090">
        <v>24.99</v>
      </c>
      <c r="J1090">
        <v>24.99</v>
      </c>
      <c r="K1090" t="s">
        <v>655</v>
      </c>
      <c r="L1090" t="s">
        <v>656</v>
      </c>
      <c r="M1090">
        <v>5</v>
      </c>
    </row>
    <row r="1091" spans="1:13" x14ac:dyDescent="0.25">
      <c r="A1091" t="s">
        <v>2387</v>
      </c>
      <c r="B1091" t="s">
        <v>449</v>
      </c>
      <c r="C1091" t="s">
        <v>445</v>
      </c>
      <c r="D1091" t="s">
        <v>680</v>
      </c>
      <c r="E1091" t="s">
        <v>749</v>
      </c>
      <c r="F1091">
        <v>14.99</v>
      </c>
      <c r="G1091">
        <v>1</v>
      </c>
      <c r="H1091">
        <v>10</v>
      </c>
      <c r="I1091">
        <v>13.49</v>
      </c>
      <c r="J1091">
        <v>13.49</v>
      </c>
      <c r="K1091" t="s">
        <v>675</v>
      </c>
      <c r="L1091" t="s">
        <v>656</v>
      </c>
      <c r="M1091">
        <v>5</v>
      </c>
    </row>
    <row r="1092" spans="1:13" x14ac:dyDescent="0.25">
      <c r="A1092" t="s">
        <v>2388</v>
      </c>
      <c r="B1092" t="s">
        <v>452</v>
      </c>
      <c r="C1092" t="s">
        <v>1301</v>
      </c>
      <c r="D1092" t="s">
        <v>653</v>
      </c>
      <c r="E1092" t="s">
        <v>769</v>
      </c>
      <c r="F1092">
        <v>49.99</v>
      </c>
      <c r="G1092">
        <v>1</v>
      </c>
      <c r="H1092">
        <v>0</v>
      </c>
      <c r="I1092">
        <v>49.99</v>
      </c>
      <c r="J1092">
        <v>49.99</v>
      </c>
      <c r="K1092" t="s">
        <v>661</v>
      </c>
      <c r="L1092" t="s">
        <v>739</v>
      </c>
      <c r="M1092">
        <v>4</v>
      </c>
    </row>
    <row r="1093" spans="1:13" x14ac:dyDescent="0.25">
      <c r="A1093" t="s">
        <v>2389</v>
      </c>
      <c r="B1093" t="s">
        <v>452</v>
      </c>
      <c r="C1093" t="s">
        <v>2390</v>
      </c>
      <c r="D1093" t="s">
        <v>667</v>
      </c>
      <c r="E1093" t="s">
        <v>699</v>
      </c>
      <c r="F1093">
        <v>89.99</v>
      </c>
      <c r="G1093">
        <v>4</v>
      </c>
      <c r="H1093">
        <v>20</v>
      </c>
      <c r="I1093">
        <v>71.989999999999995</v>
      </c>
      <c r="J1093">
        <v>287.95999999999998</v>
      </c>
      <c r="K1093" t="s">
        <v>669</v>
      </c>
      <c r="L1093" t="s">
        <v>656</v>
      </c>
      <c r="M1093">
        <v>4</v>
      </c>
    </row>
    <row r="1094" spans="1:13" x14ac:dyDescent="0.25">
      <c r="A1094" t="s">
        <v>2391</v>
      </c>
      <c r="B1094" t="s">
        <v>452</v>
      </c>
      <c r="C1094" t="s">
        <v>2191</v>
      </c>
      <c r="D1094" t="s">
        <v>672</v>
      </c>
      <c r="E1094" t="s">
        <v>735</v>
      </c>
      <c r="F1094">
        <v>44.99</v>
      </c>
      <c r="G1094">
        <v>2</v>
      </c>
      <c r="H1094">
        <v>20</v>
      </c>
      <c r="I1094">
        <v>35.99</v>
      </c>
      <c r="J1094">
        <v>71.98</v>
      </c>
      <c r="K1094" t="s">
        <v>655</v>
      </c>
      <c r="L1094" t="s">
        <v>656</v>
      </c>
      <c r="M1094">
        <v>4</v>
      </c>
    </row>
    <row r="1095" spans="1:13" x14ac:dyDescent="0.25">
      <c r="A1095" t="s">
        <v>2392</v>
      </c>
      <c r="B1095" t="s">
        <v>452</v>
      </c>
      <c r="C1095" t="s">
        <v>1403</v>
      </c>
      <c r="D1095" t="s">
        <v>659</v>
      </c>
      <c r="E1095" t="s">
        <v>660</v>
      </c>
      <c r="F1095">
        <v>19.989999999999998</v>
      </c>
      <c r="G1095">
        <v>2</v>
      </c>
      <c r="H1095">
        <v>5</v>
      </c>
      <c r="I1095">
        <v>18.989999999999998</v>
      </c>
      <c r="J1095">
        <v>37.979999999999997</v>
      </c>
      <c r="K1095" t="s">
        <v>669</v>
      </c>
      <c r="L1095" t="s">
        <v>739</v>
      </c>
      <c r="M1095">
        <v>4</v>
      </c>
    </row>
    <row r="1096" spans="1:13" x14ac:dyDescent="0.25">
      <c r="A1096" t="s">
        <v>2393</v>
      </c>
      <c r="B1096" t="s">
        <v>452</v>
      </c>
      <c r="C1096" t="s">
        <v>1140</v>
      </c>
      <c r="D1096" t="s">
        <v>680</v>
      </c>
      <c r="E1096" t="s">
        <v>688</v>
      </c>
      <c r="F1096">
        <v>29.99</v>
      </c>
      <c r="G1096">
        <v>1</v>
      </c>
      <c r="H1096">
        <v>20</v>
      </c>
      <c r="I1096">
        <v>23.99</v>
      </c>
      <c r="J1096">
        <v>23.99</v>
      </c>
      <c r="K1096" t="s">
        <v>675</v>
      </c>
      <c r="L1096" t="s">
        <v>656</v>
      </c>
      <c r="M1096">
        <v>4</v>
      </c>
    </row>
    <row r="1097" spans="1:13" x14ac:dyDescent="0.25">
      <c r="A1097" t="s">
        <v>2394</v>
      </c>
      <c r="B1097" t="s">
        <v>452</v>
      </c>
      <c r="C1097" t="s">
        <v>2131</v>
      </c>
      <c r="D1097" t="s">
        <v>667</v>
      </c>
      <c r="E1097" t="s">
        <v>714</v>
      </c>
      <c r="F1097">
        <v>44.99</v>
      </c>
      <c r="G1097">
        <v>3</v>
      </c>
      <c r="H1097">
        <v>20</v>
      </c>
      <c r="I1097">
        <v>35.99</v>
      </c>
      <c r="J1097">
        <v>107.97</v>
      </c>
      <c r="K1097" t="s">
        <v>675</v>
      </c>
      <c r="L1097" t="s">
        <v>656</v>
      </c>
      <c r="M1097">
        <v>1</v>
      </c>
    </row>
    <row r="1098" spans="1:13" x14ac:dyDescent="0.25">
      <c r="A1098" t="s">
        <v>2395</v>
      </c>
      <c r="B1098" t="s">
        <v>452</v>
      </c>
      <c r="C1098" t="s">
        <v>1167</v>
      </c>
      <c r="D1098" t="s">
        <v>659</v>
      </c>
      <c r="E1098" t="s">
        <v>762</v>
      </c>
      <c r="F1098">
        <v>49.99</v>
      </c>
      <c r="G1098">
        <v>4</v>
      </c>
      <c r="H1098">
        <v>15</v>
      </c>
      <c r="I1098">
        <v>42.49</v>
      </c>
      <c r="J1098">
        <v>169.96</v>
      </c>
      <c r="K1098" t="s">
        <v>655</v>
      </c>
      <c r="L1098" t="s">
        <v>656</v>
      </c>
    </row>
    <row r="1099" spans="1:13" x14ac:dyDescent="0.25">
      <c r="A1099" t="s">
        <v>2396</v>
      </c>
      <c r="B1099" t="s">
        <v>452</v>
      </c>
      <c r="C1099" t="s">
        <v>1068</v>
      </c>
      <c r="D1099" t="s">
        <v>710</v>
      </c>
      <c r="E1099" t="s">
        <v>721</v>
      </c>
      <c r="F1099">
        <v>24.99</v>
      </c>
      <c r="G1099">
        <v>3</v>
      </c>
      <c r="H1099">
        <v>5</v>
      </c>
      <c r="I1099">
        <v>23.74</v>
      </c>
      <c r="J1099">
        <v>71.22</v>
      </c>
      <c r="K1099" t="s">
        <v>655</v>
      </c>
      <c r="L1099" t="s">
        <v>656</v>
      </c>
      <c r="M1099">
        <v>4</v>
      </c>
    </row>
    <row r="1100" spans="1:13" x14ac:dyDescent="0.25">
      <c r="A1100" t="s">
        <v>2397</v>
      </c>
      <c r="B1100" t="s">
        <v>452</v>
      </c>
      <c r="C1100" t="s">
        <v>2398</v>
      </c>
      <c r="D1100" t="s">
        <v>680</v>
      </c>
      <c r="E1100" t="s">
        <v>681</v>
      </c>
      <c r="F1100">
        <v>19.989999999999998</v>
      </c>
      <c r="G1100">
        <v>1</v>
      </c>
      <c r="H1100">
        <v>10</v>
      </c>
      <c r="I1100">
        <v>17.989999999999998</v>
      </c>
      <c r="J1100">
        <v>17.989999999999998</v>
      </c>
      <c r="K1100" t="s">
        <v>669</v>
      </c>
      <c r="L1100" t="s">
        <v>656</v>
      </c>
      <c r="M1100">
        <v>5</v>
      </c>
    </row>
    <row r="1101" spans="1:13" x14ac:dyDescent="0.25">
      <c r="A1101" t="s">
        <v>2399</v>
      </c>
      <c r="B1101" t="s">
        <v>452</v>
      </c>
      <c r="C1101" t="s">
        <v>1242</v>
      </c>
      <c r="D1101" t="s">
        <v>684</v>
      </c>
      <c r="E1101" t="s">
        <v>705</v>
      </c>
      <c r="F1101">
        <v>79.989999999999995</v>
      </c>
      <c r="G1101">
        <v>3</v>
      </c>
      <c r="H1101">
        <v>15</v>
      </c>
      <c r="I1101">
        <v>67.989999999999995</v>
      </c>
      <c r="J1101">
        <v>203.97</v>
      </c>
      <c r="K1101" t="s">
        <v>675</v>
      </c>
      <c r="L1101" t="s">
        <v>739</v>
      </c>
      <c r="M1101">
        <v>3</v>
      </c>
    </row>
    <row r="1102" spans="1:13" x14ac:dyDescent="0.25">
      <c r="A1102" t="s">
        <v>2400</v>
      </c>
      <c r="B1102" t="s">
        <v>452</v>
      </c>
      <c r="C1102" t="s">
        <v>2282</v>
      </c>
      <c r="D1102" t="s">
        <v>680</v>
      </c>
      <c r="E1102" t="s">
        <v>708</v>
      </c>
      <c r="F1102">
        <v>24.99</v>
      </c>
      <c r="G1102">
        <v>3</v>
      </c>
      <c r="H1102">
        <v>10</v>
      </c>
      <c r="I1102">
        <v>22.49</v>
      </c>
      <c r="J1102">
        <v>67.47</v>
      </c>
      <c r="K1102" t="s">
        <v>675</v>
      </c>
      <c r="L1102" t="s">
        <v>656</v>
      </c>
      <c r="M1102">
        <v>5</v>
      </c>
    </row>
    <row r="1103" spans="1:13" x14ac:dyDescent="0.25">
      <c r="A1103" t="s">
        <v>2401</v>
      </c>
      <c r="B1103" t="s">
        <v>452</v>
      </c>
      <c r="C1103" t="s">
        <v>2402</v>
      </c>
      <c r="D1103" t="s">
        <v>680</v>
      </c>
      <c r="E1103" t="s">
        <v>749</v>
      </c>
      <c r="F1103">
        <v>14.99</v>
      </c>
      <c r="G1103">
        <v>2</v>
      </c>
      <c r="H1103">
        <v>15</v>
      </c>
      <c r="I1103">
        <v>12.74</v>
      </c>
      <c r="J1103">
        <v>25.48</v>
      </c>
      <c r="K1103" t="s">
        <v>675</v>
      </c>
      <c r="L1103" t="s">
        <v>656</v>
      </c>
    </row>
    <row r="1104" spans="1:13" x14ac:dyDescent="0.25">
      <c r="A1104" t="s">
        <v>2403</v>
      </c>
      <c r="B1104" t="s">
        <v>452</v>
      </c>
      <c r="C1104" t="s">
        <v>1546</v>
      </c>
      <c r="D1104" t="s">
        <v>667</v>
      </c>
      <c r="E1104" t="s">
        <v>699</v>
      </c>
      <c r="F1104">
        <v>89.99</v>
      </c>
      <c r="G1104">
        <v>2</v>
      </c>
      <c r="H1104">
        <v>0</v>
      </c>
      <c r="I1104">
        <v>89.99</v>
      </c>
      <c r="J1104">
        <v>179.98</v>
      </c>
      <c r="K1104" t="s">
        <v>655</v>
      </c>
      <c r="L1104" t="s">
        <v>656</v>
      </c>
    </row>
    <row r="1105" spans="1:13" x14ac:dyDescent="0.25">
      <c r="A1105" t="s">
        <v>2404</v>
      </c>
      <c r="B1105" t="s">
        <v>455</v>
      </c>
      <c r="C1105" t="s">
        <v>2376</v>
      </c>
      <c r="D1105" t="s">
        <v>710</v>
      </c>
      <c r="E1105" t="s">
        <v>730</v>
      </c>
      <c r="F1105">
        <v>39.99</v>
      </c>
      <c r="G1105">
        <v>4</v>
      </c>
      <c r="H1105">
        <v>20</v>
      </c>
      <c r="I1105">
        <v>31.99</v>
      </c>
      <c r="J1105">
        <v>127.96</v>
      </c>
      <c r="K1105" t="s">
        <v>682</v>
      </c>
      <c r="L1105" t="s">
        <v>656</v>
      </c>
    </row>
    <row r="1106" spans="1:13" x14ac:dyDescent="0.25">
      <c r="A1106" t="s">
        <v>2405</v>
      </c>
      <c r="B1106" t="s">
        <v>455</v>
      </c>
      <c r="C1106" t="s">
        <v>2406</v>
      </c>
      <c r="D1106" t="s">
        <v>710</v>
      </c>
      <c r="E1106" t="s">
        <v>711</v>
      </c>
      <c r="F1106">
        <v>14.99</v>
      </c>
      <c r="G1106">
        <v>4</v>
      </c>
      <c r="H1106">
        <v>10</v>
      </c>
      <c r="I1106">
        <v>13.49</v>
      </c>
      <c r="J1106">
        <v>53.96</v>
      </c>
      <c r="K1106" t="s">
        <v>655</v>
      </c>
      <c r="L1106" t="s">
        <v>739</v>
      </c>
      <c r="M1106">
        <v>4</v>
      </c>
    </row>
    <row r="1107" spans="1:13" x14ac:dyDescent="0.25">
      <c r="A1107" t="s">
        <v>2407</v>
      </c>
      <c r="B1107" t="s">
        <v>455</v>
      </c>
      <c r="C1107" t="s">
        <v>1347</v>
      </c>
      <c r="D1107" t="s">
        <v>667</v>
      </c>
      <c r="E1107" t="s">
        <v>699</v>
      </c>
      <c r="F1107">
        <v>89.99</v>
      </c>
      <c r="G1107">
        <v>3</v>
      </c>
      <c r="H1107">
        <v>15</v>
      </c>
      <c r="I1107">
        <v>76.489999999999995</v>
      </c>
      <c r="J1107">
        <v>229.47</v>
      </c>
      <c r="K1107" t="s">
        <v>669</v>
      </c>
      <c r="L1107" t="s">
        <v>739</v>
      </c>
    </row>
    <row r="1108" spans="1:13" x14ac:dyDescent="0.25">
      <c r="A1108" t="s">
        <v>2408</v>
      </c>
      <c r="B1108" t="s">
        <v>455</v>
      </c>
      <c r="C1108" t="s">
        <v>2409</v>
      </c>
      <c r="D1108" t="s">
        <v>667</v>
      </c>
      <c r="E1108" t="s">
        <v>668</v>
      </c>
      <c r="F1108">
        <v>64.989999999999995</v>
      </c>
      <c r="G1108">
        <v>2</v>
      </c>
      <c r="H1108">
        <v>15</v>
      </c>
      <c r="I1108">
        <v>55.24</v>
      </c>
      <c r="J1108">
        <v>110.48</v>
      </c>
      <c r="K1108" t="s">
        <v>661</v>
      </c>
      <c r="L1108" t="s">
        <v>656</v>
      </c>
      <c r="M1108">
        <v>4</v>
      </c>
    </row>
    <row r="1109" spans="1:13" x14ac:dyDescent="0.25">
      <c r="A1109" t="s">
        <v>2410</v>
      </c>
      <c r="B1109" t="s">
        <v>455</v>
      </c>
      <c r="C1109" t="s">
        <v>1602</v>
      </c>
      <c r="D1109" t="s">
        <v>684</v>
      </c>
      <c r="E1109" t="s">
        <v>705</v>
      </c>
      <c r="F1109">
        <v>79.989999999999995</v>
      </c>
      <c r="G1109">
        <v>1</v>
      </c>
      <c r="H1109">
        <v>5</v>
      </c>
      <c r="I1109">
        <v>75.989999999999995</v>
      </c>
      <c r="J1109">
        <v>75.989999999999995</v>
      </c>
      <c r="K1109" t="s">
        <v>682</v>
      </c>
      <c r="L1109" t="s">
        <v>656</v>
      </c>
      <c r="M1109">
        <v>1</v>
      </c>
    </row>
    <row r="1110" spans="1:13" x14ac:dyDescent="0.25">
      <c r="A1110" t="s">
        <v>2411</v>
      </c>
      <c r="B1110" t="s">
        <v>458</v>
      </c>
      <c r="C1110" t="s">
        <v>2412</v>
      </c>
      <c r="D1110" t="s">
        <v>672</v>
      </c>
      <c r="E1110" t="s">
        <v>803</v>
      </c>
      <c r="F1110">
        <v>69.989999999999995</v>
      </c>
      <c r="G1110">
        <v>2</v>
      </c>
      <c r="H1110">
        <v>10</v>
      </c>
      <c r="I1110">
        <v>62.99</v>
      </c>
      <c r="J1110">
        <v>125.98</v>
      </c>
      <c r="K1110" t="s">
        <v>682</v>
      </c>
      <c r="L1110" t="s">
        <v>656</v>
      </c>
      <c r="M1110">
        <v>4</v>
      </c>
    </row>
    <row r="1111" spans="1:13" x14ac:dyDescent="0.25">
      <c r="A1111" t="s">
        <v>2413</v>
      </c>
      <c r="B1111" t="s">
        <v>458</v>
      </c>
      <c r="C1111" t="s">
        <v>1018</v>
      </c>
      <c r="D1111" t="s">
        <v>653</v>
      </c>
      <c r="E1111" t="s">
        <v>827</v>
      </c>
      <c r="F1111">
        <v>29.99</v>
      </c>
      <c r="G1111">
        <v>3</v>
      </c>
      <c r="H1111">
        <v>0</v>
      </c>
      <c r="I1111">
        <v>29.99</v>
      </c>
      <c r="J1111">
        <v>89.97</v>
      </c>
      <c r="K1111" t="s">
        <v>669</v>
      </c>
      <c r="L1111" t="s">
        <v>656</v>
      </c>
    </row>
    <row r="1112" spans="1:13" x14ac:dyDescent="0.25">
      <c r="A1112" t="s">
        <v>2414</v>
      </c>
      <c r="B1112" t="s">
        <v>458</v>
      </c>
      <c r="C1112" t="s">
        <v>2166</v>
      </c>
      <c r="D1112" t="s">
        <v>680</v>
      </c>
      <c r="E1112" t="s">
        <v>688</v>
      </c>
      <c r="F1112">
        <v>29.99</v>
      </c>
      <c r="G1112">
        <v>1</v>
      </c>
      <c r="H1112">
        <v>0</v>
      </c>
      <c r="I1112">
        <v>29.99</v>
      </c>
      <c r="J1112">
        <v>29.99</v>
      </c>
      <c r="K1112" t="s">
        <v>675</v>
      </c>
      <c r="L1112" t="s">
        <v>656</v>
      </c>
      <c r="M1112">
        <v>5</v>
      </c>
    </row>
    <row r="1113" spans="1:13" x14ac:dyDescent="0.25">
      <c r="A1113" t="s">
        <v>2415</v>
      </c>
      <c r="B1113" t="s">
        <v>458</v>
      </c>
      <c r="C1113" t="s">
        <v>1094</v>
      </c>
      <c r="D1113" t="s">
        <v>672</v>
      </c>
      <c r="E1113" t="s">
        <v>724</v>
      </c>
      <c r="F1113">
        <v>89.99</v>
      </c>
      <c r="G1113">
        <v>4</v>
      </c>
      <c r="H1113">
        <v>20</v>
      </c>
      <c r="I1113">
        <v>71.989999999999995</v>
      </c>
      <c r="J1113">
        <v>287.95999999999998</v>
      </c>
      <c r="K1113" t="s">
        <v>661</v>
      </c>
      <c r="L1113" t="s">
        <v>656</v>
      </c>
      <c r="M1113">
        <v>5</v>
      </c>
    </row>
    <row r="1114" spans="1:13" x14ac:dyDescent="0.25">
      <c r="A1114" t="s">
        <v>2416</v>
      </c>
      <c r="B1114" t="s">
        <v>458</v>
      </c>
      <c r="C1114" t="s">
        <v>2198</v>
      </c>
      <c r="D1114" t="s">
        <v>659</v>
      </c>
      <c r="E1114" t="s">
        <v>762</v>
      </c>
      <c r="F1114">
        <v>49.99</v>
      </c>
      <c r="G1114">
        <v>2</v>
      </c>
      <c r="H1114">
        <v>10</v>
      </c>
      <c r="I1114">
        <v>44.99</v>
      </c>
      <c r="J1114">
        <v>89.98</v>
      </c>
      <c r="K1114" t="s">
        <v>661</v>
      </c>
      <c r="L1114" t="s">
        <v>656</v>
      </c>
    </row>
    <row r="1115" spans="1:13" x14ac:dyDescent="0.25">
      <c r="A1115" t="s">
        <v>2417</v>
      </c>
      <c r="B1115" t="s">
        <v>458</v>
      </c>
      <c r="C1115" t="s">
        <v>2418</v>
      </c>
      <c r="D1115" t="s">
        <v>653</v>
      </c>
      <c r="E1115" t="s">
        <v>827</v>
      </c>
      <c r="F1115">
        <v>29.99</v>
      </c>
      <c r="G1115">
        <v>2</v>
      </c>
      <c r="H1115">
        <v>15</v>
      </c>
      <c r="I1115">
        <v>25.49</v>
      </c>
      <c r="J1115">
        <v>50.98</v>
      </c>
      <c r="K1115" t="s">
        <v>675</v>
      </c>
      <c r="L1115" t="s">
        <v>656</v>
      </c>
    </row>
    <row r="1116" spans="1:13" x14ac:dyDescent="0.25">
      <c r="A1116" t="s">
        <v>2419</v>
      </c>
      <c r="B1116" t="s">
        <v>458</v>
      </c>
      <c r="C1116" t="s">
        <v>2420</v>
      </c>
      <c r="D1116" t="s">
        <v>680</v>
      </c>
      <c r="E1116" t="s">
        <v>688</v>
      </c>
      <c r="F1116">
        <v>29.99</v>
      </c>
      <c r="G1116">
        <v>2</v>
      </c>
      <c r="H1116">
        <v>15</v>
      </c>
      <c r="I1116">
        <v>25.49</v>
      </c>
      <c r="J1116">
        <v>50.98</v>
      </c>
      <c r="K1116" t="s">
        <v>669</v>
      </c>
      <c r="L1116" t="s">
        <v>656</v>
      </c>
    </row>
    <row r="1117" spans="1:13" x14ac:dyDescent="0.25">
      <c r="A1117" t="s">
        <v>2421</v>
      </c>
      <c r="B1117" t="s">
        <v>458</v>
      </c>
      <c r="C1117" t="s">
        <v>856</v>
      </c>
      <c r="D1117" t="s">
        <v>659</v>
      </c>
      <c r="E1117" t="s">
        <v>664</v>
      </c>
      <c r="F1117">
        <v>24.99</v>
      </c>
      <c r="G1117">
        <v>2</v>
      </c>
      <c r="H1117">
        <v>20</v>
      </c>
      <c r="I1117">
        <v>19.989999999999998</v>
      </c>
      <c r="J1117">
        <v>39.979999999999997</v>
      </c>
      <c r="K1117" t="s">
        <v>675</v>
      </c>
      <c r="L1117" t="s">
        <v>656</v>
      </c>
      <c r="M1117">
        <v>5</v>
      </c>
    </row>
    <row r="1118" spans="1:13" x14ac:dyDescent="0.25">
      <c r="A1118" t="s">
        <v>2422</v>
      </c>
      <c r="B1118" t="s">
        <v>458</v>
      </c>
      <c r="C1118" t="s">
        <v>796</v>
      </c>
      <c r="D1118" t="s">
        <v>667</v>
      </c>
      <c r="E1118" t="s">
        <v>699</v>
      </c>
      <c r="F1118">
        <v>89.99</v>
      </c>
      <c r="G1118">
        <v>1</v>
      </c>
      <c r="H1118">
        <v>0</v>
      </c>
      <c r="I1118">
        <v>89.99</v>
      </c>
      <c r="J1118">
        <v>89.99</v>
      </c>
      <c r="K1118" t="s">
        <v>682</v>
      </c>
      <c r="L1118" t="s">
        <v>656</v>
      </c>
      <c r="M1118">
        <v>5</v>
      </c>
    </row>
    <row r="1119" spans="1:13" x14ac:dyDescent="0.25">
      <c r="A1119" t="s">
        <v>2423</v>
      </c>
      <c r="B1119" t="s">
        <v>458</v>
      </c>
      <c r="C1119" t="s">
        <v>2424</v>
      </c>
      <c r="D1119" t="s">
        <v>684</v>
      </c>
      <c r="E1119" t="s">
        <v>705</v>
      </c>
      <c r="F1119">
        <v>79.989999999999995</v>
      </c>
      <c r="G1119">
        <v>3</v>
      </c>
      <c r="H1119">
        <v>0</v>
      </c>
      <c r="I1119">
        <v>79.989999999999995</v>
      </c>
      <c r="J1119">
        <v>239.97</v>
      </c>
      <c r="K1119" t="s">
        <v>675</v>
      </c>
      <c r="L1119" t="s">
        <v>656</v>
      </c>
      <c r="M1119">
        <v>4</v>
      </c>
    </row>
    <row r="1120" spans="1:13" x14ac:dyDescent="0.25">
      <c r="A1120" t="s">
        <v>2425</v>
      </c>
      <c r="B1120" t="s">
        <v>461</v>
      </c>
      <c r="C1120" t="s">
        <v>2426</v>
      </c>
      <c r="D1120" t="s">
        <v>710</v>
      </c>
      <c r="E1120" t="s">
        <v>721</v>
      </c>
      <c r="F1120">
        <v>24.99</v>
      </c>
      <c r="G1120">
        <v>1</v>
      </c>
      <c r="H1120">
        <v>0</v>
      </c>
      <c r="I1120">
        <v>24.99</v>
      </c>
      <c r="J1120">
        <v>24.99</v>
      </c>
      <c r="K1120" t="s">
        <v>669</v>
      </c>
      <c r="L1120" t="s">
        <v>656</v>
      </c>
      <c r="M1120">
        <v>5</v>
      </c>
    </row>
    <row r="1121" spans="1:13" x14ac:dyDescent="0.25">
      <c r="A1121" t="s">
        <v>2427</v>
      </c>
      <c r="B1121" t="s">
        <v>463</v>
      </c>
      <c r="C1121" t="s">
        <v>1176</v>
      </c>
      <c r="D1121" t="s">
        <v>659</v>
      </c>
      <c r="E1121" t="s">
        <v>762</v>
      </c>
      <c r="F1121">
        <v>49.99</v>
      </c>
      <c r="G1121">
        <v>1</v>
      </c>
      <c r="H1121">
        <v>0</v>
      </c>
      <c r="I1121">
        <v>49.99</v>
      </c>
      <c r="J1121">
        <v>49.99</v>
      </c>
      <c r="K1121" t="s">
        <v>682</v>
      </c>
      <c r="L1121" t="s">
        <v>739</v>
      </c>
      <c r="M1121">
        <v>2</v>
      </c>
    </row>
    <row r="1122" spans="1:13" x14ac:dyDescent="0.25">
      <c r="A1122" t="s">
        <v>2428</v>
      </c>
      <c r="B1122" t="s">
        <v>463</v>
      </c>
      <c r="C1122" t="s">
        <v>2009</v>
      </c>
      <c r="D1122" t="s">
        <v>653</v>
      </c>
      <c r="E1122" t="s">
        <v>727</v>
      </c>
      <c r="F1122">
        <v>14.99</v>
      </c>
      <c r="G1122">
        <v>3</v>
      </c>
      <c r="H1122">
        <v>0</v>
      </c>
      <c r="I1122">
        <v>14.99</v>
      </c>
      <c r="J1122">
        <v>44.97</v>
      </c>
      <c r="K1122" t="s">
        <v>655</v>
      </c>
      <c r="L1122" t="s">
        <v>656</v>
      </c>
    </row>
    <row r="1123" spans="1:13" x14ac:dyDescent="0.25">
      <c r="A1123" t="s">
        <v>2429</v>
      </c>
      <c r="B1123" t="s">
        <v>463</v>
      </c>
      <c r="C1123" t="s">
        <v>1678</v>
      </c>
      <c r="D1123" t="s">
        <v>684</v>
      </c>
      <c r="E1123" t="s">
        <v>815</v>
      </c>
      <c r="F1123">
        <v>34.99</v>
      </c>
      <c r="G1123">
        <v>3</v>
      </c>
      <c r="H1123">
        <v>0</v>
      </c>
      <c r="I1123">
        <v>34.99</v>
      </c>
      <c r="J1123">
        <v>104.97</v>
      </c>
      <c r="K1123" t="s">
        <v>661</v>
      </c>
      <c r="L1123" t="s">
        <v>656</v>
      </c>
    </row>
    <row r="1124" spans="1:13" x14ac:dyDescent="0.25">
      <c r="A1124" t="s">
        <v>2430</v>
      </c>
      <c r="B1124" t="s">
        <v>463</v>
      </c>
      <c r="C1124" t="s">
        <v>1479</v>
      </c>
      <c r="D1124" t="s">
        <v>680</v>
      </c>
      <c r="E1124" t="s">
        <v>681</v>
      </c>
      <c r="F1124">
        <v>19.989999999999998</v>
      </c>
      <c r="G1124">
        <v>3</v>
      </c>
      <c r="H1124">
        <v>0</v>
      </c>
      <c r="I1124">
        <v>19.989999999999998</v>
      </c>
      <c r="J1124">
        <v>59.97</v>
      </c>
      <c r="K1124" t="s">
        <v>661</v>
      </c>
      <c r="L1124" t="s">
        <v>656</v>
      </c>
      <c r="M1124">
        <v>3</v>
      </c>
    </row>
    <row r="1125" spans="1:13" x14ac:dyDescent="0.25">
      <c r="A1125" t="s">
        <v>2431</v>
      </c>
      <c r="B1125" t="s">
        <v>463</v>
      </c>
      <c r="C1125" t="s">
        <v>362</v>
      </c>
      <c r="D1125" t="s">
        <v>684</v>
      </c>
      <c r="E1125" t="s">
        <v>705</v>
      </c>
      <c r="F1125">
        <v>79.989999999999995</v>
      </c>
      <c r="G1125">
        <v>3</v>
      </c>
      <c r="H1125">
        <v>5</v>
      </c>
      <c r="I1125">
        <v>75.989999999999995</v>
      </c>
      <c r="J1125">
        <v>227.97</v>
      </c>
      <c r="K1125" t="s">
        <v>675</v>
      </c>
      <c r="L1125" t="s">
        <v>656</v>
      </c>
      <c r="M1125">
        <v>5</v>
      </c>
    </row>
    <row r="1126" spans="1:13" x14ac:dyDescent="0.25">
      <c r="A1126" t="s">
        <v>2432</v>
      </c>
      <c r="B1126" t="s">
        <v>463</v>
      </c>
      <c r="C1126" t="s">
        <v>389</v>
      </c>
      <c r="D1126" t="s">
        <v>659</v>
      </c>
      <c r="E1126" t="s">
        <v>762</v>
      </c>
      <c r="F1126">
        <v>49.99</v>
      </c>
      <c r="G1126">
        <v>4</v>
      </c>
      <c r="H1126">
        <v>0</v>
      </c>
      <c r="I1126">
        <v>49.99</v>
      </c>
      <c r="J1126">
        <v>199.96</v>
      </c>
      <c r="K1126" t="s">
        <v>661</v>
      </c>
      <c r="L1126" t="s">
        <v>656</v>
      </c>
      <c r="M1126">
        <v>4</v>
      </c>
    </row>
    <row r="1127" spans="1:13" x14ac:dyDescent="0.25">
      <c r="A1127" t="s">
        <v>2433</v>
      </c>
      <c r="B1127" t="s">
        <v>465</v>
      </c>
      <c r="C1127" t="s">
        <v>1761</v>
      </c>
      <c r="D1127" t="s">
        <v>680</v>
      </c>
      <c r="E1127" t="s">
        <v>749</v>
      </c>
      <c r="F1127">
        <v>14.99</v>
      </c>
      <c r="G1127">
        <v>1</v>
      </c>
      <c r="H1127">
        <v>10</v>
      </c>
      <c r="I1127">
        <v>13.49</v>
      </c>
      <c r="J1127">
        <v>13.49</v>
      </c>
      <c r="K1127" t="s">
        <v>675</v>
      </c>
      <c r="L1127" t="s">
        <v>656</v>
      </c>
      <c r="M1127">
        <v>5</v>
      </c>
    </row>
    <row r="1128" spans="1:13" x14ac:dyDescent="0.25">
      <c r="A1128" t="s">
        <v>2434</v>
      </c>
      <c r="B1128" t="s">
        <v>465</v>
      </c>
      <c r="C1128" t="s">
        <v>1157</v>
      </c>
      <c r="D1128" t="s">
        <v>659</v>
      </c>
      <c r="E1128" t="s">
        <v>660</v>
      </c>
      <c r="F1128">
        <v>19.989999999999998</v>
      </c>
      <c r="G1128">
        <v>3</v>
      </c>
      <c r="H1128">
        <v>0</v>
      </c>
      <c r="I1128">
        <v>19.989999999999998</v>
      </c>
      <c r="J1128">
        <v>59.97</v>
      </c>
      <c r="K1128" t="s">
        <v>655</v>
      </c>
      <c r="L1128" t="s">
        <v>656</v>
      </c>
      <c r="M1128">
        <v>5</v>
      </c>
    </row>
    <row r="1129" spans="1:13" x14ac:dyDescent="0.25">
      <c r="A1129" t="s">
        <v>2435</v>
      </c>
      <c r="B1129" t="s">
        <v>465</v>
      </c>
      <c r="C1129" t="s">
        <v>2436</v>
      </c>
      <c r="D1129" t="s">
        <v>659</v>
      </c>
      <c r="E1129" t="s">
        <v>762</v>
      </c>
      <c r="F1129">
        <v>49.99</v>
      </c>
      <c r="G1129">
        <v>2</v>
      </c>
      <c r="H1129">
        <v>15</v>
      </c>
      <c r="I1129">
        <v>42.49</v>
      </c>
      <c r="J1129">
        <v>84.98</v>
      </c>
      <c r="K1129" t="s">
        <v>682</v>
      </c>
      <c r="L1129" t="s">
        <v>656</v>
      </c>
      <c r="M1129">
        <v>5</v>
      </c>
    </row>
    <row r="1130" spans="1:13" x14ac:dyDescent="0.25">
      <c r="A1130" t="s">
        <v>2437</v>
      </c>
      <c r="B1130" t="s">
        <v>465</v>
      </c>
      <c r="C1130" t="s">
        <v>2438</v>
      </c>
      <c r="D1130" t="s">
        <v>680</v>
      </c>
      <c r="E1130" t="s">
        <v>749</v>
      </c>
      <c r="F1130">
        <v>14.99</v>
      </c>
      <c r="G1130">
        <v>4</v>
      </c>
      <c r="H1130">
        <v>0</v>
      </c>
      <c r="I1130">
        <v>14.99</v>
      </c>
      <c r="J1130">
        <v>59.96</v>
      </c>
      <c r="K1130" t="s">
        <v>655</v>
      </c>
      <c r="L1130" t="s">
        <v>788</v>
      </c>
    </row>
    <row r="1131" spans="1:13" x14ac:dyDescent="0.25">
      <c r="A1131" t="s">
        <v>2439</v>
      </c>
      <c r="B1131" t="s">
        <v>465</v>
      </c>
      <c r="C1131" t="s">
        <v>2440</v>
      </c>
      <c r="D1131" t="s">
        <v>710</v>
      </c>
      <c r="E1131" t="s">
        <v>730</v>
      </c>
      <c r="F1131">
        <v>39.99</v>
      </c>
      <c r="G1131">
        <v>1</v>
      </c>
      <c r="H1131">
        <v>10</v>
      </c>
      <c r="I1131">
        <v>35.99</v>
      </c>
      <c r="J1131">
        <v>35.99</v>
      </c>
      <c r="K1131" t="s">
        <v>675</v>
      </c>
      <c r="L1131" t="s">
        <v>656</v>
      </c>
      <c r="M1131">
        <v>5</v>
      </c>
    </row>
    <row r="1132" spans="1:13" x14ac:dyDescent="0.25">
      <c r="A1132" t="s">
        <v>2441</v>
      </c>
      <c r="B1132" t="s">
        <v>468</v>
      </c>
      <c r="C1132" t="s">
        <v>2282</v>
      </c>
      <c r="D1132" t="s">
        <v>684</v>
      </c>
      <c r="E1132" t="s">
        <v>705</v>
      </c>
      <c r="F1132">
        <v>79.989999999999995</v>
      </c>
      <c r="G1132">
        <v>3</v>
      </c>
      <c r="H1132">
        <v>0</v>
      </c>
      <c r="I1132">
        <v>79.989999999999995</v>
      </c>
      <c r="J1132">
        <v>239.97</v>
      </c>
      <c r="K1132" t="s">
        <v>661</v>
      </c>
      <c r="L1132" t="s">
        <v>656</v>
      </c>
      <c r="M1132">
        <v>4</v>
      </c>
    </row>
    <row r="1133" spans="1:13" x14ac:dyDescent="0.25">
      <c r="A1133" t="s">
        <v>2442</v>
      </c>
      <c r="B1133" t="s">
        <v>468</v>
      </c>
      <c r="C1133" t="s">
        <v>1598</v>
      </c>
      <c r="D1133" t="s">
        <v>659</v>
      </c>
      <c r="E1133" t="s">
        <v>664</v>
      </c>
      <c r="F1133">
        <v>24.99</v>
      </c>
      <c r="G1133">
        <v>1</v>
      </c>
      <c r="H1133">
        <v>10</v>
      </c>
      <c r="I1133">
        <v>22.49</v>
      </c>
      <c r="J1133">
        <v>22.49</v>
      </c>
      <c r="K1133" t="s">
        <v>682</v>
      </c>
      <c r="L1133" t="s">
        <v>656</v>
      </c>
      <c r="M1133">
        <v>5</v>
      </c>
    </row>
    <row r="1134" spans="1:13" x14ac:dyDescent="0.25">
      <c r="A1134" t="s">
        <v>2443</v>
      </c>
      <c r="B1134" t="s">
        <v>468</v>
      </c>
      <c r="C1134" t="s">
        <v>2444</v>
      </c>
      <c r="D1134" t="s">
        <v>680</v>
      </c>
      <c r="E1134" t="s">
        <v>681</v>
      </c>
      <c r="F1134">
        <v>19.989999999999998</v>
      </c>
      <c r="G1134">
        <v>3</v>
      </c>
      <c r="H1134">
        <v>0</v>
      </c>
      <c r="I1134">
        <v>19.989999999999998</v>
      </c>
      <c r="J1134">
        <v>59.97</v>
      </c>
      <c r="K1134" t="s">
        <v>655</v>
      </c>
      <c r="L1134" t="s">
        <v>693</v>
      </c>
      <c r="M1134">
        <v>3</v>
      </c>
    </row>
    <row r="1135" spans="1:13" x14ac:dyDescent="0.25">
      <c r="A1135" t="s">
        <v>2445</v>
      </c>
      <c r="B1135" t="s">
        <v>468</v>
      </c>
      <c r="C1135" t="s">
        <v>2412</v>
      </c>
      <c r="D1135" t="s">
        <v>672</v>
      </c>
      <c r="E1135" t="s">
        <v>724</v>
      </c>
      <c r="F1135">
        <v>89.99</v>
      </c>
      <c r="G1135">
        <v>4</v>
      </c>
      <c r="H1135">
        <v>0</v>
      </c>
      <c r="I1135">
        <v>89.99</v>
      </c>
      <c r="J1135">
        <v>359.96</v>
      </c>
      <c r="K1135" t="s">
        <v>682</v>
      </c>
      <c r="L1135" t="s">
        <v>656</v>
      </c>
      <c r="M1135">
        <v>3</v>
      </c>
    </row>
    <row r="1136" spans="1:13" x14ac:dyDescent="0.25">
      <c r="A1136" t="s">
        <v>2446</v>
      </c>
      <c r="B1136" t="s">
        <v>468</v>
      </c>
      <c r="C1136" t="s">
        <v>971</v>
      </c>
      <c r="D1136" t="s">
        <v>653</v>
      </c>
      <c r="E1136" t="s">
        <v>827</v>
      </c>
      <c r="F1136">
        <v>29.99</v>
      </c>
      <c r="G1136">
        <v>2</v>
      </c>
      <c r="H1136">
        <v>15</v>
      </c>
      <c r="I1136">
        <v>25.49</v>
      </c>
      <c r="J1136">
        <v>50.98</v>
      </c>
      <c r="K1136" t="s">
        <v>655</v>
      </c>
      <c r="L1136" t="s">
        <v>656</v>
      </c>
      <c r="M1136">
        <v>4</v>
      </c>
    </row>
    <row r="1137" spans="1:13" x14ac:dyDescent="0.25">
      <c r="A1137" t="s">
        <v>2447</v>
      </c>
      <c r="B1137" t="s">
        <v>468</v>
      </c>
      <c r="C1137" t="s">
        <v>802</v>
      </c>
      <c r="D1137" t="s">
        <v>667</v>
      </c>
      <c r="E1137" t="s">
        <v>696</v>
      </c>
      <c r="F1137">
        <v>59.99</v>
      </c>
      <c r="G1137">
        <v>4</v>
      </c>
      <c r="H1137">
        <v>0</v>
      </c>
      <c r="I1137">
        <v>59.99</v>
      </c>
      <c r="J1137">
        <v>239.96</v>
      </c>
      <c r="K1137" t="s">
        <v>669</v>
      </c>
      <c r="L1137" t="s">
        <v>656</v>
      </c>
    </row>
    <row r="1138" spans="1:13" x14ac:dyDescent="0.25">
      <c r="A1138" t="s">
        <v>2448</v>
      </c>
      <c r="B1138" t="s">
        <v>468</v>
      </c>
      <c r="C1138" t="s">
        <v>713</v>
      </c>
      <c r="D1138" t="s">
        <v>659</v>
      </c>
      <c r="E1138" t="s">
        <v>762</v>
      </c>
      <c r="F1138">
        <v>49.99</v>
      </c>
      <c r="G1138">
        <v>2</v>
      </c>
      <c r="H1138">
        <v>20</v>
      </c>
      <c r="I1138">
        <v>39.99</v>
      </c>
      <c r="J1138">
        <v>79.98</v>
      </c>
      <c r="K1138" t="s">
        <v>661</v>
      </c>
      <c r="L1138" t="s">
        <v>788</v>
      </c>
    </row>
    <row r="1139" spans="1:13" x14ac:dyDescent="0.25">
      <c r="A1139" t="s">
        <v>2449</v>
      </c>
      <c r="B1139" t="s">
        <v>468</v>
      </c>
      <c r="C1139" t="s">
        <v>2450</v>
      </c>
      <c r="D1139" t="s">
        <v>667</v>
      </c>
      <c r="E1139" t="s">
        <v>696</v>
      </c>
      <c r="F1139">
        <v>59.99</v>
      </c>
      <c r="G1139">
        <v>4</v>
      </c>
      <c r="H1139">
        <v>5</v>
      </c>
      <c r="I1139">
        <v>56.99</v>
      </c>
      <c r="J1139">
        <v>227.96</v>
      </c>
      <c r="K1139" t="s">
        <v>675</v>
      </c>
      <c r="L1139" t="s">
        <v>656</v>
      </c>
      <c r="M1139">
        <v>4</v>
      </c>
    </row>
    <row r="1140" spans="1:13" x14ac:dyDescent="0.25">
      <c r="A1140" t="s">
        <v>2451</v>
      </c>
      <c r="B1140" t="s">
        <v>468</v>
      </c>
      <c r="C1140" t="s">
        <v>88</v>
      </c>
      <c r="D1140" t="s">
        <v>653</v>
      </c>
      <c r="E1140" t="s">
        <v>654</v>
      </c>
      <c r="F1140">
        <v>39.99</v>
      </c>
      <c r="G1140">
        <v>2</v>
      </c>
      <c r="H1140">
        <v>5</v>
      </c>
      <c r="I1140">
        <v>37.99</v>
      </c>
      <c r="J1140">
        <v>75.98</v>
      </c>
      <c r="K1140" t="s">
        <v>669</v>
      </c>
      <c r="L1140" t="s">
        <v>656</v>
      </c>
    </row>
    <row r="1141" spans="1:13" x14ac:dyDescent="0.25">
      <c r="A1141" t="s">
        <v>2452</v>
      </c>
      <c r="B1141" t="s">
        <v>468</v>
      </c>
      <c r="C1141" t="s">
        <v>2350</v>
      </c>
      <c r="D1141" t="s">
        <v>710</v>
      </c>
      <c r="E1141" t="s">
        <v>721</v>
      </c>
      <c r="F1141">
        <v>24.99</v>
      </c>
      <c r="G1141">
        <v>1</v>
      </c>
      <c r="H1141">
        <v>5</v>
      </c>
      <c r="I1141">
        <v>23.74</v>
      </c>
      <c r="J1141">
        <v>23.74</v>
      </c>
      <c r="K1141" t="s">
        <v>675</v>
      </c>
      <c r="L1141" t="s">
        <v>656</v>
      </c>
      <c r="M1141">
        <v>4</v>
      </c>
    </row>
    <row r="1142" spans="1:13" x14ac:dyDescent="0.25">
      <c r="A1142" t="s">
        <v>2453</v>
      </c>
      <c r="B1142" t="s">
        <v>468</v>
      </c>
      <c r="C1142" t="s">
        <v>2204</v>
      </c>
      <c r="D1142" t="s">
        <v>667</v>
      </c>
      <c r="E1142" t="s">
        <v>668</v>
      </c>
      <c r="F1142">
        <v>64.989999999999995</v>
      </c>
      <c r="G1142">
        <v>3</v>
      </c>
      <c r="H1142">
        <v>5</v>
      </c>
      <c r="I1142">
        <v>61.74</v>
      </c>
      <c r="J1142">
        <v>185.22</v>
      </c>
      <c r="K1142" t="s">
        <v>675</v>
      </c>
      <c r="L1142" t="s">
        <v>788</v>
      </c>
      <c r="M1142">
        <v>4</v>
      </c>
    </row>
    <row r="1143" spans="1:13" x14ac:dyDescent="0.25">
      <c r="A1143" t="s">
        <v>2454</v>
      </c>
      <c r="B1143" t="s">
        <v>468</v>
      </c>
      <c r="C1143" t="s">
        <v>262</v>
      </c>
      <c r="D1143" t="s">
        <v>710</v>
      </c>
      <c r="E1143" t="s">
        <v>744</v>
      </c>
      <c r="F1143">
        <v>29.99</v>
      </c>
      <c r="G1143">
        <v>2</v>
      </c>
      <c r="H1143">
        <v>5</v>
      </c>
      <c r="I1143">
        <v>28.49</v>
      </c>
      <c r="J1143">
        <v>56.98</v>
      </c>
      <c r="K1143" t="s">
        <v>655</v>
      </c>
      <c r="L1143" t="s">
        <v>656</v>
      </c>
      <c r="M1143">
        <v>5</v>
      </c>
    </row>
    <row r="1144" spans="1:13" x14ac:dyDescent="0.25">
      <c r="A1144" t="s">
        <v>2455</v>
      </c>
      <c r="B1144" t="s">
        <v>468</v>
      </c>
      <c r="C1144" t="s">
        <v>907</v>
      </c>
      <c r="D1144" t="s">
        <v>672</v>
      </c>
      <c r="E1144" t="s">
        <v>803</v>
      </c>
      <c r="F1144">
        <v>69.989999999999995</v>
      </c>
      <c r="G1144">
        <v>4</v>
      </c>
      <c r="H1144">
        <v>0</v>
      </c>
      <c r="I1144">
        <v>69.989999999999995</v>
      </c>
      <c r="J1144">
        <v>279.95999999999998</v>
      </c>
      <c r="K1144" t="s">
        <v>669</v>
      </c>
      <c r="L1144" t="s">
        <v>788</v>
      </c>
      <c r="M1144">
        <v>4</v>
      </c>
    </row>
    <row r="1145" spans="1:13" x14ac:dyDescent="0.25">
      <c r="A1145" t="s">
        <v>2456</v>
      </c>
      <c r="B1145" t="s">
        <v>468</v>
      </c>
      <c r="C1145" t="s">
        <v>1038</v>
      </c>
      <c r="D1145" t="s">
        <v>659</v>
      </c>
      <c r="E1145" t="s">
        <v>762</v>
      </c>
      <c r="F1145">
        <v>49.99</v>
      </c>
      <c r="G1145">
        <v>4</v>
      </c>
      <c r="H1145">
        <v>10</v>
      </c>
      <c r="I1145">
        <v>44.99</v>
      </c>
      <c r="J1145">
        <v>179.96</v>
      </c>
      <c r="K1145" t="s">
        <v>669</v>
      </c>
      <c r="L1145" t="s">
        <v>656</v>
      </c>
      <c r="M1145">
        <v>4</v>
      </c>
    </row>
    <row r="1146" spans="1:13" x14ac:dyDescent="0.25">
      <c r="A1146" t="s">
        <v>2457</v>
      </c>
      <c r="B1146" t="s">
        <v>471</v>
      </c>
      <c r="C1146" t="s">
        <v>2440</v>
      </c>
      <c r="D1146" t="s">
        <v>667</v>
      </c>
      <c r="E1146" t="s">
        <v>714</v>
      </c>
      <c r="F1146">
        <v>44.99</v>
      </c>
      <c r="G1146">
        <v>2</v>
      </c>
      <c r="H1146">
        <v>15</v>
      </c>
      <c r="I1146">
        <v>38.24</v>
      </c>
      <c r="J1146">
        <v>76.48</v>
      </c>
      <c r="K1146" t="s">
        <v>682</v>
      </c>
      <c r="L1146" t="s">
        <v>656</v>
      </c>
      <c r="M1146">
        <v>4</v>
      </c>
    </row>
    <row r="1147" spans="1:13" x14ac:dyDescent="0.25">
      <c r="A1147" t="s">
        <v>2458</v>
      </c>
      <c r="B1147" t="s">
        <v>474</v>
      </c>
      <c r="C1147" t="s">
        <v>2459</v>
      </c>
      <c r="D1147" t="s">
        <v>680</v>
      </c>
      <c r="E1147" t="s">
        <v>708</v>
      </c>
      <c r="F1147">
        <v>24.99</v>
      </c>
      <c r="G1147">
        <v>4</v>
      </c>
      <c r="H1147">
        <v>20</v>
      </c>
      <c r="I1147">
        <v>19.989999999999998</v>
      </c>
      <c r="J1147">
        <v>79.959999999999994</v>
      </c>
      <c r="K1147" t="s">
        <v>655</v>
      </c>
      <c r="L1147" t="s">
        <v>656</v>
      </c>
    </row>
    <row r="1148" spans="1:13" x14ac:dyDescent="0.25">
      <c r="A1148" t="s">
        <v>2460</v>
      </c>
      <c r="B1148" t="s">
        <v>474</v>
      </c>
      <c r="C1148" t="s">
        <v>1494</v>
      </c>
      <c r="D1148" t="s">
        <v>672</v>
      </c>
      <c r="E1148" t="s">
        <v>735</v>
      </c>
      <c r="F1148">
        <v>44.99</v>
      </c>
      <c r="G1148">
        <v>2</v>
      </c>
      <c r="H1148">
        <v>0</v>
      </c>
      <c r="I1148">
        <v>44.99</v>
      </c>
      <c r="J1148">
        <v>89.98</v>
      </c>
      <c r="K1148" t="s">
        <v>682</v>
      </c>
      <c r="L1148" t="s">
        <v>656</v>
      </c>
    </row>
    <row r="1149" spans="1:13" x14ac:dyDescent="0.25">
      <c r="A1149" t="s">
        <v>2461</v>
      </c>
      <c r="B1149" t="s">
        <v>474</v>
      </c>
      <c r="C1149" t="s">
        <v>2462</v>
      </c>
      <c r="D1149" t="s">
        <v>659</v>
      </c>
      <c r="E1149" t="s">
        <v>664</v>
      </c>
      <c r="F1149">
        <v>24.99</v>
      </c>
      <c r="G1149">
        <v>3</v>
      </c>
      <c r="H1149">
        <v>0</v>
      </c>
      <c r="I1149">
        <v>24.99</v>
      </c>
      <c r="J1149">
        <v>74.97</v>
      </c>
      <c r="K1149" t="s">
        <v>682</v>
      </c>
      <c r="L1149" t="s">
        <v>656</v>
      </c>
      <c r="M1149">
        <v>4</v>
      </c>
    </row>
    <row r="1150" spans="1:13" x14ac:dyDescent="0.25">
      <c r="A1150" t="s">
        <v>2463</v>
      </c>
      <c r="B1150" t="s">
        <v>474</v>
      </c>
      <c r="C1150" t="s">
        <v>2166</v>
      </c>
      <c r="D1150" t="s">
        <v>653</v>
      </c>
      <c r="E1150" t="s">
        <v>654</v>
      </c>
      <c r="F1150">
        <v>39.99</v>
      </c>
      <c r="G1150">
        <v>1</v>
      </c>
      <c r="H1150">
        <v>20</v>
      </c>
      <c r="I1150">
        <v>31.99</v>
      </c>
      <c r="J1150">
        <v>31.99</v>
      </c>
      <c r="K1150" t="s">
        <v>661</v>
      </c>
      <c r="L1150" t="s">
        <v>656</v>
      </c>
      <c r="M1150">
        <v>4</v>
      </c>
    </row>
    <row r="1151" spans="1:13" x14ac:dyDescent="0.25">
      <c r="A1151" t="s">
        <v>2464</v>
      </c>
      <c r="B1151" t="s">
        <v>474</v>
      </c>
      <c r="C1151" t="s">
        <v>2465</v>
      </c>
      <c r="D1151" t="s">
        <v>659</v>
      </c>
      <c r="E1151" t="s">
        <v>660</v>
      </c>
      <c r="F1151">
        <v>19.989999999999998</v>
      </c>
      <c r="G1151">
        <v>1</v>
      </c>
      <c r="H1151">
        <v>5</v>
      </c>
      <c r="I1151">
        <v>18.989999999999998</v>
      </c>
      <c r="J1151">
        <v>18.989999999999998</v>
      </c>
      <c r="K1151" t="s">
        <v>669</v>
      </c>
      <c r="L1151" t="s">
        <v>785</v>
      </c>
      <c r="M1151">
        <v>5</v>
      </c>
    </row>
    <row r="1152" spans="1:13" x14ac:dyDescent="0.25">
      <c r="A1152" t="s">
        <v>2466</v>
      </c>
      <c r="B1152" t="s">
        <v>474</v>
      </c>
      <c r="C1152" t="s">
        <v>2467</v>
      </c>
      <c r="D1152" t="s">
        <v>667</v>
      </c>
      <c r="E1152" t="s">
        <v>668</v>
      </c>
      <c r="F1152">
        <v>64.989999999999995</v>
      </c>
      <c r="G1152">
        <v>3</v>
      </c>
      <c r="H1152">
        <v>20</v>
      </c>
      <c r="I1152">
        <v>51.99</v>
      </c>
      <c r="J1152">
        <v>155.97</v>
      </c>
      <c r="K1152" t="s">
        <v>675</v>
      </c>
      <c r="L1152" t="s">
        <v>656</v>
      </c>
      <c r="M1152">
        <v>5</v>
      </c>
    </row>
    <row r="1153" spans="1:13" x14ac:dyDescent="0.25">
      <c r="A1153" t="s">
        <v>2468</v>
      </c>
      <c r="B1153" t="s">
        <v>474</v>
      </c>
      <c r="C1153" t="s">
        <v>2469</v>
      </c>
      <c r="D1153" t="s">
        <v>710</v>
      </c>
      <c r="E1153" t="s">
        <v>711</v>
      </c>
      <c r="F1153">
        <v>14.99</v>
      </c>
      <c r="G1153">
        <v>4</v>
      </c>
      <c r="H1153">
        <v>0</v>
      </c>
      <c r="I1153">
        <v>14.99</v>
      </c>
      <c r="J1153">
        <v>59.96</v>
      </c>
      <c r="K1153" t="s">
        <v>655</v>
      </c>
      <c r="L1153" t="s">
        <v>656</v>
      </c>
      <c r="M1153">
        <v>5</v>
      </c>
    </row>
    <row r="1154" spans="1:13" x14ac:dyDescent="0.25">
      <c r="A1154" t="s">
        <v>2470</v>
      </c>
      <c r="B1154" t="s">
        <v>474</v>
      </c>
      <c r="C1154" t="s">
        <v>2471</v>
      </c>
      <c r="D1154" t="s">
        <v>659</v>
      </c>
      <c r="E1154" t="s">
        <v>664</v>
      </c>
      <c r="F1154">
        <v>24.99</v>
      </c>
      <c r="G1154">
        <v>3</v>
      </c>
      <c r="H1154">
        <v>0</v>
      </c>
      <c r="I1154">
        <v>24.99</v>
      </c>
      <c r="J1154">
        <v>74.97</v>
      </c>
      <c r="K1154" t="s">
        <v>655</v>
      </c>
      <c r="L1154" t="s">
        <v>656</v>
      </c>
      <c r="M1154">
        <v>3</v>
      </c>
    </row>
    <row r="1155" spans="1:13" x14ac:dyDescent="0.25">
      <c r="A1155" t="s">
        <v>2472</v>
      </c>
      <c r="B1155" t="s">
        <v>477</v>
      </c>
      <c r="C1155" t="s">
        <v>2473</v>
      </c>
      <c r="D1155" t="s">
        <v>680</v>
      </c>
      <c r="E1155" t="s">
        <v>688</v>
      </c>
      <c r="F1155">
        <v>29.99</v>
      </c>
      <c r="G1155">
        <v>4</v>
      </c>
      <c r="H1155">
        <v>10</v>
      </c>
      <c r="I1155">
        <v>26.99</v>
      </c>
      <c r="J1155">
        <v>107.96</v>
      </c>
      <c r="K1155" t="s">
        <v>661</v>
      </c>
      <c r="L1155" t="s">
        <v>656</v>
      </c>
      <c r="M1155">
        <v>5</v>
      </c>
    </row>
    <row r="1156" spans="1:13" x14ac:dyDescent="0.25">
      <c r="A1156" t="s">
        <v>2474</v>
      </c>
      <c r="B1156" t="s">
        <v>477</v>
      </c>
      <c r="C1156" t="s">
        <v>1238</v>
      </c>
      <c r="D1156" t="s">
        <v>659</v>
      </c>
      <c r="E1156" t="s">
        <v>664</v>
      </c>
      <c r="F1156">
        <v>24.99</v>
      </c>
      <c r="G1156">
        <v>3</v>
      </c>
      <c r="H1156">
        <v>5</v>
      </c>
      <c r="I1156">
        <v>23.74</v>
      </c>
      <c r="J1156">
        <v>71.22</v>
      </c>
      <c r="K1156" t="s">
        <v>669</v>
      </c>
      <c r="L1156" t="s">
        <v>656</v>
      </c>
    </row>
    <row r="1157" spans="1:13" x14ac:dyDescent="0.25">
      <c r="A1157" t="s">
        <v>2475</v>
      </c>
      <c r="B1157" t="s">
        <v>477</v>
      </c>
      <c r="C1157" t="s">
        <v>2104</v>
      </c>
      <c r="D1157" t="s">
        <v>653</v>
      </c>
      <c r="E1157" t="s">
        <v>769</v>
      </c>
      <c r="F1157">
        <v>49.99</v>
      </c>
      <c r="G1157">
        <v>2</v>
      </c>
      <c r="H1157">
        <v>10</v>
      </c>
      <c r="I1157">
        <v>44.99</v>
      </c>
      <c r="J1157">
        <v>89.98</v>
      </c>
      <c r="K1157" t="s">
        <v>682</v>
      </c>
      <c r="L1157" t="s">
        <v>656</v>
      </c>
      <c r="M1157">
        <v>5</v>
      </c>
    </row>
    <row r="1158" spans="1:13" x14ac:dyDescent="0.25">
      <c r="A1158" t="s">
        <v>2476</v>
      </c>
      <c r="B1158" t="s">
        <v>477</v>
      </c>
      <c r="C1158" t="s">
        <v>1590</v>
      </c>
      <c r="D1158" t="s">
        <v>680</v>
      </c>
      <c r="E1158" t="s">
        <v>688</v>
      </c>
      <c r="F1158">
        <v>29.99</v>
      </c>
      <c r="G1158">
        <v>4</v>
      </c>
      <c r="H1158">
        <v>20</v>
      </c>
      <c r="I1158">
        <v>23.99</v>
      </c>
      <c r="J1158">
        <v>95.96</v>
      </c>
      <c r="K1158" t="s">
        <v>682</v>
      </c>
      <c r="L1158" t="s">
        <v>656</v>
      </c>
      <c r="M1158">
        <v>5</v>
      </c>
    </row>
    <row r="1159" spans="1:13" x14ac:dyDescent="0.25">
      <c r="A1159" t="s">
        <v>2477</v>
      </c>
      <c r="B1159" t="s">
        <v>477</v>
      </c>
      <c r="C1159" t="s">
        <v>862</v>
      </c>
      <c r="D1159" t="s">
        <v>710</v>
      </c>
      <c r="E1159" t="s">
        <v>730</v>
      </c>
      <c r="F1159">
        <v>39.99</v>
      </c>
      <c r="G1159">
        <v>1</v>
      </c>
      <c r="H1159">
        <v>20</v>
      </c>
      <c r="I1159">
        <v>31.99</v>
      </c>
      <c r="J1159">
        <v>31.99</v>
      </c>
      <c r="K1159" t="s">
        <v>655</v>
      </c>
      <c r="L1159" t="s">
        <v>656</v>
      </c>
      <c r="M1159">
        <v>5</v>
      </c>
    </row>
    <row r="1160" spans="1:13" x14ac:dyDescent="0.25">
      <c r="A1160" t="s">
        <v>2478</v>
      </c>
      <c r="B1160" t="s">
        <v>477</v>
      </c>
      <c r="C1160" t="s">
        <v>2479</v>
      </c>
      <c r="D1160" t="s">
        <v>672</v>
      </c>
      <c r="E1160" t="s">
        <v>803</v>
      </c>
      <c r="F1160">
        <v>69.989999999999995</v>
      </c>
      <c r="G1160">
        <v>1</v>
      </c>
      <c r="H1160">
        <v>20</v>
      </c>
      <c r="I1160">
        <v>55.99</v>
      </c>
      <c r="J1160">
        <v>55.99</v>
      </c>
      <c r="K1160" t="s">
        <v>675</v>
      </c>
      <c r="L1160" t="s">
        <v>788</v>
      </c>
      <c r="M1160">
        <v>4</v>
      </c>
    </row>
    <row r="1161" spans="1:13" x14ac:dyDescent="0.25">
      <c r="A1161" t="s">
        <v>2480</v>
      </c>
      <c r="B1161" t="s">
        <v>477</v>
      </c>
      <c r="C1161" t="s">
        <v>1443</v>
      </c>
      <c r="D1161" t="s">
        <v>684</v>
      </c>
      <c r="E1161" t="s">
        <v>685</v>
      </c>
      <c r="F1161">
        <v>49.99</v>
      </c>
      <c r="G1161">
        <v>4</v>
      </c>
      <c r="H1161">
        <v>0</v>
      </c>
      <c r="I1161">
        <v>49.99</v>
      </c>
      <c r="J1161">
        <v>199.96</v>
      </c>
      <c r="K1161" t="s">
        <v>682</v>
      </c>
      <c r="L1161" t="s">
        <v>656</v>
      </c>
    </row>
    <row r="1162" spans="1:13" x14ac:dyDescent="0.25">
      <c r="A1162" t="s">
        <v>2481</v>
      </c>
      <c r="B1162" t="s">
        <v>477</v>
      </c>
      <c r="C1162" t="s">
        <v>2438</v>
      </c>
      <c r="D1162" t="s">
        <v>653</v>
      </c>
      <c r="E1162" t="s">
        <v>769</v>
      </c>
      <c r="F1162">
        <v>49.99</v>
      </c>
      <c r="G1162">
        <v>4</v>
      </c>
      <c r="H1162">
        <v>10</v>
      </c>
      <c r="I1162">
        <v>44.99</v>
      </c>
      <c r="J1162">
        <v>179.96</v>
      </c>
      <c r="K1162" t="s">
        <v>669</v>
      </c>
      <c r="L1162" t="s">
        <v>656</v>
      </c>
    </row>
    <row r="1163" spans="1:13" x14ac:dyDescent="0.25">
      <c r="A1163" t="s">
        <v>2482</v>
      </c>
      <c r="B1163" t="s">
        <v>477</v>
      </c>
      <c r="C1163" t="s">
        <v>2483</v>
      </c>
      <c r="D1163" t="s">
        <v>659</v>
      </c>
      <c r="E1163" t="s">
        <v>664</v>
      </c>
      <c r="F1163">
        <v>24.99</v>
      </c>
      <c r="G1163">
        <v>1</v>
      </c>
      <c r="H1163">
        <v>15</v>
      </c>
      <c r="I1163">
        <v>21.24</v>
      </c>
      <c r="J1163">
        <v>21.24</v>
      </c>
      <c r="K1163" t="s">
        <v>655</v>
      </c>
      <c r="L1163" t="s">
        <v>656</v>
      </c>
      <c r="M1163">
        <v>3</v>
      </c>
    </row>
    <row r="1164" spans="1:13" x14ac:dyDescent="0.25">
      <c r="A1164" t="s">
        <v>2484</v>
      </c>
      <c r="B1164" t="s">
        <v>477</v>
      </c>
      <c r="C1164" t="s">
        <v>845</v>
      </c>
      <c r="D1164" t="s">
        <v>667</v>
      </c>
      <c r="E1164" t="s">
        <v>668</v>
      </c>
      <c r="F1164">
        <v>64.989999999999995</v>
      </c>
      <c r="G1164">
        <v>4</v>
      </c>
      <c r="H1164">
        <v>15</v>
      </c>
      <c r="I1164">
        <v>55.24</v>
      </c>
      <c r="J1164">
        <v>220.96</v>
      </c>
      <c r="K1164" t="s">
        <v>661</v>
      </c>
      <c r="L1164" t="s">
        <v>656</v>
      </c>
      <c r="M1164">
        <v>5</v>
      </c>
    </row>
    <row r="1165" spans="1:13" x14ac:dyDescent="0.25">
      <c r="A1165" t="s">
        <v>2485</v>
      </c>
      <c r="B1165" t="s">
        <v>480</v>
      </c>
      <c r="C1165" t="s">
        <v>2063</v>
      </c>
      <c r="D1165" t="s">
        <v>710</v>
      </c>
      <c r="E1165" t="s">
        <v>730</v>
      </c>
      <c r="F1165">
        <v>39.99</v>
      </c>
      <c r="G1165">
        <v>2</v>
      </c>
      <c r="H1165">
        <v>20</v>
      </c>
      <c r="I1165">
        <v>31.99</v>
      </c>
      <c r="J1165">
        <v>63.98</v>
      </c>
      <c r="K1165" t="s">
        <v>675</v>
      </c>
      <c r="L1165" t="s">
        <v>656</v>
      </c>
      <c r="M1165">
        <v>4</v>
      </c>
    </row>
    <row r="1166" spans="1:13" x14ac:dyDescent="0.25">
      <c r="A1166" t="s">
        <v>2486</v>
      </c>
      <c r="B1166" t="s">
        <v>480</v>
      </c>
      <c r="C1166" t="s">
        <v>1236</v>
      </c>
      <c r="D1166" t="s">
        <v>653</v>
      </c>
      <c r="E1166" t="s">
        <v>827</v>
      </c>
      <c r="F1166">
        <v>29.99</v>
      </c>
      <c r="G1166">
        <v>3</v>
      </c>
      <c r="H1166">
        <v>0</v>
      </c>
      <c r="I1166">
        <v>29.99</v>
      </c>
      <c r="J1166">
        <v>89.97</v>
      </c>
      <c r="K1166" t="s">
        <v>655</v>
      </c>
      <c r="L1166" t="s">
        <v>656</v>
      </c>
      <c r="M1166">
        <v>3</v>
      </c>
    </row>
    <row r="1167" spans="1:13" x14ac:dyDescent="0.25">
      <c r="A1167" t="s">
        <v>2487</v>
      </c>
      <c r="B1167" t="s">
        <v>480</v>
      </c>
      <c r="C1167" t="s">
        <v>805</v>
      </c>
      <c r="D1167" t="s">
        <v>710</v>
      </c>
      <c r="E1167" t="s">
        <v>721</v>
      </c>
      <c r="F1167">
        <v>24.99</v>
      </c>
      <c r="G1167">
        <v>1</v>
      </c>
      <c r="H1167">
        <v>0</v>
      </c>
      <c r="I1167">
        <v>24.99</v>
      </c>
      <c r="J1167">
        <v>24.99</v>
      </c>
      <c r="K1167" t="s">
        <v>682</v>
      </c>
      <c r="L1167" t="s">
        <v>788</v>
      </c>
      <c r="M1167">
        <v>4</v>
      </c>
    </row>
    <row r="1168" spans="1:13" x14ac:dyDescent="0.25">
      <c r="A1168" t="s">
        <v>2488</v>
      </c>
      <c r="B1168" t="s">
        <v>480</v>
      </c>
      <c r="C1168" t="s">
        <v>2489</v>
      </c>
      <c r="D1168" t="s">
        <v>672</v>
      </c>
      <c r="E1168" t="s">
        <v>673</v>
      </c>
      <c r="F1168">
        <v>24.99</v>
      </c>
      <c r="G1168">
        <v>1</v>
      </c>
      <c r="H1168">
        <v>5</v>
      </c>
      <c r="I1168">
        <v>23.74</v>
      </c>
      <c r="J1168">
        <v>23.74</v>
      </c>
      <c r="K1168" t="s">
        <v>682</v>
      </c>
      <c r="L1168" t="s">
        <v>656</v>
      </c>
      <c r="M1168">
        <v>5</v>
      </c>
    </row>
    <row r="1169" spans="1:13" x14ac:dyDescent="0.25">
      <c r="A1169" t="s">
        <v>2490</v>
      </c>
      <c r="B1169" t="s">
        <v>480</v>
      </c>
      <c r="C1169" t="s">
        <v>2491</v>
      </c>
      <c r="D1169" t="s">
        <v>684</v>
      </c>
      <c r="E1169" t="s">
        <v>815</v>
      </c>
      <c r="F1169">
        <v>34.99</v>
      </c>
      <c r="G1169">
        <v>4</v>
      </c>
      <c r="H1169">
        <v>10</v>
      </c>
      <c r="I1169">
        <v>31.49</v>
      </c>
      <c r="J1169">
        <v>125.96</v>
      </c>
      <c r="K1169" t="s">
        <v>675</v>
      </c>
      <c r="L1169" t="s">
        <v>788</v>
      </c>
      <c r="M1169">
        <v>5</v>
      </c>
    </row>
    <row r="1170" spans="1:13" x14ac:dyDescent="0.25">
      <c r="A1170" t="s">
        <v>2492</v>
      </c>
      <c r="B1170" t="s">
        <v>480</v>
      </c>
      <c r="C1170" t="s">
        <v>274</v>
      </c>
      <c r="D1170" t="s">
        <v>684</v>
      </c>
      <c r="E1170" t="s">
        <v>685</v>
      </c>
      <c r="F1170">
        <v>49.99</v>
      </c>
      <c r="G1170">
        <v>1</v>
      </c>
      <c r="H1170">
        <v>0</v>
      </c>
      <c r="I1170">
        <v>49.99</v>
      </c>
      <c r="J1170">
        <v>49.99</v>
      </c>
      <c r="K1170" t="s">
        <v>669</v>
      </c>
      <c r="L1170" t="s">
        <v>656</v>
      </c>
      <c r="M1170">
        <v>5</v>
      </c>
    </row>
    <row r="1171" spans="1:13" x14ac:dyDescent="0.25">
      <c r="A1171" t="s">
        <v>2493</v>
      </c>
      <c r="B1171" t="s">
        <v>480</v>
      </c>
      <c r="C1171" t="s">
        <v>775</v>
      </c>
      <c r="D1171" t="s">
        <v>659</v>
      </c>
      <c r="E1171" t="s">
        <v>664</v>
      </c>
      <c r="F1171">
        <v>24.99</v>
      </c>
      <c r="G1171">
        <v>2</v>
      </c>
      <c r="H1171">
        <v>0</v>
      </c>
      <c r="I1171">
        <v>24.99</v>
      </c>
      <c r="J1171">
        <v>49.98</v>
      </c>
      <c r="K1171" t="s">
        <v>661</v>
      </c>
      <c r="L1171" t="s">
        <v>656</v>
      </c>
      <c r="M1171">
        <v>1</v>
      </c>
    </row>
    <row r="1172" spans="1:13" x14ac:dyDescent="0.25">
      <c r="A1172" t="s">
        <v>2494</v>
      </c>
      <c r="B1172" t="s">
        <v>480</v>
      </c>
      <c r="C1172" t="s">
        <v>2495</v>
      </c>
      <c r="D1172" t="s">
        <v>672</v>
      </c>
      <c r="E1172" t="s">
        <v>673</v>
      </c>
      <c r="F1172">
        <v>24.99</v>
      </c>
      <c r="G1172">
        <v>4</v>
      </c>
      <c r="H1172">
        <v>0</v>
      </c>
      <c r="I1172">
        <v>24.99</v>
      </c>
      <c r="J1172">
        <v>99.96</v>
      </c>
      <c r="K1172" t="s">
        <v>669</v>
      </c>
      <c r="L1172" t="s">
        <v>785</v>
      </c>
    </row>
    <row r="1173" spans="1:13" x14ac:dyDescent="0.25">
      <c r="A1173" t="s">
        <v>2496</v>
      </c>
      <c r="B1173" t="s">
        <v>480</v>
      </c>
      <c r="C1173" t="s">
        <v>2489</v>
      </c>
      <c r="D1173" t="s">
        <v>680</v>
      </c>
      <c r="E1173" t="s">
        <v>708</v>
      </c>
      <c r="F1173">
        <v>24.99</v>
      </c>
      <c r="G1173">
        <v>2</v>
      </c>
      <c r="H1173">
        <v>10</v>
      </c>
      <c r="I1173">
        <v>22.49</v>
      </c>
      <c r="J1173">
        <v>44.98</v>
      </c>
      <c r="K1173" t="s">
        <v>675</v>
      </c>
      <c r="L1173" t="s">
        <v>656</v>
      </c>
      <c r="M1173">
        <v>5</v>
      </c>
    </row>
    <row r="1174" spans="1:13" x14ac:dyDescent="0.25">
      <c r="A1174" t="s">
        <v>2497</v>
      </c>
      <c r="B1174" t="s">
        <v>480</v>
      </c>
      <c r="C1174" t="s">
        <v>2226</v>
      </c>
      <c r="D1174" t="s">
        <v>680</v>
      </c>
      <c r="E1174" t="s">
        <v>681</v>
      </c>
      <c r="F1174">
        <v>19.989999999999998</v>
      </c>
      <c r="G1174">
        <v>2</v>
      </c>
      <c r="H1174">
        <v>0</v>
      </c>
      <c r="I1174">
        <v>19.989999999999998</v>
      </c>
      <c r="J1174">
        <v>39.979999999999997</v>
      </c>
      <c r="K1174" t="s">
        <v>661</v>
      </c>
      <c r="L1174" t="s">
        <v>656</v>
      </c>
      <c r="M1174">
        <v>5</v>
      </c>
    </row>
    <row r="1175" spans="1:13" x14ac:dyDescent="0.25">
      <c r="A1175" t="s">
        <v>2498</v>
      </c>
      <c r="B1175" t="s">
        <v>480</v>
      </c>
      <c r="C1175" t="s">
        <v>1704</v>
      </c>
      <c r="D1175" t="s">
        <v>653</v>
      </c>
      <c r="E1175" t="s">
        <v>827</v>
      </c>
      <c r="F1175">
        <v>29.99</v>
      </c>
      <c r="G1175">
        <v>1</v>
      </c>
      <c r="H1175">
        <v>0</v>
      </c>
      <c r="I1175">
        <v>29.99</v>
      </c>
      <c r="J1175">
        <v>29.99</v>
      </c>
      <c r="K1175" t="s">
        <v>655</v>
      </c>
      <c r="L1175" t="s">
        <v>656</v>
      </c>
      <c r="M1175">
        <v>4</v>
      </c>
    </row>
    <row r="1176" spans="1:13" x14ac:dyDescent="0.25">
      <c r="A1176" t="s">
        <v>2499</v>
      </c>
      <c r="B1176" t="s">
        <v>480</v>
      </c>
      <c r="C1176" t="s">
        <v>1298</v>
      </c>
      <c r="D1176" t="s">
        <v>710</v>
      </c>
      <c r="E1176" t="s">
        <v>711</v>
      </c>
      <c r="F1176">
        <v>14.99</v>
      </c>
      <c r="G1176">
        <v>2</v>
      </c>
      <c r="H1176">
        <v>0</v>
      </c>
      <c r="I1176">
        <v>14.99</v>
      </c>
      <c r="J1176">
        <v>29.98</v>
      </c>
      <c r="K1176" t="s">
        <v>682</v>
      </c>
      <c r="L1176" t="s">
        <v>656</v>
      </c>
      <c r="M1176">
        <v>5</v>
      </c>
    </row>
    <row r="1177" spans="1:13" x14ac:dyDescent="0.25">
      <c r="A1177" t="s">
        <v>2500</v>
      </c>
      <c r="B1177" t="s">
        <v>480</v>
      </c>
      <c r="C1177" t="s">
        <v>2501</v>
      </c>
      <c r="D1177" t="s">
        <v>659</v>
      </c>
      <c r="E1177" t="s">
        <v>762</v>
      </c>
      <c r="F1177">
        <v>49.99</v>
      </c>
      <c r="G1177">
        <v>1</v>
      </c>
      <c r="H1177">
        <v>10</v>
      </c>
      <c r="I1177">
        <v>44.99</v>
      </c>
      <c r="J1177">
        <v>44.99</v>
      </c>
      <c r="K1177" t="s">
        <v>661</v>
      </c>
      <c r="L1177" t="s">
        <v>656</v>
      </c>
      <c r="M1177">
        <v>4</v>
      </c>
    </row>
    <row r="1178" spans="1:13" x14ac:dyDescent="0.25">
      <c r="A1178" t="s">
        <v>2502</v>
      </c>
      <c r="B1178" t="s">
        <v>480</v>
      </c>
      <c r="C1178" t="s">
        <v>1479</v>
      </c>
      <c r="D1178" t="s">
        <v>710</v>
      </c>
      <c r="E1178" t="s">
        <v>721</v>
      </c>
      <c r="F1178">
        <v>24.99</v>
      </c>
      <c r="G1178">
        <v>3</v>
      </c>
      <c r="H1178">
        <v>5</v>
      </c>
      <c r="I1178">
        <v>23.74</v>
      </c>
      <c r="J1178">
        <v>71.22</v>
      </c>
      <c r="K1178" t="s">
        <v>682</v>
      </c>
      <c r="L1178" t="s">
        <v>656</v>
      </c>
    </row>
    <row r="1179" spans="1:13" x14ac:dyDescent="0.25">
      <c r="A1179" t="s">
        <v>2503</v>
      </c>
      <c r="B1179" t="s">
        <v>483</v>
      </c>
      <c r="C1179" t="s">
        <v>2504</v>
      </c>
      <c r="D1179" t="s">
        <v>684</v>
      </c>
      <c r="E1179" t="s">
        <v>702</v>
      </c>
      <c r="F1179">
        <v>199.99</v>
      </c>
      <c r="G1179">
        <v>2</v>
      </c>
      <c r="H1179">
        <v>10</v>
      </c>
      <c r="I1179">
        <v>179.99</v>
      </c>
      <c r="J1179">
        <v>359.98</v>
      </c>
      <c r="K1179" t="s">
        <v>669</v>
      </c>
      <c r="L1179" t="s">
        <v>656</v>
      </c>
    </row>
    <row r="1180" spans="1:13" x14ac:dyDescent="0.25">
      <c r="A1180" t="s">
        <v>2505</v>
      </c>
      <c r="B1180" t="s">
        <v>483</v>
      </c>
      <c r="C1180" t="s">
        <v>211</v>
      </c>
      <c r="D1180" t="s">
        <v>672</v>
      </c>
      <c r="E1180" t="s">
        <v>673</v>
      </c>
      <c r="F1180">
        <v>24.99</v>
      </c>
      <c r="G1180">
        <v>2</v>
      </c>
      <c r="H1180">
        <v>0</v>
      </c>
      <c r="I1180">
        <v>24.99</v>
      </c>
      <c r="J1180">
        <v>49.98</v>
      </c>
      <c r="K1180" t="s">
        <v>661</v>
      </c>
      <c r="L1180" t="s">
        <v>656</v>
      </c>
      <c r="M1180">
        <v>3</v>
      </c>
    </row>
    <row r="1181" spans="1:13" x14ac:dyDescent="0.25">
      <c r="A1181" t="s">
        <v>2506</v>
      </c>
      <c r="B1181" t="s">
        <v>483</v>
      </c>
      <c r="C1181" t="s">
        <v>2221</v>
      </c>
      <c r="D1181" t="s">
        <v>710</v>
      </c>
      <c r="E1181" t="s">
        <v>744</v>
      </c>
      <c r="F1181">
        <v>29.99</v>
      </c>
      <c r="G1181">
        <v>3</v>
      </c>
      <c r="H1181">
        <v>0</v>
      </c>
      <c r="I1181">
        <v>29.99</v>
      </c>
      <c r="J1181">
        <v>89.97</v>
      </c>
      <c r="K1181" t="s">
        <v>669</v>
      </c>
      <c r="L1181" t="s">
        <v>656</v>
      </c>
      <c r="M1181">
        <v>4</v>
      </c>
    </row>
    <row r="1182" spans="1:13" x14ac:dyDescent="0.25">
      <c r="A1182" t="s">
        <v>2507</v>
      </c>
      <c r="B1182" t="s">
        <v>483</v>
      </c>
      <c r="C1182" t="s">
        <v>2508</v>
      </c>
      <c r="D1182" t="s">
        <v>680</v>
      </c>
      <c r="E1182" t="s">
        <v>681</v>
      </c>
      <c r="F1182">
        <v>19.989999999999998</v>
      </c>
      <c r="G1182">
        <v>4</v>
      </c>
      <c r="H1182">
        <v>20</v>
      </c>
      <c r="I1182">
        <v>15.99</v>
      </c>
      <c r="J1182">
        <v>63.96</v>
      </c>
      <c r="K1182" t="s">
        <v>669</v>
      </c>
      <c r="L1182" t="s">
        <v>656</v>
      </c>
      <c r="M1182">
        <v>5</v>
      </c>
    </row>
    <row r="1183" spans="1:13" x14ac:dyDescent="0.25">
      <c r="A1183" t="s">
        <v>2509</v>
      </c>
      <c r="B1183" t="s">
        <v>483</v>
      </c>
      <c r="C1183" t="s">
        <v>2510</v>
      </c>
      <c r="D1183" t="s">
        <v>653</v>
      </c>
      <c r="E1183" t="s">
        <v>727</v>
      </c>
      <c r="F1183">
        <v>14.99</v>
      </c>
      <c r="G1183">
        <v>3</v>
      </c>
      <c r="H1183">
        <v>0</v>
      </c>
      <c r="I1183">
        <v>14.99</v>
      </c>
      <c r="J1183">
        <v>44.97</v>
      </c>
      <c r="K1183" t="s">
        <v>655</v>
      </c>
      <c r="L1183" t="s">
        <v>788</v>
      </c>
      <c r="M1183">
        <v>5</v>
      </c>
    </row>
    <row r="1184" spans="1:13" x14ac:dyDescent="0.25">
      <c r="A1184" t="s">
        <v>2511</v>
      </c>
      <c r="B1184" t="s">
        <v>483</v>
      </c>
      <c r="C1184" t="s">
        <v>292</v>
      </c>
      <c r="D1184" t="s">
        <v>667</v>
      </c>
      <c r="E1184" t="s">
        <v>699</v>
      </c>
      <c r="F1184">
        <v>89.99</v>
      </c>
      <c r="G1184">
        <v>2</v>
      </c>
      <c r="H1184">
        <v>5</v>
      </c>
      <c r="I1184">
        <v>85.49</v>
      </c>
      <c r="J1184">
        <v>170.98</v>
      </c>
      <c r="K1184" t="s">
        <v>669</v>
      </c>
      <c r="L1184" t="s">
        <v>656</v>
      </c>
      <c r="M1184">
        <v>5</v>
      </c>
    </row>
    <row r="1185" spans="1:13" x14ac:dyDescent="0.25">
      <c r="A1185" t="s">
        <v>2512</v>
      </c>
      <c r="B1185" t="s">
        <v>483</v>
      </c>
      <c r="C1185" t="s">
        <v>2513</v>
      </c>
      <c r="D1185" t="s">
        <v>672</v>
      </c>
      <c r="E1185" t="s">
        <v>803</v>
      </c>
      <c r="F1185">
        <v>69.989999999999995</v>
      </c>
      <c r="G1185">
        <v>3</v>
      </c>
      <c r="H1185">
        <v>0</v>
      </c>
      <c r="I1185">
        <v>69.989999999999995</v>
      </c>
      <c r="J1185">
        <v>209.97</v>
      </c>
      <c r="K1185" t="s">
        <v>669</v>
      </c>
      <c r="L1185" t="s">
        <v>656</v>
      </c>
      <c r="M1185">
        <v>1</v>
      </c>
    </row>
    <row r="1186" spans="1:13" x14ac:dyDescent="0.25">
      <c r="A1186" t="s">
        <v>2514</v>
      </c>
      <c r="B1186" t="s">
        <v>486</v>
      </c>
      <c r="C1186" t="s">
        <v>2489</v>
      </c>
      <c r="D1186" t="s">
        <v>684</v>
      </c>
      <c r="E1186" t="s">
        <v>815</v>
      </c>
      <c r="F1186">
        <v>34.99</v>
      </c>
      <c r="G1186">
        <v>3</v>
      </c>
      <c r="H1186">
        <v>0</v>
      </c>
      <c r="I1186">
        <v>34.99</v>
      </c>
      <c r="J1186">
        <v>104.97</v>
      </c>
      <c r="K1186" t="s">
        <v>682</v>
      </c>
      <c r="L1186" t="s">
        <v>656</v>
      </c>
      <c r="M1186">
        <v>5</v>
      </c>
    </row>
    <row r="1187" spans="1:13" x14ac:dyDescent="0.25">
      <c r="A1187" t="s">
        <v>2515</v>
      </c>
      <c r="B1187" t="s">
        <v>486</v>
      </c>
      <c r="C1187" t="s">
        <v>2195</v>
      </c>
      <c r="D1187" t="s">
        <v>653</v>
      </c>
      <c r="E1187" t="s">
        <v>654</v>
      </c>
      <c r="F1187">
        <v>39.99</v>
      </c>
      <c r="G1187">
        <v>4</v>
      </c>
      <c r="H1187">
        <v>0</v>
      </c>
      <c r="I1187">
        <v>39.99</v>
      </c>
      <c r="J1187">
        <v>159.96</v>
      </c>
      <c r="K1187" t="s">
        <v>675</v>
      </c>
      <c r="L1187" t="s">
        <v>656</v>
      </c>
      <c r="M1187">
        <v>5</v>
      </c>
    </row>
    <row r="1188" spans="1:13" x14ac:dyDescent="0.25">
      <c r="A1188" t="s">
        <v>2516</v>
      </c>
      <c r="B1188" t="s">
        <v>486</v>
      </c>
      <c r="C1188" t="s">
        <v>1188</v>
      </c>
      <c r="D1188" t="s">
        <v>672</v>
      </c>
      <c r="E1188" t="s">
        <v>735</v>
      </c>
      <c r="F1188">
        <v>44.99</v>
      </c>
      <c r="G1188">
        <v>2</v>
      </c>
      <c r="H1188">
        <v>0</v>
      </c>
      <c r="I1188">
        <v>44.99</v>
      </c>
      <c r="J1188">
        <v>89.98</v>
      </c>
      <c r="K1188" t="s">
        <v>669</v>
      </c>
      <c r="L1188" t="s">
        <v>788</v>
      </c>
      <c r="M1188">
        <v>5</v>
      </c>
    </row>
    <row r="1189" spans="1:13" x14ac:dyDescent="0.25">
      <c r="A1189" t="s">
        <v>2517</v>
      </c>
      <c r="B1189" t="s">
        <v>486</v>
      </c>
      <c r="C1189" t="s">
        <v>1126</v>
      </c>
      <c r="D1189" t="s">
        <v>710</v>
      </c>
      <c r="E1189" t="s">
        <v>744</v>
      </c>
      <c r="F1189">
        <v>29.99</v>
      </c>
      <c r="G1189">
        <v>2</v>
      </c>
      <c r="H1189">
        <v>0</v>
      </c>
      <c r="I1189">
        <v>29.99</v>
      </c>
      <c r="J1189">
        <v>59.98</v>
      </c>
      <c r="K1189" t="s">
        <v>682</v>
      </c>
      <c r="L1189" t="s">
        <v>656</v>
      </c>
      <c r="M1189">
        <v>5</v>
      </c>
    </row>
    <row r="1190" spans="1:13" x14ac:dyDescent="0.25">
      <c r="A1190" t="s">
        <v>2518</v>
      </c>
      <c r="B1190" t="s">
        <v>486</v>
      </c>
      <c r="C1190" t="s">
        <v>1531</v>
      </c>
      <c r="D1190" t="s">
        <v>680</v>
      </c>
      <c r="E1190" t="s">
        <v>749</v>
      </c>
      <c r="F1190">
        <v>14.99</v>
      </c>
      <c r="G1190">
        <v>2</v>
      </c>
      <c r="H1190">
        <v>0</v>
      </c>
      <c r="I1190">
        <v>14.99</v>
      </c>
      <c r="J1190">
        <v>29.98</v>
      </c>
      <c r="K1190" t="s">
        <v>675</v>
      </c>
      <c r="L1190" t="s">
        <v>656</v>
      </c>
    </row>
    <row r="1191" spans="1:13" x14ac:dyDescent="0.25">
      <c r="A1191" t="s">
        <v>2519</v>
      </c>
      <c r="B1191" t="s">
        <v>486</v>
      </c>
      <c r="C1191" t="s">
        <v>2520</v>
      </c>
      <c r="D1191" t="s">
        <v>684</v>
      </c>
      <c r="E1191" t="s">
        <v>685</v>
      </c>
      <c r="F1191">
        <v>49.99</v>
      </c>
      <c r="G1191">
        <v>1</v>
      </c>
      <c r="H1191">
        <v>20</v>
      </c>
      <c r="I1191">
        <v>39.99</v>
      </c>
      <c r="J1191">
        <v>39.99</v>
      </c>
      <c r="K1191" t="s">
        <v>655</v>
      </c>
      <c r="L1191" t="s">
        <v>656</v>
      </c>
      <c r="M1191">
        <v>5</v>
      </c>
    </row>
    <row r="1192" spans="1:13" x14ac:dyDescent="0.25">
      <c r="A1192" t="s">
        <v>2521</v>
      </c>
      <c r="B1192" t="s">
        <v>486</v>
      </c>
      <c r="C1192" t="s">
        <v>2287</v>
      </c>
      <c r="D1192" t="s">
        <v>672</v>
      </c>
      <c r="E1192" t="s">
        <v>803</v>
      </c>
      <c r="F1192">
        <v>69.989999999999995</v>
      </c>
      <c r="G1192">
        <v>4</v>
      </c>
      <c r="H1192">
        <v>5</v>
      </c>
      <c r="I1192">
        <v>66.489999999999995</v>
      </c>
      <c r="J1192">
        <v>265.95999999999998</v>
      </c>
      <c r="K1192" t="s">
        <v>682</v>
      </c>
      <c r="L1192" t="s">
        <v>656</v>
      </c>
      <c r="M1192">
        <v>5</v>
      </c>
    </row>
    <row r="1193" spans="1:13" x14ac:dyDescent="0.25">
      <c r="A1193" t="s">
        <v>2522</v>
      </c>
      <c r="B1193" t="s">
        <v>486</v>
      </c>
      <c r="C1193" t="s">
        <v>1556</v>
      </c>
      <c r="D1193" t="s">
        <v>672</v>
      </c>
      <c r="E1193" t="s">
        <v>673</v>
      </c>
      <c r="F1193">
        <v>24.99</v>
      </c>
      <c r="G1193">
        <v>2</v>
      </c>
      <c r="H1193">
        <v>20</v>
      </c>
      <c r="I1193">
        <v>19.989999999999998</v>
      </c>
      <c r="J1193">
        <v>39.979999999999997</v>
      </c>
      <c r="K1193" t="s">
        <v>682</v>
      </c>
      <c r="L1193" t="s">
        <v>656</v>
      </c>
    </row>
    <row r="1194" spans="1:13" x14ac:dyDescent="0.25">
      <c r="A1194" t="s">
        <v>2523</v>
      </c>
      <c r="B1194" t="s">
        <v>489</v>
      </c>
      <c r="C1194" t="s">
        <v>695</v>
      </c>
      <c r="D1194" t="s">
        <v>667</v>
      </c>
      <c r="E1194" t="s">
        <v>714</v>
      </c>
      <c r="F1194">
        <v>44.99</v>
      </c>
      <c r="G1194">
        <v>2</v>
      </c>
      <c r="H1194">
        <v>15</v>
      </c>
      <c r="I1194">
        <v>38.24</v>
      </c>
      <c r="J1194">
        <v>76.48</v>
      </c>
      <c r="K1194" t="s">
        <v>655</v>
      </c>
      <c r="L1194" t="s">
        <v>788</v>
      </c>
      <c r="M1194">
        <v>3</v>
      </c>
    </row>
    <row r="1195" spans="1:13" x14ac:dyDescent="0.25">
      <c r="A1195" t="s">
        <v>2524</v>
      </c>
      <c r="B1195" t="s">
        <v>489</v>
      </c>
      <c r="C1195" t="s">
        <v>838</v>
      </c>
      <c r="D1195" t="s">
        <v>672</v>
      </c>
      <c r="E1195" t="s">
        <v>673</v>
      </c>
      <c r="F1195">
        <v>24.99</v>
      </c>
      <c r="G1195">
        <v>2</v>
      </c>
      <c r="H1195">
        <v>20</v>
      </c>
      <c r="I1195">
        <v>19.989999999999998</v>
      </c>
      <c r="J1195">
        <v>39.979999999999997</v>
      </c>
      <c r="K1195" t="s">
        <v>655</v>
      </c>
      <c r="L1195" t="s">
        <v>656</v>
      </c>
    </row>
    <row r="1196" spans="1:13" x14ac:dyDescent="0.25">
      <c r="A1196" t="s">
        <v>2525</v>
      </c>
      <c r="B1196" t="s">
        <v>489</v>
      </c>
      <c r="C1196" t="s">
        <v>2045</v>
      </c>
      <c r="D1196" t="s">
        <v>653</v>
      </c>
      <c r="E1196" t="s">
        <v>769</v>
      </c>
      <c r="F1196">
        <v>49.99</v>
      </c>
      <c r="G1196">
        <v>4</v>
      </c>
      <c r="H1196">
        <v>5</v>
      </c>
      <c r="I1196">
        <v>47.49</v>
      </c>
      <c r="J1196">
        <v>189.96</v>
      </c>
      <c r="K1196" t="s">
        <v>655</v>
      </c>
      <c r="L1196" t="s">
        <v>656</v>
      </c>
    </row>
    <row r="1197" spans="1:13" x14ac:dyDescent="0.25">
      <c r="A1197" t="s">
        <v>2526</v>
      </c>
      <c r="B1197" t="s">
        <v>489</v>
      </c>
      <c r="C1197" t="s">
        <v>2089</v>
      </c>
      <c r="D1197" t="s">
        <v>659</v>
      </c>
      <c r="E1197" t="s">
        <v>820</v>
      </c>
      <c r="F1197">
        <v>39.99</v>
      </c>
      <c r="G1197">
        <v>3</v>
      </c>
      <c r="H1197">
        <v>0</v>
      </c>
      <c r="I1197">
        <v>39.99</v>
      </c>
      <c r="J1197">
        <v>119.97</v>
      </c>
      <c r="K1197" t="s">
        <v>675</v>
      </c>
      <c r="L1197" t="s">
        <v>656</v>
      </c>
      <c r="M1197">
        <v>4</v>
      </c>
    </row>
    <row r="1198" spans="1:13" x14ac:dyDescent="0.25">
      <c r="A1198" t="s">
        <v>2527</v>
      </c>
      <c r="B1198" t="s">
        <v>489</v>
      </c>
      <c r="C1198" t="s">
        <v>613</v>
      </c>
      <c r="D1198" t="s">
        <v>710</v>
      </c>
      <c r="E1198" t="s">
        <v>721</v>
      </c>
      <c r="F1198">
        <v>24.99</v>
      </c>
      <c r="G1198">
        <v>1</v>
      </c>
      <c r="H1198">
        <v>0</v>
      </c>
      <c r="I1198">
        <v>24.99</v>
      </c>
      <c r="J1198">
        <v>24.99</v>
      </c>
      <c r="K1198" t="s">
        <v>669</v>
      </c>
      <c r="L1198" t="s">
        <v>656</v>
      </c>
      <c r="M1198">
        <v>3</v>
      </c>
    </row>
    <row r="1199" spans="1:13" x14ac:dyDescent="0.25">
      <c r="A1199" t="s">
        <v>2528</v>
      </c>
      <c r="B1199" t="s">
        <v>489</v>
      </c>
      <c r="C1199" t="s">
        <v>1294</v>
      </c>
      <c r="D1199" t="s">
        <v>680</v>
      </c>
      <c r="E1199" t="s">
        <v>749</v>
      </c>
      <c r="F1199">
        <v>14.99</v>
      </c>
      <c r="G1199">
        <v>4</v>
      </c>
      <c r="H1199">
        <v>0</v>
      </c>
      <c r="I1199">
        <v>14.99</v>
      </c>
      <c r="J1199">
        <v>59.96</v>
      </c>
      <c r="K1199" t="s">
        <v>675</v>
      </c>
      <c r="L1199" t="s">
        <v>656</v>
      </c>
      <c r="M1199">
        <v>5</v>
      </c>
    </row>
    <row r="1200" spans="1:13" x14ac:dyDescent="0.25">
      <c r="A1200" t="s">
        <v>2529</v>
      </c>
      <c r="B1200" t="s">
        <v>489</v>
      </c>
      <c r="C1200" t="s">
        <v>2530</v>
      </c>
      <c r="D1200" t="s">
        <v>653</v>
      </c>
      <c r="E1200" t="s">
        <v>827</v>
      </c>
      <c r="F1200">
        <v>29.99</v>
      </c>
      <c r="G1200">
        <v>1</v>
      </c>
      <c r="H1200">
        <v>0</v>
      </c>
      <c r="I1200">
        <v>29.99</v>
      </c>
      <c r="J1200">
        <v>29.99</v>
      </c>
      <c r="K1200" t="s">
        <v>669</v>
      </c>
      <c r="L1200" t="s">
        <v>656</v>
      </c>
    </row>
    <row r="1201" spans="1:13" x14ac:dyDescent="0.25">
      <c r="A1201" t="s">
        <v>2531</v>
      </c>
      <c r="B1201" t="s">
        <v>489</v>
      </c>
      <c r="C1201" t="s">
        <v>2153</v>
      </c>
      <c r="D1201" t="s">
        <v>710</v>
      </c>
      <c r="E1201" t="s">
        <v>711</v>
      </c>
      <c r="F1201">
        <v>14.99</v>
      </c>
      <c r="G1201">
        <v>1</v>
      </c>
      <c r="H1201">
        <v>20</v>
      </c>
      <c r="I1201">
        <v>11.99</v>
      </c>
      <c r="J1201">
        <v>11.99</v>
      </c>
      <c r="K1201" t="s">
        <v>655</v>
      </c>
      <c r="L1201" t="s">
        <v>656</v>
      </c>
      <c r="M1201">
        <v>5</v>
      </c>
    </row>
    <row r="1202" spans="1:13" x14ac:dyDescent="0.25">
      <c r="A1202" t="s">
        <v>2532</v>
      </c>
      <c r="B1202" t="s">
        <v>489</v>
      </c>
      <c r="C1202" t="s">
        <v>1592</v>
      </c>
      <c r="D1202" t="s">
        <v>680</v>
      </c>
      <c r="E1202" t="s">
        <v>688</v>
      </c>
      <c r="F1202">
        <v>29.99</v>
      </c>
      <c r="G1202">
        <v>2</v>
      </c>
      <c r="H1202">
        <v>0</v>
      </c>
      <c r="I1202">
        <v>29.99</v>
      </c>
      <c r="J1202">
        <v>59.98</v>
      </c>
      <c r="K1202" t="s">
        <v>682</v>
      </c>
      <c r="L1202" t="s">
        <v>656</v>
      </c>
      <c r="M1202">
        <v>4</v>
      </c>
    </row>
    <row r="1203" spans="1:13" x14ac:dyDescent="0.25">
      <c r="A1203" t="s">
        <v>2533</v>
      </c>
      <c r="B1203" t="s">
        <v>489</v>
      </c>
      <c r="C1203" t="s">
        <v>1149</v>
      </c>
      <c r="D1203" t="s">
        <v>710</v>
      </c>
      <c r="E1203" t="s">
        <v>711</v>
      </c>
      <c r="F1203">
        <v>14.99</v>
      </c>
      <c r="G1203">
        <v>1</v>
      </c>
      <c r="H1203">
        <v>0</v>
      </c>
      <c r="I1203">
        <v>14.99</v>
      </c>
      <c r="J1203">
        <v>14.99</v>
      </c>
      <c r="K1203" t="s">
        <v>669</v>
      </c>
      <c r="L1203" t="s">
        <v>656</v>
      </c>
    </row>
    <row r="1204" spans="1:13" x14ac:dyDescent="0.25">
      <c r="A1204" t="s">
        <v>2534</v>
      </c>
      <c r="B1204" t="s">
        <v>489</v>
      </c>
      <c r="C1204" t="s">
        <v>764</v>
      </c>
      <c r="D1204" t="s">
        <v>680</v>
      </c>
      <c r="E1204" t="s">
        <v>708</v>
      </c>
      <c r="F1204">
        <v>24.99</v>
      </c>
      <c r="G1204">
        <v>3</v>
      </c>
      <c r="H1204">
        <v>20</v>
      </c>
      <c r="I1204">
        <v>19.989999999999998</v>
      </c>
      <c r="J1204">
        <v>59.97</v>
      </c>
      <c r="K1204" t="s">
        <v>655</v>
      </c>
      <c r="L1204" t="s">
        <v>656</v>
      </c>
      <c r="M1204">
        <v>3</v>
      </c>
    </row>
    <row r="1205" spans="1:13" x14ac:dyDescent="0.25">
      <c r="A1205" t="s">
        <v>2535</v>
      </c>
      <c r="B1205" t="s">
        <v>489</v>
      </c>
      <c r="C1205" t="s">
        <v>2536</v>
      </c>
      <c r="D1205" t="s">
        <v>672</v>
      </c>
      <c r="E1205" t="s">
        <v>735</v>
      </c>
      <c r="F1205">
        <v>44.99</v>
      </c>
      <c r="G1205">
        <v>2</v>
      </c>
      <c r="H1205">
        <v>0</v>
      </c>
      <c r="I1205">
        <v>44.99</v>
      </c>
      <c r="J1205">
        <v>89.98</v>
      </c>
      <c r="K1205" t="s">
        <v>682</v>
      </c>
      <c r="L1205" t="s">
        <v>656</v>
      </c>
      <c r="M1205">
        <v>5</v>
      </c>
    </row>
    <row r="1206" spans="1:13" x14ac:dyDescent="0.25">
      <c r="A1206" t="s">
        <v>2537</v>
      </c>
      <c r="B1206" t="s">
        <v>489</v>
      </c>
      <c r="C1206" t="s">
        <v>1839</v>
      </c>
      <c r="D1206" t="s">
        <v>659</v>
      </c>
      <c r="E1206" t="s">
        <v>762</v>
      </c>
      <c r="F1206">
        <v>49.99</v>
      </c>
      <c r="G1206">
        <v>4</v>
      </c>
      <c r="H1206">
        <v>5</v>
      </c>
      <c r="I1206">
        <v>47.49</v>
      </c>
      <c r="J1206">
        <v>189.96</v>
      </c>
      <c r="K1206" t="s">
        <v>661</v>
      </c>
      <c r="L1206" t="s">
        <v>656</v>
      </c>
    </row>
    <row r="1207" spans="1:13" x14ac:dyDescent="0.25">
      <c r="A1207" t="s">
        <v>2538</v>
      </c>
      <c r="B1207" t="s">
        <v>492</v>
      </c>
      <c r="C1207" t="s">
        <v>220</v>
      </c>
      <c r="D1207" t="s">
        <v>672</v>
      </c>
      <c r="E1207" t="s">
        <v>735</v>
      </c>
      <c r="F1207">
        <v>44.99</v>
      </c>
      <c r="G1207">
        <v>1</v>
      </c>
      <c r="H1207">
        <v>15</v>
      </c>
      <c r="I1207">
        <v>38.24</v>
      </c>
      <c r="J1207">
        <v>38.24</v>
      </c>
      <c r="K1207" t="s">
        <v>669</v>
      </c>
      <c r="L1207" t="s">
        <v>788</v>
      </c>
    </row>
    <row r="1208" spans="1:13" x14ac:dyDescent="0.25">
      <c r="A1208" t="s">
        <v>2539</v>
      </c>
      <c r="B1208" t="s">
        <v>492</v>
      </c>
      <c r="C1208" t="s">
        <v>1203</v>
      </c>
      <c r="D1208" t="s">
        <v>710</v>
      </c>
      <c r="E1208" t="s">
        <v>721</v>
      </c>
      <c r="F1208">
        <v>24.99</v>
      </c>
      <c r="G1208">
        <v>1</v>
      </c>
      <c r="H1208">
        <v>20</v>
      </c>
      <c r="I1208">
        <v>19.989999999999998</v>
      </c>
      <c r="J1208">
        <v>19.989999999999998</v>
      </c>
      <c r="K1208" t="s">
        <v>661</v>
      </c>
      <c r="L1208" t="s">
        <v>656</v>
      </c>
      <c r="M1208">
        <v>4</v>
      </c>
    </row>
    <row r="1209" spans="1:13" x14ac:dyDescent="0.25">
      <c r="A1209" t="s">
        <v>2540</v>
      </c>
      <c r="B1209" t="s">
        <v>492</v>
      </c>
      <c r="C1209" t="s">
        <v>2127</v>
      </c>
      <c r="D1209" t="s">
        <v>710</v>
      </c>
      <c r="E1209" t="s">
        <v>721</v>
      </c>
      <c r="F1209">
        <v>24.99</v>
      </c>
      <c r="G1209">
        <v>2</v>
      </c>
      <c r="H1209">
        <v>0</v>
      </c>
      <c r="I1209">
        <v>24.99</v>
      </c>
      <c r="J1209">
        <v>49.98</v>
      </c>
      <c r="K1209" t="s">
        <v>661</v>
      </c>
      <c r="L1209" t="s">
        <v>656</v>
      </c>
      <c r="M1209">
        <v>5</v>
      </c>
    </row>
    <row r="1210" spans="1:13" x14ac:dyDescent="0.25">
      <c r="A1210" t="s">
        <v>2541</v>
      </c>
      <c r="B1210" t="s">
        <v>495</v>
      </c>
      <c r="C1210" t="s">
        <v>979</v>
      </c>
      <c r="D1210" t="s">
        <v>710</v>
      </c>
      <c r="E1210" t="s">
        <v>721</v>
      </c>
      <c r="F1210">
        <v>24.99</v>
      </c>
      <c r="G1210">
        <v>2</v>
      </c>
      <c r="H1210">
        <v>0</v>
      </c>
      <c r="I1210">
        <v>24.99</v>
      </c>
      <c r="J1210">
        <v>49.98</v>
      </c>
      <c r="K1210" t="s">
        <v>655</v>
      </c>
      <c r="L1210" t="s">
        <v>739</v>
      </c>
      <c r="M1210">
        <v>5</v>
      </c>
    </row>
    <row r="1211" spans="1:13" x14ac:dyDescent="0.25">
      <c r="A1211" t="s">
        <v>2542</v>
      </c>
      <c r="B1211" t="s">
        <v>495</v>
      </c>
      <c r="C1211" t="s">
        <v>1985</v>
      </c>
      <c r="D1211" t="s">
        <v>667</v>
      </c>
      <c r="E1211" t="s">
        <v>668</v>
      </c>
      <c r="F1211">
        <v>64.989999999999995</v>
      </c>
      <c r="G1211">
        <v>3</v>
      </c>
      <c r="H1211">
        <v>0</v>
      </c>
      <c r="I1211">
        <v>64.989999999999995</v>
      </c>
      <c r="J1211">
        <v>194.97</v>
      </c>
      <c r="K1211" t="s">
        <v>669</v>
      </c>
      <c r="L1211" t="s">
        <v>656</v>
      </c>
      <c r="M1211">
        <v>4</v>
      </c>
    </row>
    <row r="1212" spans="1:13" x14ac:dyDescent="0.25">
      <c r="A1212" t="s">
        <v>2543</v>
      </c>
      <c r="B1212" t="s">
        <v>495</v>
      </c>
      <c r="C1212" t="s">
        <v>2544</v>
      </c>
      <c r="D1212" t="s">
        <v>672</v>
      </c>
      <c r="E1212" t="s">
        <v>803</v>
      </c>
      <c r="F1212">
        <v>69.989999999999995</v>
      </c>
      <c r="G1212">
        <v>3</v>
      </c>
      <c r="H1212">
        <v>10</v>
      </c>
      <c r="I1212">
        <v>62.99</v>
      </c>
      <c r="J1212">
        <v>188.97</v>
      </c>
      <c r="K1212" t="s">
        <v>675</v>
      </c>
      <c r="L1212" t="s">
        <v>656</v>
      </c>
      <c r="M1212">
        <v>4</v>
      </c>
    </row>
    <row r="1213" spans="1:13" x14ac:dyDescent="0.25">
      <c r="A1213" t="s">
        <v>2545</v>
      </c>
      <c r="B1213" t="s">
        <v>495</v>
      </c>
      <c r="C1213" t="s">
        <v>2546</v>
      </c>
      <c r="D1213" t="s">
        <v>672</v>
      </c>
      <c r="E1213" t="s">
        <v>735</v>
      </c>
      <c r="F1213">
        <v>44.99</v>
      </c>
      <c r="G1213">
        <v>3</v>
      </c>
      <c r="H1213">
        <v>15</v>
      </c>
      <c r="I1213">
        <v>38.24</v>
      </c>
      <c r="J1213">
        <v>114.72</v>
      </c>
      <c r="K1213" t="s">
        <v>682</v>
      </c>
      <c r="L1213" t="s">
        <v>739</v>
      </c>
      <c r="M1213">
        <v>2</v>
      </c>
    </row>
    <row r="1214" spans="1:13" x14ac:dyDescent="0.25">
      <c r="A1214" t="s">
        <v>2547</v>
      </c>
      <c r="B1214" t="s">
        <v>495</v>
      </c>
      <c r="C1214" t="s">
        <v>1670</v>
      </c>
      <c r="D1214" t="s">
        <v>672</v>
      </c>
      <c r="E1214" t="s">
        <v>673</v>
      </c>
      <c r="F1214">
        <v>24.99</v>
      </c>
      <c r="G1214">
        <v>1</v>
      </c>
      <c r="H1214">
        <v>0</v>
      </c>
      <c r="I1214">
        <v>24.99</v>
      </c>
      <c r="J1214">
        <v>24.99</v>
      </c>
      <c r="K1214" t="s">
        <v>655</v>
      </c>
      <c r="L1214" t="s">
        <v>656</v>
      </c>
      <c r="M1214">
        <v>4</v>
      </c>
    </row>
    <row r="1215" spans="1:13" x14ac:dyDescent="0.25">
      <c r="A1215" t="s">
        <v>2548</v>
      </c>
      <c r="B1215" t="s">
        <v>495</v>
      </c>
      <c r="C1215" t="s">
        <v>2549</v>
      </c>
      <c r="D1215" t="s">
        <v>653</v>
      </c>
      <c r="E1215" t="s">
        <v>727</v>
      </c>
      <c r="F1215">
        <v>14.99</v>
      </c>
      <c r="G1215">
        <v>1</v>
      </c>
      <c r="H1215">
        <v>15</v>
      </c>
      <c r="I1215">
        <v>12.74</v>
      </c>
      <c r="J1215">
        <v>12.74</v>
      </c>
      <c r="K1215" t="s">
        <v>682</v>
      </c>
      <c r="L1215" t="s">
        <v>656</v>
      </c>
      <c r="M1215">
        <v>5</v>
      </c>
    </row>
    <row r="1216" spans="1:13" x14ac:dyDescent="0.25">
      <c r="A1216" t="s">
        <v>2550</v>
      </c>
      <c r="B1216" t="s">
        <v>495</v>
      </c>
      <c r="C1216" t="s">
        <v>813</v>
      </c>
      <c r="D1216" t="s">
        <v>684</v>
      </c>
      <c r="E1216" t="s">
        <v>705</v>
      </c>
      <c r="F1216">
        <v>79.989999999999995</v>
      </c>
      <c r="G1216">
        <v>3</v>
      </c>
      <c r="H1216">
        <v>0</v>
      </c>
      <c r="I1216">
        <v>79.989999999999995</v>
      </c>
      <c r="J1216">
        <v>239.97</v>
      </c>
      <c r="K1216" t="s">
        <v>655</v>
      </c>
      <c r="L1216" t="s">
        <v>656</v>
      </c>
      <c r="M1216">
        <v>3</v>
      </c>
    </row>
    <row r="1217" spans="1:13" x14ac:dyDescent="0.25">
      <c r="A1217" t="s">
        <v>2551</v>
      </c>
      <c r="B1217" t="s">
        <v>495</v>
      </c>
      <c r="C1217" t="s">
        <v>1420</v>
      </c>
      <c r="D1217" t="s">
        <v>680</v>
      </c>
      <c r="E1217" t="s">
        <v>681</v>
      </c>
      <c r="F1217">
        <v>19.989999999999998</v>
      </c>
      <c r="G1217">
        <v>1</v>
      </c>
      <c r="H1217">
        <v>5</v>
      </c>
      <c r="I1217">
        <v>18.989999999999998</v>
      </c>
      <c r="J1217">
        <v>18.989999999999998</v>
      </c>
      <c r="K1217" t="s">
        <v>661</v>
      </c>
      <c r="L1217" t="s">
        <v>656</v>
      </c>
      <c r="M1217">
        <v>5</v>
      </c>
    </row>
    <row r="1218" spans="1:13" x14ac:dyDescent="0.25">
      <c r="A1218" t="s">
        <v>2552</v>
      </c>
      <c r="B1218" t="s">
        <v>495</v>
      </c>
      <c r="C1218" t="s">
        <v>1655</v>
      </c>
      <c r="D1218" t="s">
        <v>672</v>
      </c>
      <c r="E1218" t="s">
        <v>724</v>
      </c>
      <c r="F1218">
        <v>89.99</v>
      </c>
      <c r="G1218">
        <v>2</v>
      </c>
      <c r="H1218">
        <v>0</v>
      </c>
      <c r="I1218">
        <v>89.99</v>
      </c>
      <c r="J1218">
        <v>179.98</v>
      </c>
      <c r="K1218" t="s">
        <v>655</v>
      </c>
      <c r="L1218" t="s">
        <v>788</v>
      </c>
      <c r="M1218">
        <v>3</v>
      </c>
    </row>
    <row r="1219" spans="1:13" x14ac:dyDescent="0.25">
      <c r="A1219" t="s">
        <v>2553</v>
      </c>
      <c r="B1219" t="s">
        <v>495</v>
      </c>
      <c r="C1219" t="s">
        <v>866</v>
      </c>
      <c r="D1219" t="s">
        <v>667</v>
      </c>
      <c r="E1219" t="s">
        <v>714</v>
      </c>
      <c r="F1219">
        <v>44.99</v>
      </c>
      <c r="G1219">
        <v>4</v>
      </c>
      <c r="H1219">
        <v>10</v>
      </c>
      <c r="I1219">
        <v>40.49</v>
      </c>
      <c r="J1219">
        <v>161.96</v>
      </c>
      <c r="K1219" t="s">
        <v>661</v>
      </c>
      <c r="L1219" t="s">
        <v>788</v>
      </c>
    </row>
    <row r="1220" spans="1:13" x14ac:dyDescent="0.25">
      <c r="A1220" t="s">
        <v>2554</v>
      </c>
      <c r="B1220" t="s">
        <v>498</v>
      </c>
      <c r="C1220" t="s">
        <v>2327</v>
      </c>
      <c r="D1220" t="s">
        <v>659</v>
      </c>
      <c r="E1220" t="s">
        <v>762</v>
      </c>
      <c r="F1220">
        <v>49.99</v>
      </c>
      <c r="G1220">
        <v>3</v>
      </c>
      <c r="H1220">
        <v>20</v>
      </c>
      <c r="I1220">
        <v>39.99</v>
      </c>
      <c r="J1220">
        <v>119.97</v>
      </c>
      <c r="K1220" t="s">
        <v>675</v>
      </c>
      <c r="L1220" t="s">
        <v>656</v>
      </c>
      <c r="M1220">
        <v>3</v>
      </c>
    </row>
    <row r="1221" spans="1:13" x14ac:dyDescent="0.25">
      <c r="A1221" t="s">
        <v>2555</v>
      </c>
      <c r="B1221" t="s">
        <v>498</v>
      </c>
      <c r="C1221" t="s">
        <v>306</v>
      </c>
      <c r="D1221" t="s">
        <v>710</v>
      </c>
      <c r="E1221" t="s">
        <v>711</v>
      </c>
      <c r="F1221">
        <v>14.99</v>
      </c>
      <c r="G1221">
        <v>2</v>
      </c>
      <c r="H1221">
        <v>5</v>
      </c>
      <c r="I1221">
        <v>14.24</v>
      </c>
      <c r="J1221">
        <v>28.48</v>
      </c>
      <c r="K1221" t="s">
        <v>655</v>
      </c>
      <c r="L1221" t="s">
        <v>656</v>
      </c>
    </row>
    <row r="1222" spans="1:13" x14ac:dyDescent="0.25">
      <c r="A1222" t="s">
        <v>2556</v>
      </c>
      <c r="B1222" t="s">
        <v>498</v>
      </c>
      <c r="C1222" t="s">
        <v>2557</v>
      </c>
      <c r="D1222" t="s">
        <v>672</v>
      </c>
      <c r="E1222" t="s">
        <v>673</v>
      </c>
      <c r="F1222">
        <v>24.99</v>
      </c>
      <c r="G1222">
        <v>2</v>
      </c>
      <c r="H1222">
        <v>20</v>
      </c>
      <c r="I1222">
        <v>19.989999999999998</v>
      </c>
      <c r="J1222">
        <v>39.979999999999997</v>
      </c>
      <c r="K1222" t="s">
        <v>682</v>
      </c>
      <c r="L1222" t="s">
        <v>656</v>
      </c>
    </row>
    <row r="1223" spans="1:13" x14ac:dyDescent="0.25">
      <c r="A1223" t="s">
        <v>2558</v>
      </c>
      <c r="B1223" t="s">
        <v>498</v>
      </c>
      <c r="C1223" t="s">
        <v>1574</v>
      </c>
      <c r="D1223" t="s">
        <v>667</v>
      </c>
      <c r="E1223" t="s">
        <v>696</v>
      </c>
      <c r="F1223">
        <v>59.99</v>
      </c>
      <c r="G1223">
        <v>4</v>
      </c>
      <c r="H1223">
        <v>15</v>
      </c>
      <c r="I1223">
        <v>50.99</v>
      </c>
      <c r="J1223">
        <v>203.96</v>
      </c>
      <c r="K1223" t="s">
        <v>661</v>
      </c>
      <c r="L1223" t="s">
        <v>656</v>
      </c>
    </row>
    <row r="1224" spans="1:13" x14ac:dyDescent="0.25">
      <c r="A1224" t="s">
        <v>2559</v>
      </c>
      <c r="B1224" t="s">
        <v>498</v>
      </c>
      <c r="C1224" t="s">
        <v>2560</v>
      </c>
      <c r="D1224" t="s">
        <v>653</v>
      </c>
      <c r="E1224" t="s">
        <v>827</v>
      </c>
      <c r="F1224">
        <v>29.99</v>
      </c>
      <c r="G1224">
        <v>4</v>
      </c>
      <c r="H1224">
        <v>5</v>
      </c>
      <c r="I1224">
        <v>28.49</v>
      </c>
      <c r="J1224">
        <v>113.96</v>
      </c>
      <c r="K1224" t="s">
        <v>675</v>
      </c>
      <c r="L1224" t="s">
        <v>656</v>
      </c>
    </row>
    <row r="1225" spans="1:13" x14ac:dyDescent="0.25">
      <c r="A1225" t="s">
        <v>2561</v>
      </c>
      <c r="B1225" t="s">
        <v>498</v>
      </c>
      <c r="C1225" t="s">
        <v>2562</v>
      </c>
      <c r="D1225" t="s">
        <v>667</v>
      </c>
      <c r="E1225" t="s">
        <v>668</v>
      </c>
      <c r="F1225">
        <v>64.989999999999995</v>
      </c>
      <c r="G1225">
        <v>2</v>
      </c>
      <c r="H1225">
        <v>5</v>
      </c>
      <c r="I1225">
        <v>61.74</v>
      </c>
      <c r="J1225">
        <v>123.48</v>
      </c>
      <c r="K1225" t="s">
        <v>661</v>
      </c>
      <c r="L1225" t="s">
        <v>656</v>
      </c>
      <c r="M1225">
        <v>4</v>
      </c>
    </row>
    <row r="1226" spans="1:13" x14ac:dyDescent="0.25">
      <c r="A1226" t="s">
        <v>2563</v>
      </c>
      <c r="B1226" t="s">
        <v>498</v>
      </c>
      <c r="C1226" t="s">
        <v>1663</v>
      </c>
      <c r="D1226" t="s">
        <v>667</v>
      </c>
      <c r="E1226" t="s">
        <v>714</v>
      </c>
      <c r="F1226">
        <v>44.99</v>
      </c>
      <c r="G1226">
        <v>4</v>
      </c>
      <c r="H1226">
        <v>0</v>
      </c>
      <c r="I1226">
        <v>44.99</v>
      </c>
      <c r="J1226">
        <v>179.96</v>
      </c>
      <c r="K1226" t="s">
        <v>675</v>
      </c>
      <c r="L1226" t="s">
        <v>656</v>
      </c>
    </row>
    <row r="1227" spans="1:13" x14ac:dyDescent="0.25">
      <c r="A1227" t="s">
        <v>2564</v>
      </c>
      <c r="B1227" t="s">
        <v>498</v>
      </c>
      <c r="C1227" t="s">
        <v>1057</v>
      </c>
      <c r="D1227" t="s">
        <v>684</v>
      </c>
      <c r="E1227" t="s">
        <v>815</v>
      </c>
      <c r="F1227">
        <v>34.99</v>
      </c>
      <c r="G1227">
        <v>3</v>
      </c>
      <c r="H1227">
        <v>5</v>
      </c>
      <c r="I1227">
        <v>33.24</v>
      </c>
      <c r="J1227">
        <v>99.72</v>
      </c>
      <c r="K1227" t="s">
        <v>655</v>
      </c>
      <c r="L1227" t="s">
        <v>656</v>
      </c>
      <c r="M1227">
        <v>5</v>
      </c>
    </row>
    <row r="1228" spans="1:13" x14ac:dyDescent="0.25">
      <c r="A1228" t="s">
        <v>2565</v>
      </c>
      <c r="B1228" t="s">
        <v>498</v>
      </c>
      <c r="C1228" t="s">
        <v>1106</v>
      </c>
      <c r="D1228" t="s">
        <v>680</v>
      </c>
      <c r="E1228" t="s">
        <v>708</v>
      </c>
      <c r="F1228">
        <v>24.99</v>
      </c>
      <c r="G1228">
        <v>1</v>
      </c>
      <c r="H1228">
        <v>10</v>
      </c>
      <c r="I1228">
        <v>22.49</v>
      </c>
      <c r="J1228">
        <v>22.49</v>
      </c>
      <c r="K1228" t="s">
        <v>682</v>
      </c>
      <c r="L1228" t="s">
        <v>656</v>
      </c>
      <c r="M1228">
        <v>5</v>
      </c>
    </row>
    <row r="1229" spans="1:13" x14ac:dyDescent="0.25">
      <c r="A1229" t="s">
        <v>2566</v>
      </c>
      <c r="B1229" t="s">
        <v>501</v>
      </c>
      <c r="C1229" t="s">
        <v>2567</v>
      </c>
      <c r="D1229" t="s">
        <v>659</v>
      </c>
      <c r="E1229" t="s">
        <v>660</v>
      </c>
      <c r="F1229">
        <v>19.989999999999998</v>
      </c>
      <c r="G1229">
        <v>2</v>
      </c>
      <c r="H1229">
        <v>15</v>
      </c>
      <c r="I1229">
        <v>16.989999999999998</v>
      </c>
      <c r="J1229">
        <v>33.979999999999997</v>
      </c>
      <c r="K1229" t="s">
        <v>661</v>
      </c>
      <c r="L1229" t="s">
        <v>656</v>
      </c>
      <c r="M1229">
        <v>3</v>
      </c>
    </row>
    <row r="1230" spans="1:13" x14ac:dyDescent="0.25">
      <c r="A1230" t="s">
        <v>2568</v>
      </c>
      <c r="B1230" t="s">
        <v>501</v>
      </c>
      <c r="C1230" t="s">
        <v>2569</v>
      </c>
      <c r="D1230" t="s">
        <v>710</v>
      </c>
      <c r="E1230" t="s">
        <v>721</v>
      </c>
      <c r="F1230">
        <v>24.99</v>
      </c>
      <c r="G1230">
        <v>1</v>
      </c>
      <c r="H1230">
        <v>0</v>
      </c>
      <c r="I1230">
        <v>24.99</v>
      </c>
      <c r="J1230">
        <v>24.99</v>
      </c>
      <c r="K1230" t="s">
        <v>655</v>
      </c>
      <c r="L1230" t="s">
        <v>656</v>
      </c>
    </row>
    <row r="1231" spans="1:13" x14ac:dyDescent="0.25">
      <c r="A1231" t="s">
        <v>2570</v>
      </c>
      <c r="B1231" t="s">
        <v>501</v>
      </c>
      <c r="C1231" t="s">
        <v>2571</v>
      </c>
      <c r="D1231" t="s">
        <v>672</v>
      </c>
      <c r="E1231" t="s">
        <v>735</v>
      </c>
      <c r="F1231">
        <v>44.99</v>
      </c>
      <c r="G1231">
        <v>1</v>
      </c>
      <c r="H1231">
        <v>10</v>
      </c>
      <c r="I1231">
        <v>40.49</v>
      </c>
      <c r="J1231">
        <v>40.49</v>
      </c>
      <c r="K1231" t="s">
        <v>675</v>
      </c>
      <c r="L1231" t="s">
        <v>656</v>
      </c>
    </row>
    <row r="1232" spans="1:13" x14ac:dyDescent="0.25">
      <c r="A1232" t="s">
        <v>2572</v>
      </c>
      <c r="B1232" t="s">
        <v>501</v>
      </c>
      <c r="C1232" t="s">
        <v>2573</v>
      </c>
      <c r="D1232" t="s">
        <v>684</v>
      </c>
      <c r="E1232" t="s">
        <v>705</v>
      </c>
      <c r="F1232">
        <v>79.989999999999995</v>
      </c>
      <c r="G1232">
        <v>1</v>
      </c>
      <c r="H1232">
        <v>0</v>
      </c>
      <c r="I1232">
        <v>79.989999999999995</v>
      </c>
      <c r="J1232">
        <v>79.989999999999995</v>
      </c>
      <c r="K1232" t="s">
        <v>661</v>
      </c>
      <c r="L1232" t="s">
        <v>656</v>
      </c>
      <c r="M1232">
        <v>5</v>
      </c>
    </row>
    <row r="1233" spans="1:13" x14ac:dyDescent="0.25">
      <c r="A1233" t="s">
        <v>2574</v>
      </c>
      <c r="B1233" t="s">
        <v>504</v>
      </c>
      <c r="C1233" t="s">
        <v>840</v>
      </c>
      <c r="D1233" t="s">
        <v>680</v>
      </c>
      <c r="E1233" t="s">
        <v>708</v>
      </c>
      <c r="F1233">
        <v>24.99</v>
      </c>
      <c r="G1233">
        <v>4</v>
      </c>
      <c r="H1233">
        <v>20</v>
      </c>
      <c r="I1233">
        <v>19.989999999999998</v>
      </c>
      <c r="J1233">
        <v>79.959999999999994</v>
      </c>
      <c r="K1233" t="s">
        <v>682</v>
      </c>
      <c r="L1233" t="s">
        <v>656</v>
      </c>
      <c r="M1233">
        <v>4</v>
      </c>
    </row>
    <row r="1234" spans="1:13" x14ac:dyDescent="0.25">
      <c r="A1234" t="s">
        <v>2575</v>
      </c>
      <c r="B1234" t="s">
        <v>506</v>
      </c>
      <c r="C1234" t="s">
        <v>2576</v>
      </c>
      <c r="D1234" t="s">
        <v>672</v>
      </c>
      <c r="E1234" t="s">
        <v>735</v>
      </c>
      <c r="F1234">
        <v>44.99</v>
      </c>
      <c r="G1234">
        <v>2</v>
      </c>
      <c r="H1234">
        <v>0</v>
      </c>
      <c r="I1234">
        <v>44.99</v>
      </c>
      <c r="J1234">
        <v>89.98</v>
      </c>
      <c r="K1234" t="s">
        <v>682</v>
      </c>
      <c r="L1234" t="s">
        <v>656</v>
      </c>
    </row>
    <row r="1235" spans="1:13" x14ac:dyDescent="0.25">
      <c r="A1235" t="s">
        <v>2577</v>
      </c>
      <c r="B1235" t="s">
        <v>506</v>
      </c>
      <c r="C1235" t="s">
        <v>577</v>
      </c>
      <c r="D1235" t="s">
        <v>672</v>
      </c>
      <c r="E1235" t="s">
        <v>724</v>
      </c>
      <c r="F1235">
        <v>89.99</v>
      </c>
      <c r="G1235">
        <v>1</v>
      </c>
      <c r="H1235">
        <v>0</v>
      </c>
      <c r="I1235">
        <v>89.99</v>
      </c>
      <c r="J1235">
        <v>89.99</v>
      </c>
      <c r="K1235" t="s">
        <v>655</v>
      </c>
      <c r="L1235" t="s">
        <v>693</v>
      </c>
      <c r="M1235">
        <v>4</v>
      </c>
    </row>
    <row r="1236" spans="1:13" x14ac:dyDescent="0.25">
      <c r="A1236" t="s">
        <v>2578</v>
      </c>
      <c r="B1236" t="s">
        <v>506</v>
      </c>
      <c r="C1236" t="s">
        <v>2248</v>
      </c>
      <c r="D1236" t="s">
        <v>659</v>
      </c>
      <c r="E1236" t="s">
        <v>660</v>
      </c>
      <c r="F1236">
        <v>19.989999999999998</v>
      </c>
      <c r="G1236">
        <v>2</v>
      </c>
      <c r="H1236">
        <v>5</v>
      </c>
      <c r="I1236">
        <v>18.989999999999998</v>
      </c>
      <c r="J1236">
        <v>37.979999999999997</v>
      </c>
      <c r="K1236" t="s">
        <v>655</v>
      </c>
      <c r="L1236" t="s">
        <v>656</v>
      </c>
      <c r="M1236">
        <v>3</v>
      </c>
    </row>
    <row r="1237" spans="1:13" x14ac:dyDescent="0.25">
      <c r="A1237" t="s">
        <v>2579</v>
      </c>
      <c r="B1237" t="s">
        <v>506</v>
      </c>
      <c r="C1237" t="s">
        <v>1355</v>
      </c>
      <c r="D1237" t="s">
        <v>653</v>
      </c>
      <c r="E1237" t="s">
        <v>827</v>
      </c>
      <c r="F1237">
        <v>29.99</v>
      </c>
      <c r="G1237">
        <v>1</v>
      </c>
      <c r="H1237">
        <v>0</v>
      </c>
      <c r="I1237">
        <v>29.99</v>
      </c>
      <c r="J1237">
        <v>29.99</v>
      </c>
      <c r="K1237" t="s">
        <v>661</v>
      </c>
      <c r="L1237" t="s">
        <v>656</v>
      </c>
      <c r="M1237">
        <v>5</v>
      </c>
    </row>
    <row r="1238" spans="1:13" x14ac:dyDescent="0.25">
      <c r="A1238" t="s">
        <v>2580</v>
      </c>
      <c r="B1238" t="s">
        <v>506</v>
      </c>
      <c r="C1238" t="s">
        <v>866</v>
      </c>
      <c r="D1238" t="s">
        <v>653</v>
      </c>
      <c r="E1238" t="s">
        <v>769</v>
      </c>
      <c r="F1238">
        <v>49.99</v>
      </c>
      <c r="G1238">
        <v>4</v>
      </c>
      <c r="H1238">
        <v>0</v>
      </c>
      <c r="I1238">
        <v>49.99</v>
      </c>
      <c r="J1238">
        <v>199.96</v>
      </c>
      <c r="K1238" t="s">
        <v>655</v>
      </c>
      <c r="L1238" t="s">
        <v>656</v>
      </c>
    </row>
    <row r="1239" spans="1:13" x14ac:dyDescent="0.25">
      <c r="A1239" t="s">
        <v>2581</v>
      </c>
      <c r="B1239" t="s">
        <v>506</v>
      </c>
      <c r="C1239" t="s">
        <v>1301</v>
      </c>
      <c r="D1239" t="s">
        <v>672</v>
      </c>
      <c r="E1239" t="s">
        <v>803</v>
      </c>
      <c r="F1239">
        <v>69.989999999999995</v>
      </c>
      <c r="G1239">
        <v>4</v>
      </c>
      <c r="H1239">
        <v>0</v>
      </c>
      <c r="I1239">
        <v>69.989999999999995</v>
      </c>
      <c r="J1239">
        <v>279.95999999999998</v>
      </c>
      <c r="K1239" t="s">
        <v>655</v>
      </c>
      <c r="L1239" t="s">
        <v>656</v>
      </c>
    </row>
    <row r="1240" spans="1:13" x14ac:dyDescent="0.25">
      <c r="A1240" t="s">
        <v>2582</v>
      </c>
      <c r="B1240" t="s">
        <v>506</v>
      </c>
      <c r="C1240" t="s">
        <v>784</v>
      </c>
      <c r="D1240" t="s">
        <v>680</v>
      </c>
      <c r="E1240" t="s">
        <v>749</v>
      </c>
      <c r="F1240">
        <v>14.99</v>
      </c>
      <c r="G1240">
        <v>3</v>
      </c>
      <c r="H1240">
        <v>0</v>
      </c>
      <c r="I1240">
        <v>14.99</v>
      </c>
      <c r="J1240">
        <v>44.97</v>
      </c>
      <c r="K1240" t="s">
        <v>661</v>
      </c>
      <c r="L1240" t="s">
        <v>656</v>
      </c>
      <c r="M1240">
        <v>4</v>
      </c>
    </row>
    <row r="1241" spans="1:13" x14ac:dyDescent="0.25">
      <c r="A1241" t="s">
        <v>2583</v>
      </c>
      <c r="B1241" t="s">
        <v>506</v>
      </c>
      <c r="C1241" t="s">
        <v>2065</v>
      </c>
      <c r="D1241" t="s">
        <v>667</v>
      </c>
      <c r="E1241" t="s">
        <v>714</v>
      </c>
      <c r="F1241">
        <v>44.99</v>
      </c>
      <c r="G1241">
        <v>4</v>
      </c>
      <c r="H1241">
        <v>5</v>
      </c>
      <c r="I1241">
        <v>42.74</v>
      </c>
      <c r="J1241">
        <v>170.96</v>
      </c>
      <c r="K1241" t="s">
        <v>655</v>
      </c>
      <c r="L1241" t="s">
        <v>656</v>
      </c>
      <c r="M1241">
        <v>5</v>
      </c>
    </row>
    <row r="1242" spans="1:13" x14ac:dyDescent="0.25">
      <c r="A1242" t="s">
        <v>2584</v>
      </c>
      <c r="B1242" t="s">
        <v>506</v>
      </c>
      <c r="C1242" t="s">
        <v>1956</v>
      </c>
      <c r="D1242" t="s">
        <v>680</v>
      </c>
      <c r="E1242" t="s">
        <v>688</v>
      </c>
      <c r="F1242">
        <v>29.99</v>
      </c>
      <c r="G1242">
        <v>1</v>
      </c>
      <c r="H1242">
        <v>15</v>
      </c>
      <c r="I1242">
        <v>25.49</v>
      </c>
      <c r="J1242">
        <v>25.49</v>
      </c>
      <c r="K1242" t="s">
        <v>682</v>
      </c>
      <c r="L1242" t="s">
        <v>656</v>
      </c>
      <c r="M1242">
        <v>5</v>
      </c>
    </row>
    <row r="1243" spans="1:13" x14ac:dyDescent="0.25">
      <c r="A1243" t="s">
        <v>2585</v>
      </c>
      <c r="B1243" t="s">
        <v>506</v>
      </c>
      <c r="C1243" t="s">
        <v>428</v>
      </c>
      <c r="D1243" t="s">
        <v>680</v>
      </c>
      <c r="E1243" t="s">
        <v>688</v>
      </c>
      <c r="F1243">
        <v>29.99</v>
      </c>
      <c r="G1243">
        <v>1</v>
      </c>
      <c r="H1243">
        <v>10</v>
      </c>
      <c r="I1243">
        <v>26.99</v>
      </c>
      <c r="J1243">
        <v>26.99</v>
      </c>
      <c r="K1243" t="s">
        <v>655</v>
      </c>
      <c r="L1243" t="s">
        <v>656</v>
      </c>
    </row>
    <row r="1244" spans="1:13" x14ac:dyDescent="0.25">
      <c r="A1244" t="s">
        <v>2586</v>
      </c>
      <c r="B1244" t="s">
        <v>506</v>
      </c>
      <c r="C1244" t="s">
        <v>1286</v>
      </c>
      <c r="D1244" t="s">
        <v>659</v>
      </c>
      <c r="E1244" t="s">
        <v>820</v>
      </c>
      <c r="F1244">
        <v>39.99</v>
      </c>
      <c r="G1244">
        <v>4</v>
      </c>
      <c r="H1244">
        <v>10</v>
      </c>
      <c r="I1244">
        <v>35.99</v>
      </c>
      <c r="J1244">
        <v>143.96</v>
      </c>
      <c r="K1244" t="s">
        <v>675</v>
      </c>
      <c r="L1244" t="s">
        <v>656</v>
      </c>
      <c r="M1244">
        <v>3</v>
      </c>
    </row>
    <row r="1245" spans="1:13" x14ac:dyDescent="0.25">
      <c r="A1245" t="s">
        <v>2587</v>
      </c>
      <c r="B1245" t="s">
        <v>506</v>
      </c>
      <c r="C1245" t="s">
        <v>1275</v>
      </c>
      <c r="D1245" t="s">
        <v>653</v>
      </c>
      <c r="E1245" t="s">
        <v>727</v>
      </c>
      <c r="F1245">
        <v>14.99</v>
      </c>
      <c r="G1245">
        <v>4</v>
      </c>
      <c r="H1245">
        <v>0</v>
      </c>
      <c r="I1245">
        <v>14.99</v>
      </c>
      <c r="J1245">
        <v>59.96</v>
      </c>
      <c r="K1245" t="s">
        <v>669</v>
      </c>
      <c r="L1245" t="s">
        <v>693</v>
      </c>
      <c r="M1245">
        <v>5</v>
      </c>
    </row>
    <row r="1246" spans="1:13" x14ac:dyDescent="0.25">
      <c r="A1246" t="s">
        <v>2588</v>
      </c>
      <c r="B1246" t="s">
        <v>506</v>
      </c>
      <c r="C1246" t="s">
        <v>2589</v>
      </c>
      <c r="D1246" t="s">
        <v>672</v>
      </c>
      <c r="E1246" t="s">
        <v>735</v>
      </c>
      <c r="F1246">
        <v>44.99</v>
      </c>
      <c r="G1246">
        <v>3</v>
      </c>
      <c r="H1246">
        <v>20</v>
      </c>
      <c r="I1246">
        <v>35.99</v>
      </c>
      <c r="J1246">
        <v>107.97</v>
      </c>
      <c r="K1246" t="s">
        <v>655</v>
      </c>
      <c r="L1246" t="s">
        <v>656</v>
      </c>
    </row>
    <row r="1247" spans="1:13" x14ac:dyDescent="0.25">
      <c r="A1247" t="s">
        <v>2590</v>
      </c>
      <c r="B1247" t="s">
        <v>508</v>
      </c>
      <c r="C1247" t="s">
        <v>2051</v>
      </c>
      <c r="D1247" t="s">
        <v>710</v>
      </c>
      <c r="E1247" t="s">
        <v>744</v>
      </c>
      <c r="F1247">
        <v>29.99</v>
      </c>
      <c r="G1247">
        <v>3</v>
      </c>
      <c r="H1247">
        <v>10</v>
      </c>
      <c r="I1247">
        <v>26.99</v>
      </c>
      <c r="J1247">
        <v>80.97</v>
      </c>
      <c r="K1247" t="s">
        <v>682</v>
      </c>
      <c r="L1247" t="s">
        <v>656</v>
      </c>
    </row>
    <row r="1248" spans="1:13" x14ac:dyDescent="0.25">
      <c r="A1248" t="s">
        <v>2591</v>
      </c>
      <c r="B1248" t="s">
        <v>508</v>
      </c>
      <c r="C1248" t="s">
        <v>1923</v>
      </c>
      <c r="D1248" t="s">
        <v>710</v>
      </c>
      <c r="E1248" t="s">
        <v>730</v>
      </c>
      <c r="F1248">
        <v>39.99</v>
      </c>
      <c r="G1248">
        <v>1</v>
      </c>
      <c r="H1248">
        <v>0</v>
      </c>
      <c r="I1248">
        <v>39.99</v>
      </c>
      <c r="J1248">
        <v>39.99</v>
      </c>
      <c r="K1248" t="s">
        <v>682</v>
      </c>
      <c r="L1248" t="s">
        <v>656</v>
      </c>
      <c r="M1248">
        <v>5</v>
      </c>
    </row>
    <row r="1249" spans="1:13" x14ac:dyDescent="0.25">
      <c r="A1249" t="s">
        <v>2592</v>
      </c>
      <c r="B1249" t="s">
        <v>508</v>
      </c>
      <c r="C1249" t="s">
        <v>2593</v>
      </c>
      <c r="D1249" t="s">
        <v>667</v>
      </c>
      <c r="E1249" t="s">
        <v>668</v>
      </c>
      <c r="F1249">
        <v>64.989999999999995</v>
      </c>
      <c r="G1249">
        <v>4</v>
      </c>
      <c r="H1249">
        <v>0</v>
      </c>
      <c r="I1249">
        <v>64.989999999999995</v>
      </c>
      <c r="J1249">
        <v>259.95999999999998</v>
      </c>
      <c r="K1249" t="s">
        <v>682</v>
      </c>
      <c r="L1249" t="s">
        <v>656</v>
      </c>
      <c r="M1249">
        <v>2</v>
      </c>
    </row>
    <row r="1250" spans="1:13" x14ac:dyDescent="0.25">
      <c r="A1250" t="s">
        <v>2594</v>
      </c>
      <c r="B1250" t="s">
        <v>508</v>
      </c>
      <c r="C1250" t="s">
        <v>1549</v>
      </c>
      <c r="D1250" t="s">
        <v>659</v>
      </c>
      <c r="E1250" t="s">
        <v>660</v>
      </c>
      <c r="F1250">
        <v>19.989999999999998</v>
      </c>
      <c r="G1250">
        <v>2</v>
      </c>
      <c r="H1250">
        <v>15</v>
      </c>
      <c r="I1250">
        <v>16.989999999999998</v>
      </c>
      <c r="J1250">
        <v>33.979999999999997</v>
      </c>
      <c r="K1250" t="s">
        <v>655</v>
      </c>
      <c r="L1250" t="s">
        <v>656</v>
      </c>
      <c r="M1250">
        <v>4</v>
      </c>
    </row>
    <row r="1251" spans="1:13" x14ac:dyDescent="0.25">
      <c r="A1251" t="s">
        <v>2595</v>
      </c>
      <c r="B1251" t="s">
        <v>508</v>
      </c>
      <c r="C1251" t="s">
        <v>2596</v>
      </c>
      <c r="D1251" t="s">
        <v>684</v>
      </c>
      <c r="E1251" t="s">
        <v>702</v>
      </c>
      <c r="F1251">
        <v>199.99</v>
      </c>
      <c r="G1251">
        <v>1</v>
      </c>
      <c r="H1251">
        <v>10</v>
      </c>
      <c r="I1251">
        <v>179.99</v>
      </c>
      <c r="J1251">
        <v>179.99</v>
      </c>
      <c r="K1251" t="s">
        <v>675</v>
      </c>
      <c r="L1251" t="s">
        <v>656</v>
      </c>
      <c r="M1251">
        <v>5</v>
      </c>
    </row>
    <row r="1252" spans="1:13" x14ac:dyDescent="0.25">
      <c r="A1252" t="s">
        <v>2597</v>
      </c>
      <c r="B1252" t="s">
        <v>508</v>
      </c>
      <c r="C1252" t="s">
        <v>2598</v>
      </c>
      <c r="D1252" t="s">
        <v>659</v>
      </c>
      <c r="E1252" t="s">
        <v>820</v>
      </c>
      <c r="F1252">
        <v>39.99</v>
      </c>
      <c r="G1252">
        <v>4</v>
      </c>
      <c r="H1252">
        <v>20</v>
      </c>
      <c r="I1252">
        <v>31.99</v>
      </c>
      <c r="J1252">
        <v>127.96</v>
      </c>
      <c r="K1252" t="s">
        <v>661</v>
      </c>
      <c r="L1252" t="s">
        <v>788</v>
      </c>
      <c r="M1252">
        <v>4</v>
      </c>
    </row>
    <row r="1253" spans="1:13" x14ac:dyDescent="0.25">
      <c r="A1253" t="s">
        <v>2599</v>
      </c>
      <c r="B1253" t="s">
        <v>508</v>
      </c>
      <c r="C1253" t="s">
        <v>2513</v>
      </c>
      <c r="D1253" t="s">
        <v>672</v>
      </c>
      <c r="E1253" t="s">
        <v>673</v>
      </c>
      <c r="F1253">
        <v>24.99</v>
      </c>
      <c r="G1253">
        <v>3</v>
      </c>
      <c r="H1253">
        <v>0</v>
      </c>
      <c r="I1253">
        <v>24.99</v>
      </c>
      <c r="J1253">
        <v>74.97</v>
      </c>
      <c r="K1253" t="s">
        <v>682</v>
      </c>
      <c r="L1253" t="s">
        <v>656</v>
      </c>
    </row>
    <row r="1254" spans="1:13" x14ac:dyDescent="0.25">
      <c r="A1254" t="s">
        <v>2600</v>
      </c>
      <c r="B1254" t="s">
        <v>508</v>
      </c>
      <c r="C1254" t="s">
        <v>748</v>
      </c>
      <c r="D1254" t="s">
        <v>659</v>
      </c>
      <c r="E1254" t="s">
        <v>762</v>
      </c>
      <c r="F1254">
        <v>49.99</v>
      </c>
      <c r="G1254">
        <v>3</v>
      </c>
      <c r="H1254">
        <v>5</v>
      </c>
      <c r="I1254">
        <v>47.49</v>
      </c>
      <c r="J1254">
        <v>142.47</v>
      </c>
      <c r="K1254" t="s">
        <v>661</v>
      </c>
      <c r="L1254" t="s">
        <v>656</v>
      </c>
    </row>
    <row r="1255" spans="1:13" x14ac:dyDescent="0.25">
      <c r="A1255" t="s">
        <v>2601</v>
      </c>
      <c r="B1255" t="s">
        <v>508</v>
      </c>
      <c r="C1255" t="s">
        <v>2602</v>
      </c>
      <c r="D1255" t="s">
        <v>710</v>
      </c>
      <c r="E1255" t="s">
        <v>744</v>
      </c>
      <c r="F1255">
        <v>29.99</v>
      </c>
      <c r="G1255">
        <v>1</v>
      </c>
      <c r="H1255">
        <v>0</v>
      </c>
      <c r="I1255">
        <v>29.99</v>
      </c>
      <c r="J1255">
        <v>29.99</v>
      </c>
      <c r="K1255" t="s">
        <v>661</v>
      </c>
      <c r="L1255" t="s">
        <v>656</v>
      </c>
      <c r="M1255">
        <v>3</v>
      </c>
    </row>
    <row r="1256" spans="1:13" x14ac:dyDescent="0.25">
      <c r="A1256" t="s">
        <v>2603</v>
      </c>
      <c r="B1256" t="s">
        <v>508</v>
      </c>
      <c r="C1256" t="s">
        <v>2567</v>
      </c>
      <c r="D1256" t="s">
        <v>653</v>
      </c>
      <c r="E1256" t="s">
        <v>769</v>
      </c>
      <c r="F1256">
        <v>49.99</v>
      </c>
      <c r="G1256">
        <v>1</v>
      </c>
      <c r="H1256">
        <v>10</v>
      </c>
      <c r="I1256">
        <v>44.99</v>
      </c>
      <c r="J1256">
        <v>44.99</v>
      </c>
      <c r="K1256" t="s">
        <v>669</v>
      </c>
      <c r="L1256" t="s">
        <v>788</v>
      </c>
      <c r="M1256">
        <v>5</v>
      </c>
    </row>
    <row r="1257" spans="1:13" x14ac:dyDescent="0.25">
      <c r="A1257" t="s">
        <v>2604</v>
      </c>
      <c r="B1257" t="s">
        <v>508</v>
      </c>
      <c r="C1257" t="s">
        <v>1308</v>
      </c>
      <c r="D1257" t="s">
        <v>684</v>
      </c>
      <c r="E1257" t="s">
        <v>815</v>
      </c>
      <c r="F1257">
        <v>34.99</v>
      </c>
      <c r="G1257">
        <v>1</v>
      </c>
      <c r="H1257">
        <v>0</v>
      </c>
      <c r="I1257">
        <v>34.99</v>
      </c>
      <c r="J1257">
        <v>34.99</v>
      </c>
      <c r="K1257" t="s">
        <v>655</v>
      </c>
      <c r="L1257" t="s">
        <v>656</v>
      </c>
    </row>
    <row r="1258" spans="1:13" x14ac:dyDescent="0.25">
      <c r="A1258" t="s">
        <v>2605</v>
      </c>
      <c r="B1258" t="s">
        <v>508</v>
      </c>
      <c r="C1258" t="s">
        <v>1294</v>
      </c>
      <c r="D1258" t="s">
        <v>653</v>
      </c>
      <c r="E1258" t="s">
        <v>827</v>
      </c>
      <c r="F1258">
        <v>29.99</v>
      </c>
      <c r="G1258">
        <v>1</v>
      </c>
      <c r="H1258">
        <v>15</v>
      </c>
      <c r="I1258">
        <v>25.49</v>
      </c>
      <c r="J1258">
        <v>25.49</v>
      </c>
      <c r="K1258" t="s">
        <v>675</v>
      </c>
      <c r="L1258" t="s">
        <v>656</v>
      </c>
    </row>
    <row r="1259" spans="1:13" x14ac:dyDescent="0.25">
      <c r="A1259" t="s">
        <v>2606</v>
      </c>
      <c r="B1259" t="s">
        <v>508</v>
      </c>
      <c r="C1259" t="s">
        <v>2607</v>
      </c>
      <c r="D1259" t="s">
        <v>680</v>
      </c>
      <c r="E1259" t="s">
        <v>749</v>
      </c>
      <c r="F1259">
        <v>14.99</v>
      </c>
      <c r="G1259">
        <v>1</v>
      </c>
      <c r="H1259">
        <v>5</v>
      </c>
      <c r="I1259">
        <v>14.24</v>
      </c>
      <c r="J1259">
        <v>14.24</v>
      </c>
      <c r="K1259" t="s">
        <v>682</v>
      </c>
      <c r="L1259" t="s">
        <v>656</v>
      </c>
    </row>
    <row r="1260" spans="1:13" x14ac:dyDescent="0.25">
      <c r="A1260" t="s">
        <v>2608</v>
      </c>
      <c r="B1260" t="s">
        <v>508</v>
      </c>
      <c r="C1260" t="s">
        <v>1188</v>
      </c>
      <c r="D1260" t="s">
        <v>653</v>
      </c>
      <c r="E1260" t="s">
        <v>654</v>
      </c>
      <c r="F1260">
        <v>39.99</v>
      </c>
      <c r="G1260">
        <v>4</v>
      </c>
      <c r="H1260">
        <v>0</v>
      </c>
      <c r="I1260">
        <v>39.99</v>
      </c>
      <c r="J1260">
        <v>159.96</v>
      </c>
      <c r="K1260" t="s">
        <v>669</v>
      </c>
      <c r="L1260" t="s">
        <v>656</v>
      </c>
    </row>
    <row r="1261" spans="1:13" x14ac:dyDescent="0.25">
      <c r="A1261" t="s">
        <v>2609</v>
      </c>
      <c r="B1261" t="s">
        <v>508</v>
      </c>
      <c r="C1261" t="s">
        <v>850</v>
      </c>
      <c r="D1261" t="s">
        <v>653</v>
      </c>
      <c r="E1261" t="s">
        <v>827</v>
      </c>
      <c r="F1261">
        <v>29.99</v>
      </c>
      <c r="G1261">
        <v>3</v>
      </c>
      <c r="H1261">
        <v>5</v>
      </c>
      <c r="I1261">
        <v>28.49</v>
      </c>
      <c r="J1261">
        <v>85.47</v>
      </c>
      <c r="K1261" t="s">
        <v>655</v>
      </c>
      <c r="L1261" t="s">
        <v>656</v>
      </c>
    </row>
    <row r="1262" spans="1:13" x14ac:dyDescent="0.25">
      <c r="A1262" t="s">
        <v>2610</v>
      </c>
      <c r="B1262" t="s">
        <v>511</v>
      </c>
      <c r="C1262" t="s">
        <v>2611</v>
      </c>
      <c r="D1262" t="s">
        <v>710</v>
      </c>
      <c r="E1262" t="s">
        <v>711</v>
      </c>
      <c r="F1262">
        <v>14.99</v>
      </c>
      <c r="G1262">
        <v>1</v>
      </c>
      <c r="H1262">
        <v>0</v>
      </c>
      <c r="I1262">
        <v>14.99</v>
      </c>
      <c r="J1262">
        <v>14.99</v>
      </c>
      <c r="K1262" t="s">
        <v>661</v>
      </c>
      <c r="L1262" t="s">
        <v>739</v>
      </c>
      <c r="M1262">
        <v>4</v>
      </c>
    </row>
    <row r="1263" spans="1:13" x14ac:dyDescent="0.25">
      <c r="A1263" t="s">
        <v>2612</v>
      </c>
      <c r="B1263" t="s">
        <v>511</v>
      </c>
      <c r="C1263" t="s">
        <v>2613</v>
      </c>
      <c r="D1263" t="s">
        <v>684</v>
      </c>
      <c r="E1263" t="s">
        <v>702</v>
      </c>
      <c r="F1263">
        <v>199.99</v>
      </c>
      <c r="G1263">
        <v>2</v>
      </c>
      <c r="H1263">
        <v>10</v>
      </c>
      <c r="I1263">
        <v>179.99</v>
      </c>
      <c r="J1263">
        <v>359.98</v>
      </c>
      <c r="K1263" t="s">
        <v>661</v>
      </c>
      <c r="L1263" t="s">
        <v>656</v>
      </c>
      <c r="M1263">
        <v>3</v>
      </c>
    </row>
    <row r="1264" spans="1:13" x14ac:dyDescent="0.25">
      <c r="A1264" t="s">
        <v>2614</v>
      </c>
      <c r="B1264" t="s">
        <v>511</v>
      </c>
      <c r="C1264" t="s">
        <v>1267</v>
      </c>
      <c r="D1264" t="s">
        <v>710</v>
      </c>
      <c r="E1264" t="s">
        <v>730</v>
      </c>
      <c r="F1264">
        <v>39.99</v>
      </c>
      <c r="G1264">
        <v>3</v>
      </c>
      <c r="H1264">
        <v>0</v>
      </c>
      <c r="I1264">
        <v>39.99</v>
      </c>
      <c r="J1264">
        <v>119.97</v>
      </c>
      <c r="K1264" t="s">
        <v>661</v>
      </c>
      <c r="L1264" t="s">
        <v>785</v>
      </c>
    </row>
    <row r="1265" spans="1:13" x14ac:dyDescent="0.25">
      <c r="A1265" t="s">
        <v>2615</v>
      </c>
      <c r="B1265" t="s">
        <v>511</v>
      </c>
      <c r="C1265" t="s">
        <v>2616</v>
      </c>
      <c r="D1265" t="s">
        <v>672</v>
      </c>
      <c r="E1265" t="s">
        <v>803</v>
      </c>
      <c r="F1265">
        <v>69.989999999999995</v>
      </c>
      <c r="G1265">
        <v>1</v>
      </c>
      <c r="H1265">
        <v>0</v>
      </c>
      <c r="I1265">
        <v>69.989999999999995</v>
      </c>
      <c r="J1265">
        <v>69.989999999999995</v>
      </c>
      <c r="K1265" t="s">
        <v>655</v>
      </c>
      <c r="L1265" t="s">
        <v>656</v>
      </c>
    </row>
    <row r="1266" spans="1:13" x14ac:dyDescent="0.25">
      <c r="A1266" t="s">
        <v>2617</v>
      </c>
      <c r="B1266" t="s">
        <v>511</v>
      </c>
      <c r="C1266" t="s">
        <v>2618</v>
      </c>
      <c r="D1266" t="s">
        <v>659</v>
      </c>
      <c r="E1266" t="s">
        <v>664</v>
      </c>
      <c r="F1266">
        <v>24.99</v>
      </c>
      <c r="G1266">
        <v>2</v>
      </c>
      <c r="H1266">
        <v>0</v>
      </c>
      <c r="I1266">
        <v>24.99</v>
      </c>
      <c r="J1266">
        <v>49.98</v>
      </c>
      <c r="K1266" t="s">
        <v>661</v>
      </c>
      <c r="L1266" t="s">
        <v>656</v>
      </c>
    </row>
    <row r="1267" spans="1:13" x14ac:dyDescent="0.25">
      <c r="A1267" t="s">
        <v>2619</v>
      </c>
      <c r="B1267" t="s">
        <v>511</v>
      </c>
      <c r="C1267" t="s">
        <v>2620</v>
      </c>
      <c r="D1267" t="s">
        <v>672</v>
      </c>
      <c r="E1267" t="s">
        <v>735</v>
      </c>
      <c r="F1267">
        <v>44.99</v>
      </c>
      <c r="G1267">
        <v>1</v>
      </c>
      <c r="H1267">
        <v>10</v>
      </c>
      <c r="I1267">
        <v>40.49</v>
      </c>
      <c r="J1267">
        <v>40.49</v>
      </c>
      <c r="K1267" t="s">
        <v>655</v>
      </c>
      <c r="L1267" t="s">
        <v>656</v>
      </c>
      <c r="M1267">
        <v>4</v>
      </c>
    </row>
    <row r="1268" spans="1:13" x14ac:dyDescent="0.25">
      <c r="A1268" t="s">
        <v>2621</v>
      </c>
      <c r="B1268" t="s">
        <v>511</v>
      </c>
      <c r="C1268" t="s">
        <v>1000</v>
      </c>
      <c r="D1268" t="s">
        <v>710</v>
      </c>
      <c r="E1268" t="s">
        <v>721</v>
      </c>
      <c r="F1268">
        <v>24.99</v>
      </c>
      <c r="G1268">
        <v>3</v>
      </c>
      <c r="H1268">
        <v>10</v>
      </c>
      <c r="I1268">
        <v>22.49</v>
      </c>
      <c r="J1268">
        <v>67.47</v>
      </c>
      <c r="K1268" t="s">
        <v>675</v>
      </c>
      <c r="L1268" t="s">
        <v>656</v>
      </c>
    </row>
    <row r="1269" spans="1:13" x14ac:dyDescent="0.25">
      <c r="A1269" t="s">
        <v>2622</v>
      </c>
      <c r="B1269" t="s">
        <v>511</v>
      </c>
      <c r="C1269" t="s">
        <v>2223</v>
      </c>
      <c r="D1269" t="s">
        <v>672</v>
      </c>
      <c r="E1269" t="s">
        <v>803</v>
      </c>
      <c r="F1269">
        <v>69.989999999999995</v>
      </c>
      <c r="G1269">
        <v>2</v>
      </c>
      <c r="H1269">
        <v>0</v>
      </c>
      <c r="I1269">
        <v>69.989999999999995</v>
      </c>
      <c r="J1269">
        <v>139.97999999999999</v>
      </c>
      <c r="K1269" t="s">
        <v>669</v>
      </c>
      <c r="L1269" t="s">
        <v>656</v>
      </c>
    </row>
    <row r="1270" spans="1:13" x14ac:dyDescent="0.25">
      <c r="A1270" t="s">
        <v>2623</v>
      </c>
      <c r="B1270" t="s">
        <v>511</v>
      </c>
      <c r="C1270" t="s">
        <v>903</v>
      </c>
      <c r="D1270" t="s">
        <v>684</v>
      </c>
      <c r="E1270" t="s">
        <v>685</v>
      </c>
      <c r="F1270">
        <v>49.99</v>
      </c>
      <c r="G1270">
        <v>1</v>
      </c>
      <c r="H1270">
        <v>0</v>
      </c>
      <c r="I1270">
        <v>49.99</v>
      </c>
      <c r="J1270">
        <v>49.99</v>
      </c>
      <c r="K1270" t="s">
        <v>669</v>
      </c>
      <c r="L1270" t="s">
        <v>656</v>
      </c>
      <c r="M1270">
        <v>5</v>
      </c>
    </row>
    <row r="1271" spans="1:13" x14ac:dyDescent="0.25">
      <c r="A1271" t="s">
        <v>2624</v>
      </c>
      <c r="B1271" t="s">
        <v>511</v>
      </c>
      <c r="C1271" t="s">
        <v>663</v>
      </c>
      <c r="D1271" t="s">
        <v>710</v>
      </c>
      <c r="E1271" t="s">
        <v>744</v>
      </c>
      <c r="F1271">
        <v>29.99</v>
      </c>
      <c r="G1271">
        <v>4</v>
      </c>
      <c r="H1271">
        <v>5</v>
      </c>
      <c r="I1271">
        <v>28.49</v>
      </c>
      <c r="J1271">
        <v>113.96</v>
      </c>
      <c r="K1271" t="s">
        <v>675</v>
      </c>
      <c r="L1271" t="s">
        <v>656</v>
      </c>
      <c r="M1271">
        <v>4</v>
      </c>
    </row>
    <row r="1272" spans="1:13" x14ac:dyDescent="0.25">
      <c r="A1272" t="s">
        <v>2625</v>
      </c>
      <c r="B1272" t="s">
        <v>511</v>
      </c>
      <c r="C1272" t="s">
        <v>599</v>
      </c>
      <c r="D1272" t="s">
        <v>672</v>
      </c>
      <c r="E1272" t="s">
        <v>735</v>
      </c>
      <c r="F1272">
        <v>44.99</v>
      </c>
      <c r="G1272">
        <v>3</v>
      </c>
      <c r="H1272">
        <v>0</v>
      </c>
      <c r="I1272">
        <v>44.99</v>
      </c>
      <c r="J1272">
        <v>134.97</v>
      </c>
      <c r="K1272" t="s">
        <v>655</v>
      </c>
      <c r="L1272" t="s">
        <v>656</v>
      </c>
      <c r="M1272">
        <v>5</v>
      </c>
    </row>
    <row r="1273" spans="1:13" x14ac:dyDescent="0.25">
      <c r="A1273" t="s">
        <v>2626</v>
      </c>
      <c r="B1273" t="s">
        <v>511</v>
      </c>
      <c r="C1273" t="s">
        <v>1492</v>
      </c>
      <c r="D1273" t="s">
        <v>659</v>
      </c>
      <c r="E1273" t="s">
        <v>820</v>
      </c>
      <c r="F1273">
        <v>39.99</v>
      </c>
      <c r="G1273">
        <v>2</v>
      </c>
      <c r="H1273">
        <v>5</v>
      </c>
      <c r="I1273">
        <v>37.99</v>
      </c>
      <c r="J1273">
        <v>75.98</v>
      </c>
      <c r="K1273" t="s">
        <v>669</v>
      </c>
      <c r="L1273" t="s">
        <v>656</v>
      </c>
    </row>
    <row r="1274" spans="1:13" x14ac:dyDescent="0.25">
      <c r="A1274" t="s">
        <v>2627</v>
      </c>
      <c r="B1274" t="s">
        <v>511</v>
      </c>
      <c r="C1274" t="s">
        <v>1068</v>
      </c>
      <c r="D1274" t="s">
        <v>667</v>
      </c>
      <c r="E1274" t="s">
        <v>714</v>
      </c>
      <c r="F1274">
        <v>44.99</v>
      </c>
      <c r="G1274">
        <v>1</v>
      </c>
      <c r="H1274">
        <v>5</v>
      </c>
      <c r="I1274">
        <v>42.74</v>
      </c>
      <c r="J1274">
        <v>42.74</v>
      </c>
      <c r="K1274" t="s">
        <v>661</v>
      </c>
      <c r="L1274" t="s">
        <v>656</v>
      </c>
      <c r="M1274">
        <v>5</v>
      </c>
    </row>
    <row r="1275" spans="1:13" x14ac:dyDescent="0.25">
      <c r="A1275" t="s">
        <v>2628</v>
      </c>
      <c r="B1275" t="s">
        <v>514</v>
      </c>
      <c r="C1275" t="s">
        <v>1347</v>
      </c>
      <c r="D1275" t="s">
        <v>659</v>
      </c>
      <c r="E1275" t="s">
        <v>820</v>
      </c>
      <c r="F1275">
        <v>39.99</v>
      </c>
      <c r="G1275">
        <v>1</v>
      </c>
      <c r="H1275">
        <v>20</v>
      </c>
      <c r="I1275">
        <v>31.99</v>
      </c>
      <c r="J1275">
        <v>31.99</v>
      </c>
      <c r="K1275" t="s">
        <v>655</v>
      </c>
      <c r="L1275" t="s">
        <v>656</v>
      </c>
    </row>
    <row r="1276" spans="1:13" x14ac:dyDescent="0.25">
      <c r="A1276" t="s">
        <v>2629</v>
      </c>
      <c r="B1276" t="s">
        <v>514</v>
      </c>
      <c r="C1276" t="s">
        <v>2630</v>
      </c>
      <c r="D1276" t="s">
        <v>710</v>
      </c>
      <c r="E1276" t="s">
        <v>711</v>
      </c>
      <c r="F1276">
        <v>14.99</v>
      </c>
      <c r="G1276">
        <v>2</v>
      </c>
      <c r="H1276">
        <v>5</v>
      </c>
      <c r="I1276">
        <v>14.24</v>
      </c>
      <c r="J1276">
        <v>28.48</v>
      </c>
      <c r="K1276" t="s">
        <v>675</v>
      </c>
      <c r="L1276" t="s">
        <v>656</v>
      </c>
      <c r="M1276">
        <v>5</v>
      </c>
    </row>
    <row r="1277" spans="1:13" x14ac:dyDescent="0.25">
      <c r="A1277" t="s">
        <v>2631</v>
      </c>
      <c r="B1277" t="s">
        <v>514</v>
      </c>
      <c r="C1277" t="s">
        <v>259</v>
      </c>
      <c r="D1277" t="s">
        <v>672</v>
      </c>
      <c r="E1277" t="s">
        <v>673</v>
      </c>
      <c r="F1277">
        <v>24.99</v>
      </c>
      <c r="G1277">
        <v>4</v>
      </c>
      <c r="H1277">
        <v>20</v>
      </c>
      <c r="I1277">
        <v>19.989999999999998</v>
      </c>
      <c r="J1277">
        <v>79.959999999999994</v>
      </c>
      <c r="K1277" t="s">
        <v>675</v>
      </c>
      <c r="L1277" t="s">
        <v>656</v>
      </c>
      <c r="M1277">
        <v>5</v>
      </c>
    </row>
    <row r="1278" spans="1:13" x14ac:dyDescent="0.25">
      <c r="A1278" t="s">
        <v>2632</v>
      </c>
      <c r="B1278" t="s">
        <v>514</v>
      </c>
      <c r="C1278" t="s">
        <v>1970</v>
      </c>
      <c r="D1278" t="s">
        <v>672</v>
      </c>
      <c r="E1278" t="s">
        <v>735</v>
      </c>
      <c r="F1278">
        <v>44.99</v>
      </c>
      <c r="G1278">
        <v>2</v>
      </c>
      <c r="H1278">
        <v>0</v>
      </c>
      <c r="I1278">
        <v>44.99</v>
      </c>
      <c r="J1278">
        <v>89.98</v>
      </c>
      <c r="K1278" t="s">
        <v>675</v>
      </c>
      <c r="L1278" t="s">
        <v>656</v>
      </c>
      <c r="M1278">
        <v>4</v>
      </c>
    </row>
    <row r="1279" spans="1:13" x14ac:dyDescent="0.25">
      <c r="A1279" t="s">
        <v>2633</v>
      </c>
      <c r="B1279" t="s">
        <v>514</v>
      </c>
      <c r="C1279" t="s">
        <v>64</v>
      </c>
      <c r="D1279" t="s">
        <v>667</v>
      </c>
      <c r="E1279" t="s">
        <v>696</v>
      </c>
      <c r="F1279">
        <v>59.99</v>
      </c>
      <c r="G1279">
        <v>4</v>
      </c>
      <c r="H1279">
        <v>0</v>
      </c>
      <c r="I1279">
        <v>59.99</v>
      </c>
      <c r="J1279">
        <v>239.96</v>
      </c>
      <c r="K1279" t="s">
        <v>655</v>
      </c>
      <c r="L1279" t="s">
        <v>656</v>
      </c>
    </row>
    <row r="1280" spans="1:13" x14ac:dyDescent="0.25">
      <c r="A1280" t="s">
        <v>2634</v>
      </c>
      <c r="B1280" t="s">
        <v>514</v>
      </c>
      <c r="C1280" t="s">
        <v>1313</v>
      </c>
      <c r="D1280" t="s">
        <v>680</v>
      </c>
      <c r="E1280" t="s">
        <v>749</v>
      </c>
      <c r="F1280">
        <v>14.99</v>
      </c>
      <c r="G1280">
        <v>3</v>
      </c>
      <c r="H1280">
        <v>20</v>
      </c>
      <c r="I1280">
        <v>11.99</v>
      </c>
      <c r="J1280">
        <v>35.97</v>
      </c>
      <c r="K1280" t="s">
        <v>675</v>
      </c>
      <c r="L1280" t="s">
        <v>656</v>
      </c>
      <c r="M1280">
        <v>5</v>
      </c>
    </row>
    <row r="1281" spans="1:13" x14ac:dyDescent="0.25">
      <c r="A1281" t="s">
        <v>2635</v>
      </c>
      <c r="B1281" t="s">
        <v>514</v>
      </c>
      <c r="C1281" t="s">
        <v>981</v>
      </c>
      <c r="D1281" t="s">
        <v>680</v>
      </c>
      <c r="E1281" t="s">
        <v>708</v>
      </c>
      <c r="F1281">
        <v>24.99</v>
      </c>
      <c r="G1281">
        <v>3</v>
      </c>
      <c r="H1281">
        <v>0</v>
      </c>
      <c r="I1281">
        <v>24.99</v>
      </c>
      <c r="J1281">
        <v>74.97</v>
      </c>
      <c r="K1281" t="s">
        <v>669</v>
      </c>
      <c r="L1281" t="s">
        <v>656</v>
      </c>
      <c r="M1281">
        <v>3</v>
      </c>
    </row>
    <row r="1282" spans="1:13" x14ac:dyDescent="0.25">
      <c r="A1282" t="s">
        <v>2636</v>
      </c>
      <c r="B1282" t="s">
        <v>514</v>
      </c>
      <c r="C1282" t="s">
        <v>2370</v>
      </c>
      <c r="D1282" t="s">
        <v>710</v>
      </c>
      <c r="E1282" t="s">
        <v>730</v>
      </c>
      <c r="F1282">
        <v>39.99</v>
      </c>
      <c r="G1282">
        <v>1</v>
      </c>
      <c r="H1282">
        <v>0</v>
      </c>
      <c r="I1282">
        <v>39.99</v>
      </c>
      <c r="J1282">
        <v>39.99</v>
      </c>
      <c r="K1282" t="s">
        <v>675</v>
      </c>
      <c r="L1282" t="s">
        <v>739</v>
      </c>
      <c r="M1282">
        <v>5</v>
      </c>
    </row>
    <row r="1283" spans="1:13" x14ac:dyDescent="0.25">
      <c r="A1283" t="s">
        <v>2637</v>
      </c>
      <c r="B1283" t="s">
        <v>514</v>
      </c>
      <c r="C1283" t="s">
        <v>2638</v>
      </c>
      <c r="D1283" t="s">
        <v>684</v>
      </c>
      <c r="E1283" t="s">
        <v>702</v>
      </c>
      <c r="F1283">
        <v>199.99</v>
      </c>
      <c r="G1283">
        <v>1</v>
      </c>
      <c r="H1283">
        <v>15</v>
      </c>
      <c r="I1283">
        <v>169.99</v>
      </c>
      <c r="J1283">
        <v>169.99</v>
      </c>
      <c r="K1283" t="s">
        <v>661</v>
      </c>
      <c r="L1283" t="s">
        <v>656</v>
      </c>
      <c r="M1283">
        <v>5</v>
      </c>
    </row>
    <row r="1284" spans="1:13" x14ac:dyDescent="0.25">
      <c r="A1284" t="s">
        <v>2639</v>
      </c>
      <c r="B1284" t="s">
        <v>514</v>
      </c>
      <c r="C1284" t="s">
        <v>2366</v>
      </c>
      <c r="D1284" t="s">
        <v>653</v>
      </c>
      <c r="E1284" t="s">
        <v>654</v>
      </c>
      <c r="F1284">
        <v>39.99</v>
      </c>
      <c r="G1284">
        <v>4</v>
      </c>
      <c r="H1284">
        <v>0</v>
      </c>
      <c r="I1284">
        <v>39.99</v>
      </c>
      <c r="J1284">
        <v>159.96</v>
      </c>
      <c r="K1284" t="s">
        <v>669</v>
      </c>
      <c r="L1284" t="s">
        <v>693</v>
      </c>
      <c r="M1284">
        <v>5</v>
      </c>
    </row>
    <row r="1285" spans="1:13" x14ac:dyDescent="0.25">
      <c r="A1285" t="s">
        <v>2640</v>
      </c>
      <c r="B1285" t="s">
        <v>514</v>
      </c>
      <c r="C1285" t="s">
        <v>2641</v>
      </c>
      <c r="D1285" t="s">
        <v>680</v>
      </c>
      <c r="E1285" t="s">
        <v>681</v>
      </c>
      <c r="F1285">
        <v>19.989999999999998</v>
      </c>
      <c r="G1285">
        <v>3</v>
      </c>
      <c r="H1285">
        <v>0</v>
      </c>
      <c r="I1285">
        <v>19.989999999999998</v>
      </c>
      <c r="J1285">
        <v>59.97</v>
      </c>
      <c r="K1285" t="s">
        <v>669</v>
      </c>
      <c r="L1285" t="s">
        <v>656</v>
      </c>
      <c r="M1285">
        <v>3</v>
      </c>
    </row>
    <row r="1286" spans="1:13" x14ac:dyDescent="0.25">
      <c r="A1286" t="s">
        <v>2642</v>
      </c>
      <c r="B1286" t="s">
        <v>514</v>
      </c>
      <c r="C1286" t="s">
        <v>768</v>
      </c>
      <c r="D1286" t="s">
        <v>710</v>
      </c>
      <c r="E1286" t="s">
        <v>730</v>
      </c>
      <c r="F1286">
        <v>39.99</v>
      </c>
      <c r="G1286">
        <v>1</v>
      </c>
      <c r="H1286">
        <v>15</v>
      </c>
      <c r="I1286">
        <v>33.99</v>
      </c>
      <c r="J1286">
        <v>33.99</v>
      </c>
      <c r="K1286" t="s">
        <v>682</v>
      </c>
      <c r="L1286" t="s">
        <v>656</v>
      </c>
      <c r="M1286">
        <v>4</v>
      </c>
    </row>
    <row r="1287" spans="1:13" x14ac:dyDescent="0.25">
      <c r="A1287" t="s">
        <v>2643</v>
      </c>
      <c r="B1287" t="s">
        <v>514</v>
      </c>
      <c r="C1287" t="s">
        <v>1950</v>
      </c>
      <c r="D1287" t="s">
        <v>659</v>
      </c>
      <c r="E1287" t="s">
        <v>762</v>
      </c>
      <c r="F1287">
        <v>49.99</v>
      </c>
      <c r="G1287">
        <v>3</v>
      </c>
      <c r="H1287">
        <v>0</v>
      </c>
      <c r="I1287">
        <v>49.99</v>
      </c>
      <c r="J1287">
        <v>149.97</v>
      </c>
      <c r="K1287" t="s">
        <v>661</v>
      </c>
      <c r="L1287" t="s">
        <v>656</v>
      </c>
      <c r="M1287">
        <v>3</v>
      </c>
    </row>
    <row r="1288" spans="1:13" x14ac:dyDescent="0.25">
      <c r="A1288" t="s">
        <v>2644</v>
      </c>
      <c r="B1288" t="s">
        <v>514</v>
      </c>
      <c r="C1288" t="s">
        <v>1301</v>
      </c>
      <c r="D1288" t="s">
        <v>680</v>
      </c>
      <c r="E1288" t="s">
        <v>688</v>
      </c>
      <c r="F1288">
        <v>29.99</v>
      </c>
      <c r="G1288">
        <v>4</v>
      </c>
      <c r="H1288">
        <v>5</v>
      </c>
      <c r="I1288">
        <v>28.49</v>
      </c>
      <c r="J1288">
        <v>113.96</v>
      </c>
      <c r="K1288" t="s">
        <v>661</v>
      </c>
      <c r="L1288" t="s">
        <v>656</v>
      </c>
    </row>
    <row r="1289" spans="1:13" x14ac:dyDescent="0.25">
      <c r="A1289" t="s">
        <v>2645</v>
      </c>
      <c r="B1289" t="s">
        <v>514</v>
      </c>
      <c r="C1289" t="s">
        <v>2646</v>
      </c>
      <c r="D1289" t="s">
        <v>667</v>
      </c>
      <c r="E1289" t="s">
        <v>714</v>
      </c>
      <c r="F1289">
        <v>44.99</v>
      </c>
      <c r="G1289">
        <v>2</v>
      </c>
      <c r="H1289">
        <v>10</v>
      </c>
      <c r="I1289">
        <v>40.49</v>
      </c>
      <c r="J1289">
        <v>80.98</v>
      </c>
      <c r="K1289" t="s">
        <v>661</v>
      </c>
      <c r="L1289" t="s">
        <v>656</v>
      </c>
      <c r="M1289">
        <v>4</v>
      </c>
    </row>
    <row r="1290" spans="1:13" x14ac:dyDescent="0.25">
      <c r="A1290" t="s">
        <v>2647</v>
      </c>
      <c r="B1290" t="s">
        <v>517</v>
      </c>
      <c r="C1290" t="s">
        <v>2648</v>
      </c>
      <c r="D1290" t="s">
        <v>672</v>
      </c>
      <c r="E1290" t="s">
        <v>724</v>
      </c>
      <c r="F1290">
        <v>89.99</v>
      </c>
      <c r="G1290">
        <v>4</v>
      </c>
      <c r="H1290">
        <v>0</v>
      </c>
      <c r="I1290">
        <v>89.99</v>
      </c>
      <c r="J1290">
        <v>359.96</v>
      </c>
      <c r="K1290" t="s">
        <v>655</v>
      </c>
      <c r="L1290" t="s">
        <v>788</v>
      </c>
      <c r="M1290">
        <v>4</v>
      </c>
    </row>
    <row r="1291" spans="1:13" x14ac:dyDescent="0.25">
      <c r="A1291" t="s">
        <v>2649</v>
      </c>
      <c r="B1291" t="s">
        <v>517</v>
      </c>
      <c r="C1291" t="s">
        <v>2650</v>
      </c>
      <c r="D1291" t="s">
        <v>672</v>
      </c>
      <c r="E1291" t="s">
        <v>735</v>
      </c>
      <c r="F1291">
        <v>44.99</v>
      </c>
      <c r="G1291">
        <v>3</v>
      </c>
      <c r="H1291">
        <v>0</v>
      </c>
      <c r="I1291">
        <v>44.99</v>
      </c>
      <c r="J1291">
        <v>134.97</v>
      </c>
      <c r="K1291" t="s">
        <v>661</v>
      </c>
      <c r="L1291" t="s">
        <v>788</v>
      </c>
    </row>
    <row r="1292" spans="1:13" x14ac:dyDescent="0.25">
      <c r="A1292" t="s">
        <v>2651</v>
      </c>
      <c r="B1292" t="s">
        <v>517</v>
      </c>
      <c r="C1292" t="s">
        <v>274</v>
      </c>
      <c r="D1292" t="s">
        <v>659</v>
      </c>
      <c r="E1292" t="s">
        <v>820</v>
      </c>
      <c r="F1292">
        <v>39.99</v>
      </c>
      <c r="G1292">
        <v>4</v>
      </c>
      <c r="H1292">
        <v>20</v>
      </c>
      <c r="I1292">
        <v>31.99</v>
      </c>
      <c r="J1292">
        <v>127.96</v>
      </c>
      <c r="K1292" t="s">
        <v>682</v>
      </c>
      <c r="L1292" t="s">
        <v>656</v>
      </c>
    </row>
    <row r="1293" spans="1:13" x14ac:dyDescent="0.25">
      <c r="A1293" t="s">
        <v>2652</v>
      </c>
      <c r="B1293" t="s">
        <v>517</v>
      </c>
      <c r="C1293" t="s">
        <v>1529</v>
      </c>
      <c r="D1293" t="s">
        <v>672</v>
      </c>
      <c r="E1293" t="s">
        <v>735</v>
      </c>
      <c r="F1293">
        <v>44.99</v>
      </c>
      <c r="G1293">
        <v>1</v>
      </c>
      <c r="H1293">
        <v>5</v>
      </c>
      <c r="I1293">
        <v>42.74</v>
      </c>
      <c r="J1293">
        <v>42.74</v>
      </c>
      <c r="K1293" t="s">
        <v>682</v>
      </c>
      <c r="L1293" t="s">
        <v>656</v>
      </c>
      <c r="M1293">
        <v>4</v>
      </c>
    </row>
    <row r="1294" spans="1:13" x14ac:dyDescent="0.25">
      <c r="A1294" t="s">
        <v>2653</v>
      </c>
      <c r="B1294" t="s">
        <v>517</v>
      </c>
      <c r="C1294" t="s">
        <v>262</v>
      </c>
      <c r="D1294" t="s">
        <v>680</v>
      </c>
      <c r="E1294" t="s">
        <v>749</v>
      </c>
      <c r="F1294">
        <v>14.99</v>
      </c>
      <c r="G1294">
        <v>4</v>
      </c>
      <c r="H1294">
        <v>5</v>
      </c>
      <c r="I1294">
        <v>14.24</v>
      </c>
      <c r="J1294">
        <v>56.96</v>
      </c>
      <c r="K1294" t="s">
        <v>655</v>
      </c>
      <c r="L1294" t="s">
        <v>656</v>
      </c>
      <c r="M1294">
        <v>4</v>
      </c>
    </row>
    <row r="1295" spans="1:13" x14ac:dyDescent="0.25">
      <c r="A1295" t="s">
        <v>2654</v>
      </c>
      <c r="B1295" t="s">
        <v>517</v>
      </c>
      <c r="C1295" t="s">
        <v>445</v>
      </c>
      <c r="D1295" t="s">
        <v>710</v>
      </c>
      <c r="E1295" t="s">
        <v>744</v>
      </c>
      <c r="F1295">
        <v>29.99</v>
      </c>
      <c r="G1295">
        <v>4</v>
      </c>
      <c r="H1295">
        <v>15</v>
      </c>
      <c r="I1295">
        <v>25.49</v>
      </c>
      <c r="J1295">
        <v>101.96</v>
      </c>
      <c r="K1295" t="s">
        <v>669</v>
      </c>
      <c r="L1295" t="s">
        <v>785</v>
      </c>
    </row>
    <row r="1296" spans="1:13" x14ac:dyDescent="0.25">
      <c r="A1296" t="s">
        <v>2655</v>
      </c>
      <c r="B1296" t="s">
        <v>517</v>
      </c>
      <c r="C1296" t="s">
        <v>1714</v>
      </c>
      <c r="D1296" t="s">
        <v>653</v>
      </c>
      <c r="E1296" t="s">
        <v>654</v>
      </c>
      <c r="F1296">
        <v>39.99</v>
      </c>
      <c r="G1296">
        <v>4</v>
      </c>
      <c r="H1296">
        <v>10</v>
      </c>
      <c r="I1296">
        <v>35.99</v>
      </c>
      <c r="J1296">
        <v>143.96</v>
      </c>
      <c r="K1296" t="s">
        <v>675</v>
      </c>
      <c r="L1296" t="s">
        <v>656</v>
      </c>
      <c r="M1296">
        <v>5</v>
      </c>
    </row>
    <row r="1297" spans="1:13" x14ac:dyDescent="0.25">
      <c r="A1297" t="s">
        <v>2656</v>
      </c>
      <c r="B1297" t="s">
        <v>517</v>
      </c>
      <c r="C1297" t="s">
        <v>2657</v>
      </c>
      <c r="D1297" t="s">
        <v>653</v>
      </c>
      <c r="E1297" t="s">
        <v>769</v>
      </c>
      <c r="F1297">
        <v>49.99</v>
      </c>
      <c r="G1297">
        <v>3</v>
      </c>
      <c r="H1297">
        <v>0</v>
      </c>
      <c r="I1297">
        <v>49.99</v>
      </c>
      <c r="J1297">
        <v>149.97</v>
      </c>
      <c r="K1297" t="s">
        <v>655</v>
      </c>
      <c r="L1297" t="s">
        <v>656</v>
      </c>
      <c r="M1297">
        <v>5</v>
      </c>
    </row>
    <row r="1298" spans="1:13" x14ac:dyDescent="0.25">
      <c r="A1298" t="s">
        <v>2658</v>
      </c>
      <c r="B1298" t="s">
        <v>517</v>
      </c>
      <c r="C1298" t="s">
        <v>2659</v>
      </c>
      <c r="D1298" t="s">
        <v>659</v>
      </c>
      <c r="E1298" t="s">
        <v>664</v>
      </c>
      <c r="F1298">
        <v>24.99</v>
      </c>
      <c r="G1298">
        <v>2</v>
      </c>
      <c r="H1298">
        <v>0</v>
      </c>
      <c r="I1298">
        <v>24.99</v>
      </c>
      <c r="J1298">
        <v>49.98</v>
      </c>
      <c r="K1298" t="s">
        <v>661</v>
      </c>
      <c r="L1298" t="s">
        <v>739</v>
      </c>
      <c r="M1298">
        <v>3</v>
      </c>
    </row>
    <row r="1299" spans="1:13" x14ac:dyDescent="0.25">
      <c r="A1299" t="s">
        <v>2660</v>
      </c>
      <c r="B1299" t="s">
        <v>517</v>
      </c>
      <c r="C1299" t="s">
        <v>2661</v>
      </c>
      <c r="D1299" t="s">
        <v>659</v>
      </c>
      <c r="E1299" t="s">
        <v>660</v>
      </c>
      <c r="F1299">
        <v>19.989999999999998</v>
      </c>
      <c r="G1299">
        <v>3</v>
      </c>
      <c r="H1299">
        <v>0</v>
      </c>
      <c r="I1299">
        <v>19.989999999999998</v>
      </c>
      <c r="J1299">
        <v>59.97</v>
      </c>
      <c r="K1299" t="s">
        <v>675</v>
      </c>
      <c r="L1299" t="s">
        <v>656</v>
      </c>
      <c r="M1299">
        <v>4</v>
      </c>
    </row>
    <row r="1300" spans="1:13" x14ac:dyDescent="0.25">
      <c r="A1300" t="s">
        <v>2662</v>
      </c>
      <c r="B1300" t="s">
        <v>517</v>
      </c>
      <c r="C1300" t="s">
        <v>2663</v>
      </c>
      <c r="D1300" t="s">
        <v>672</v>
      </c>
      <c r="E1300" t="s">
        <v>735</v>
      </c>
      <c r="F1300">
        <v>44.99</v>
      </c>
      <c r="G1300">
        <v>4</v>
      </c>
      <c r="H1300">
        <v>0</v>
      </c>
      <c r="I1300">
        <v>44.99</v>
      </c>
      <c r="J1300">
        <v>179.96</v>
      </c>
      <c r="K1300" t="s">
        <v>682</v>
      </c>
      <c r="L1300" t="s">
        <v>656</v>
      </c>
      <c r="M1300">
        <v>5</v>
      </c>
    </row>
    <row r="1301" spans="1:13" x14ac:dyDescent="0.25">
      <c r="A1301" t="s">
        <v>2664</v>
      </c>
      <c r="B1301" t="s">
        <v>517</v>
      </c>
      <c r="C1301" t="s">
        <v>2536</v>
      </c>
      <c r="D1301" t="s">
        <v>680</v>
      </c>
      <c r="E1301" t="s">
        <v>749</v>
      </c>
      <c r="F1301">
        <v>14.99</v>
      </c>
      <c r="G1301">
        <v>4</v>
      </c>
      <c r="H1301">
        <v>5</v>
      </c>
      <c r="I1301">
        <v>14.24</v>
      </c>
      <c r="J1301">
        <v>56.96</v>
      </c>
      <c r="K1301" t="s">
        <v>661</v>
      </c>
      <c r="L1301" t="s">
        <v>656</v>
      </c>
      <c r="M1301">
        <v>5</v>
      </c>
    </row>
    <row r="1302" spans="1:13" x14ac:dyDescent="0.25">
      <c r="A1302" t="s">
        <v>2665</v>
      </c>
      <c r="B1302" t="s">
        <v>520</v>
      </c>
      <c r="C1302" t="s">
        <v>1199</v>
      </c>
      <c r="D1302" t="s">
        <v>684</v>
      </c>
      <c r="E1302" t="s">
        <v>705</v>
      </c>
      <c r="F1302">
        <v>79.989999999999995</v>
      </c>
      <c r="G1302">
        <v>2</v>
      </c>
      <c r="H1302">
        <v>0</v>
      </c>
      <c r="I1302">
        <v>79.989999999999995</v>
      </c>
      <c r="J1302">
        <v>159.97999999999999</v>
      </c>
      <c r="K1302" t="s">
        <v>669</v>
      </c>
      <c r="L1302" t="s">
        <v>656</v>
      </c>
      <c r="M1302">
        <v>2</v>
      </c>
    </row>
    <row r="1303" spans="1:13" x14ac:dyDescent="0.25">
      <c r="A1303" t="s">
        <v>2666</v>
      </c>
      <c r="B1303" t="s">
        <v>520</v>
      </c>
      <c r="C1303" t="s">
        <v>2508</v>
      </c>
      <c r="D1303" t="s">
        <v>684</v>
      </c>
      <c r="E1303" t="s">
        <v>815</v>
      </c>
      <c r="F1303">
        <v>34.99</v>
      </c>
      <c r="G1303">
        <v>4</v>
      </c>
      <c r="H1303">
        <v>15</v>
      </c>
      <c r="I1303">
        <v>29.74</v>
      </c>
      <c r="J1303">
        <v>118.96</v>
      </c>
      <c r="K1303" t="s">
        <v>669</v>
      </c>
      <c r="L1303" t="s">
        <v>656</v>
      </c>
    </row>
    <row r="1304" spans="1:13" x14ac:dyDescent="0.25">
      <c r="A1304" t="s">
        <v>2667</v>
      </c>
      <c r="B1304" t="s">
        <v>520</v>
      </c>
      <c r="C1304" t="s">
        <v>1418</v>
      </c>
      <c r="D1304" t="s">
        <v>653</v>
      </c>
      <c r="E1304" t="s">
        <v>727</v>
      </c>
      <c r="F1304">
        <v>14.99</v>
      </c>
      <c r="G1304">
        <v>2</v>
      </c>
      <c r="H1304">
        <v>0</v>
      </c>
      <c r="I1304">
        <v>14.99</v>
      </c>
      <c r="J1304">
        <v>29.98</v>
      </c>
      <c r="K1304" t="s">
        <v>669</v>
      </c>
      <c r="L1304" t="s">
        <v>656</v>
      </c>
    </row>
    <row r="1305" spans="1:13" x14ac:dyDescent="0.25">
      <c r="A1305" t="s">
        <v>2668</v>
      </c>
      <c r="B1305" t="s">
        <v>520</v>
      </c>
      <c r="C1305" t="s">
        <v>2669</v>
      </c>
      <c r="D1305" t="s">
        <v>672</v>
      </c>
      <c r="E1305" t="s">
        <v>803</v>
      </c>
      <c r="F1305">
        <v>69.989999999999995</v>
      </c>
      <c r="G1305">
        <v>1</v>
      </c>
      <c r="H1305">
        <v>0</v>
      </c>
      <c r="I1305">
        <v>69.989999999999995</v>
      </c>
      <c r="J1305">
        <v>69.989999999999995</v>
      </c>
      <c r="K1305" t="s">
        <v>655</v>
      </c>
      <c r="L1305" t="s">
        <v>785</v>
      </c>
    </row>
    <row r="1306" spans="1:13" x14ac:dyDescent="0.25">
      <c r="A1306" t="s">
        <v>2670</v>
      </c>
      <c r="B1306" t="s">
        <v>520</v>
      </c>
      <c r="C1306" t="s">
        <v>1048</v>
      </c>
      <c r="D1306" t="s">
        <v>684</v>
      </c>
      <c r="E1306" t="s">
        <v>815</v>
      </c>
      <c r="F1306">
        <v>34.99</v>
      </c>
      <c r="G1306">
        <v>3</v>
      </c>
      <c r="H1306">
        <v>20</v>
      </c>
      <c r="I1306">
        <v>27.99</v>
      </c>
      <c r="J1306">
        <v>83.97</v>
      </c>
      <c r="K1306" t="s">
        <v>675</v>
      </c>
      <c r="L1306" t="s">
        <v>656</v>
      </c>
      <c r="M1306">
        <v>2</v>
      </c>
    </row>
    <row r="1307" spans="1:13" x14ac:dyDescent="0.25">
      <c r="A1307" t="s">
        <v>2671</v>
      </c>
      <c r="B1307" t="s">
        <v>520</v>
      </c>
      <c r="C1307" t="s">
        <v>2618</v>
      </c>
      <c r="D1307" t="s">
        <v>680</v>
      </c>
      <c r="E1307" t="s">
        <v>708</v>
      </c>
      <c r="F1307">
        <v>24.99</v>
      </c>
      <c r="G1307">
        <v>2</v>
      </c>
      <c r="H1307">
        <v>15</v>
      </c>
      <c r="I1307">
        <v>21.24</v>
      </c>
      <c r="J1307">
        <v>42.48</v>
      </c>
      <c r="K1307" t="s">
        <v>682</v>
      </c>
      <c r="L1307" t="s">
        <v>739</v>
      </c>
      <c r="M1307">
        <v>4</v>
      </c>
    </row>
    <row r="1308" spans="1:13" x14ac:dyDescent="0.25">
      <c r="A1308" t="s">
        <v>2672</v>
      </c>
      <c r="B1308" t="s">
        <v>520</v>
      </c>
      <c r="C1308" t="s">
        <v>2673</v>
      </c>
      <c r="D1308" t="s">
        <v>653</v>
      </c>
      <c r="E1308" t="s">
        <v>769</v>
      </c>
      <c r="F1308">
        <v>49.99</v>
      </c>
      <c r="G1308">
        <v>3</v>
      </c>
      <c r="H1308">
        <v>15</v>
      </c>
      <c r="I1308">
        <v>42.49</v>
      </c>
      <c r="J1308">
        <v>127.47</v>
      </c>
      <c r="K1308" t="s">
        <v>675</v>
      </c>
      <c r="L1308" t="s">
        <v>656</v>
      </c>
      <c r="M1308">
        <v>5</v>
      </c>
    </row>
    <row r="1309" spans="1:13" x14ac:dyDescent="0.25">
      <c r="A1309" t="s">
        <v>2674</v>
      </c>
      <c r="B1309" t="s">
        <v>520</v>
      </c>
      <c r="C1309" t="s">
        <v>1453</v>
      </c>
      <c r="D1309" t="s">
        <v>710</v>
      </c>
      <c r="E1309" t="s">
        <v>711</v>
      </c>
      <c r="F1309">
        <v>14.99</v>
      </c>
      <c r="G1309">
        <v>2</v>
      </c>
      <c r="H1309">
        <v>0</v>
      </c>
      <c r="I1309">
        <v>14.99</v>
      </c>
      <c r="J1309">
        <v>29.98</v>
      </c>
      <c r="K1309" t="s">
        <v>682</v>
      </c>
      <c r="L1309" t="s">
        <v>656</v>
      </c>
    </row>
    <row r="1310" spans="1:13" x14ac:dyDescent="0.25">
      <c r="A1310" t="s">
        <v>2675</v>
      </c>
      <c r="B1310" t="s">
        <v>520</v>
      </c>
      <c r="C1310" t="s">
        <v>1678</v>
      </c>
      <c r="D1310" t="s">
        <v>667</v>
      </c>
      <c r="E1310" t="s">
        <v>668</v>
      </c>
      <c r="F1310">
        <v>64.989999999999995</v>
      </c>
      <c r="G1310">
        <v>3</v>
      </c>
      <c r="H1310">
        <v>5</v>
      </c>
      <c r="I1310">
        <v>61.74</v>
      </c>
      <c r="J1310">
        <v>185.22</v>
      </c>
      <c r="K1310" t="s">
        <v>675</v>
      </c>
      <c r="L1310" t="s">
        <v>656</v>
      </c>
      <c r="M1310">
        <v>4</v>
      </c>
    </row>
    <row r="1311" spans="1:13" x14ac:dyDescent="0.25">
      <c r="A1311" t="s">
        <v>2676</v>
      </c>
      <c r="B1311" t="s">
        <v>523</v>
      </c>
      <c r="C1311" t="s">
        <v>1219</v>
      </c>
      <c r="D1311" t="s">
        <v>684</v>
      </c>
      <c r="E1311" t="s">
        <v>815</v>
      </c>
      <c r="F1311">
        <v>34.99</v>
      </c>
      <c r="G1311">
        <v>1</v>
      </c>
      <c r="H1311">
        <v>5</v>
      </c>
      <c r="I1311">
        <v>33.24</v>
      </c>
      <c r="J1311">
        <v>33.24</v>
      </c>
      <c r="K1311" t="s">
        <v>661</v>
      </c>
      <c r="L1311" t="s">
        <v>656</v>
      </c>
      <c r="M1311">
        <v>4</v>
      </c>
    </row>
    <row r="1312" spans="1:13" x14ac:dyDescent="0.25">
      <c r="A1312" t="s">
        <v>2677</v>
      </c>
      <c r="B1312" t="s">
        <v>523</v>
      </c>
      <c r="C1312" t="s">
        <v>1675</v>
      </c>
      <c r="D1312" t="s">
        <v>659</v>
      </c>
      <c r="E1312" t="s">
        <v>664</v>
      </c>
      <c r="F1312">
        <v>24.99</v>
      </c>
      <c r="G1312">
        <v>2</v>
      </c>
      <c r="H1312">
        <v>0</v>
      </c>
      <c r="I1312">
        <v>24.99</v>
      </c>
      <c r="J1312">
        <v>49.98</v>
      </c>
      <c r="K1312" t="s">
        <v>669</v>
      </c>
      <c r="L1312" t="s">
        <v>739</v>
      </c>
      <c r="M1312">
        <v>3</v>
      </c>
    </row>
    <row r="1313" spans="1:13" x14ac:dyDescent="0.25">
      <c r="A1313" t="s">
        <v>2678</v>
      </c>
      <c r="B1313" t="s">
        <v>523</v>
      </c>
      <c r="C1313" t="s">
        <v>2372</v>
      </c>
      <c r="D1313" t="s">
        <v>653</v>
      </c>
      <c r="E1313" t="s">
        <v>727</v>
      </c>
      <c r="F1313">
        <v>14.99</v>
      </c>
      <c r="G1313">
        <v>2</v>
      </c>
      <c r="H1313">
        <v>15</v>
      </c>
      <c r="I1313">
        <v>12.74</v>
      </c>
      <c r="J1313">
        <v>25.48</v>
      </c>
      <c r="K1313" t="s">
        <v>675</v>
      </c>
      <c r="L1313" t="s">
        <v>656</v>
      </c>
      <c r="M1313">
        <v>4</v>
      </c>
    </row>
    <row r="1314" spans="1:13" x14ac:dyDescent="0.25">
      <c r="A1314" t="s">
        <v>2679</v>
      </c>
      <c r="B1314" t="s">
        <v>523</v>
      </c>
      <c r="C1314" t="s">
        <v>2680</v>
      </c>
      <c r="D1314" t="s">
        <v>680</v>
      </c>
      <c r="E1314" t="s">
        <v>681</v>
      </c>
      <c r="F1314">
        <v>19.989999999999998</v>
      </c>
      <c r="G1314">
        <v>4</v>
      </c>
      <c r="H1314">
        <v>20</v>
      </c>
      <c r="I1314">
        <v>15.99</v>
      </c>
      <c r="J1314">
        <v>63.96</v>
      </c>
      <c r="K1314" t="s">
        <v>675</v>
      </c>
      <c r="L1314" t="s">
        <v>656</v>
      </c>
      <c r="M1314">
        <v>3</v>
      </c>
    </row>
    <row r="1315" spans="1:13" x14ac:dyDescent="0.25">
      <c r="A1315" t="s">
        <v>2681</v>
      </c>
      <c r="B1315" t="s">
        <v>523</v>
      </c>
      <c r="C1315" t="s">
        <v>847</v>
      </c>
      <c r="D1315" t="s">
        <v>684</v>
      </c>
      <c r="E1315" t="s">
        <v>705</v>
      </c>
      <c r="F1315">
        <v>79.989999999999995</v>
      </c>
      <c r="G1315">
        <v>3</v>
      </c>
      <c r="H1315">
        <v>10</v>
      </c>
      <c r="I1315">
        <v>71.989999999999995</v>
      </c>
      <c r="J1315">
        <v>215.97</v>
      </c>
      <c r="K1315" t="s">
        <v>661</v>
      </c>
      <c r="L1315" t="s">
        <v>656</v>
      </c>
      <c r="M1315">
        <v>4</v>
      </c>
    </row>
    <row r="1316" spans="1:13" x14ac:dyDescent="0.25">
      <c r="A1316" t="s">
        <v>2682</v>
      </c>
      <c r="B1316" t="s">
        <v>523</v>
      </c>
      <c r="C1316" t="s">
        <v>2143</v>
      </c>
      <c r="D1316" t="s">
        <v>659</v>
      </c>
      <c r="E1316" t="s">
        <v>762</v>
      </c>
      <c r="F1316">
        <v>49.99</v>
      </c>
      <c r="G1316">
        <v>3</v>
      </c>
      <c r="H1316">
        <v>5</v>
      </c>
      <c r="I1316">
        <v>47.49</v>
      </c>
      <c r="J1316">
        <v>142.47</v>
      </c>
      <c r="K1316" t="s">
        <v>682</v>
      </c>
      <c r="L1316" t="s">
        <v>785</v>
      </c>
      <c r="M1316">
        <v>5</v>
      </c>
    </row>
    <row r="1317" spans="1:13" x14ac:dyDescent="0.25">
      <c r="A1317" t="s">
        <v>2683</v>
      </c>
      <c r="B1317" t="s">
        <v>523</v>
      </c>
      <c r="C1317" t="s">
        <v>2684</v>
      </c>
      <c r="D1317" t="s">
        <v>672</v>
      </c>
      <c r="E1317" t="s">
        <v>803</v>
      </c>
      <c r="F1317">
        <v>69.989999999999995</v>
      </c>
      <c r="G1317">
        <v>2</v>
      </c>
      <c r="H1317">
        <v>0</v>
      </c>
      <c r="I1317">
        <v>69.989999999999995</v>
      </c>
      <c r="J1317">
        <v>139.97999999999999</v>
      </c>
      <c r="K1317" t="s">
        <v>682</v>
      </c>
      <c r="L1317" t="s">
        <v>656</v>
      </c>
    </row>
    <row r="1318" spans="1:13" x14ac:dyDescent="0.25">
      <c r="A1318" t="s">
        <v>2685</v>
      </c>
      <c r="B1318" t="s">
        <v>523</v>
      </c>
      <c r="C1318" t="s">
        <v>2065</v>
      </c>
      <c r="D1318" t="s">
        <v>667</v>
      </c>
      <c r="E1318" t="s">
        <v>714</v>
      </c>
      <c r="F1318">
        <v>44.99</v>
      </c>
      <c r="G1318">
        <v>2</v>
      </c>
      <c r="H1318">
        <v>0</v>
      </c>
      <c r="I1318">
        <v>44.99</v>
      </c>
      <c r="J1318">
        <v>89.98</v>
      </c>
      <c r="K1318" t="s">
        <v>675</v>
      </c>
      <c r="L1318" t="s">
        <v>656</v>
      </c>
      <c r="M1318">
        <v>5</v>
      </c>
    </row>
    <row r="1319" spans="1:13" x14ac:dyDescent="0.25">
      <c r="A1319" t="s">
        <v>2686</v>
      </c>
      <c r="B1319" t="s">
        <v>525</v>
      </c>
      <c r="C1319" t="s">
        <v>2520</v>
      </c>
      <c r="D1319" t="s">
        <v>667</v>
      </c>
      <c r="E1319" t="s">
        <v>668</v>
      </c>
      <c r="F1319">
        <v>64.989999999999995</v>
      </c>
      <c r="G1319">
        <v>4</v>
      </c>
      <c r="H1319">
        <v>0</v>
      </c>
      <c r="I1319">
        <v>64.989999999999995</v>
      </c>
      <c r="J1319">
        <v>259.95999999999998</v>
      </c>
      <c r="K1319" t="s">
        <v>675</v>
      </c>
      <c r="L1319" t="s">
        <v>656</v>
      </c>
      <c r="M1319">
        <v>4</v>
      </c>
    </row>
    <row r="1320" spans="1:13" x14ac:dyDescent="0.25">
      <c r="A1320" t="s">
        <v>2687</v>
      </c>
      <c r="B1320" t="s">
        <v>525</v>
      </c>
      <c r="C1320" t="s">
        <v>991</v>
      </c>
      <c r="D1320" t="s">
        <v>659</v>
      </c>
      <c r="E1320" t="s">
        <v>762</v>
      </c>
      <c r="F1320">
        <v>49.99</v>
      </c>
      <c r="G1320">
        <v>1</v>
      </c>
      <c r="H1320">
        <v>0</v>
      </c>
      <c r="I1320">
        <v>49.99</v>
      </c>
      <c r="J1320">
        <v>49.99</v>
      </c>
      <c r="K1320" t="s">
        <v>655</v>
      </c>
      <c r="L1320" t="s">
        <v>656</v>
      </c>
      <c r="M1320">
        <v>3</v>
      </c>
    </row>
    <row r="1321" spans="1:13" x14ac:dyDescent="0.25">
      <c r="A1321" t="s">
        <v>2688</v>
      </c>
      <c r="B1321" t="s">
        <v>525</v>
      </c>
      <c r="C1321" t="s">
        <v>2689</v>
      </c>
      <c r="D1321" t="s">
        <v>653</v>
      </c>
      <c r="E1321" t="s">
        <v>769</v>
      </c>
      <c r="F1321">
        <v>49.99</v>
      </c>
      <c r="G1321">
        <v>2</v>
      </c>
      <c r="H1321">
        <v>0</v>
      </c>
      <c r="I1321">
        <v>49.99</v>
      </c>
      <c r="J1321">
        <v>99.98</v>
      </c>
      <c r="K1321" t="s">
        <v>682</v>
      </c>
      <c r="L1321" t="s">
        <v>656</v>
      </c>
      <c r="M1321">
        <v>5</v>
      </c>
    </row>
    <row r="1322" spans="1:13" x14ac:dyDescent="0.25">
      <c r="A1322" t="s">
        <v>2690</v>
      </c>
      <c r="B1322" t="s">
        <v>525</v>
      </c>
      <c r="C1322" t="s">
        <v>2691</v>
      </c>
      <c r="D1322" t="s">
        <v>653</v>
      </c>
      <c r="E1322" t="s">
        <v>769</v>
      </c>
      <c r="F1322">
        <v>49.99</v>
      </c>
      <c r="G1322">
        <v>2</v>
      </c>
      <c r="H1322">
        <v>15</v>
      </c>
      <c r="I1322">
        <v>42.49</v>
      </c>
      <c r="J1322">
        <v>84.98</v>
      </c>
      <c r="K1322" t="s">
        <v>655</v>
      </c>
      <c r="L1322" t="s">
        <v>656</v>
      </c>
      <c r="M1322">
        <v>2</v>
      </c>
    </row>
    <row r="1323" spans="1:13" x14ac:dyDescent="0.25">
      <c r="A1323" t="s">
        <v>2692</v>
      </c>
      <c r="B1323" t="s">
        <v>525</v>
      </c>
      <c r="C1323" t="s">
        <v>1450</v>
      </c>
      <c r="D1323" t="s">
        <v>710</v>
      </c>
      <c r="E1323" t="s">
        <v>721</v>
      </c>
      <c r="F1323">
        <v>24.99</v>
      </c>
      <c r="G1323">
        <v>1</v>
      </c>
      <c r="H1323">
        <v>0</v>
      </c>
      <c r="I1323">
        <v>24.99</v>
      </c>
      <c r="J1323">
        <v>24.99</v>
      </c>
      <c r="K1323" t="s">
        <v>661</v>
      </c>
      <c r="L1323" t="s">
        <v>656</v>
      </c>
      <c r="M1323">
        <v>4</v>
      </c>
    </row>
    <row r="1324" spans="1:13" x14ac:dyDescent="0.25">
      <c r="A1324" t="s">
        <v>2693</v>
      </c>
      <c r="B1324" t="s">
        <v>525</v>
      </c>
      <c r="C1324" t="s">
        <v>2589</v>
      </c>
      <c r="D1324" t="s">
        <v>684</v>
      </c>
      <c r="E1324" t="s">
        <v>685</v>
      </c>
      <c r="F1324">
        <v>49.99</v>
      </c>
      <c r="G1324">
        <v>1</v>
      </c>
      <c r="H1324">
        <v>0</v>
      </c>
      <c r="I1324">
        <v>49.99</v>
      </c>
      <c r="J1324">
        <v>49.99</v>
      </c>
      <c r="K1324" t="s">
        <v>669</v>
      </c>
      <c r="L1324" t="s">
        <v>656</v>
      </c>
      <c r="M1324">
        <v>5</v>
      </c>
    </row>
    <row r="1325" spans="1:13" x14ac:dyDescent="0.25">
      <c r="A1325" t="s">
        <v>2694</v>
      </c>
      <c r="B1325" t="s">
        <v>525</v>
      </c>
      <c r="C1325" t="s">
        <v>2221</v>
      </c>
      <c r="D1325" t="s">
        <v>672</v>
      </c>
      <c r="E1325" t="s">
        <v>803</v>
      </c>
      <c r="F1325">
        <v>69.989999999999995</v>
      </c>
      <c r="G1325">
        <v>2</v>
      </c>
      <c r="H1325">
        <v>10</v>
      </c>
      <c r="I1325">
        <v>62.99</v>
      </c>
      <c r="J1325">
        <v>125.98</v>
      </c>
      <c r="K1325" t="s">
        <v>675</v>
      </c>
      <c r="L1325" t="s">
        <v>656</v>
      </c>
      <c r="M1325">
        <v>4</v>
      </c>
    </row>
    <row r="1326" spans="1:13" x14ac:dyDescent="0.25">
      <c r="A1326" t="s">
        <v>2695</v>
      </c>
      <c r="B1326" t="s">
        <v>525</v>
      </c>
      <c r="C1326" t="s">
        <v>2696</v>
      </c>
      <c r="D1326" t="s">
        <v>710</v>
      </c>
      <c r="E1326" t="s">
        <v>730</v>
      </c>
      <c r="F1326">
        <v>39.99</v>
      </c>
      <c r="G1326">
        <v>3</v>
      </c>
      <c r="H1326">
        <v>5</v>
      </c>
      <c r="I1326">
        <v>37.99</v>
      </c>
      <c r="J1326">
        <v>113.97</v>
      </c>
      <c r="K1326" t="s">
        <v>675</v>
      </c>
      <c r="L1326" t="s">
        <v>656</v>
      </c>
      <c r="M1326">
        <v>5</v>
      </c>
    </row>
    <row r="1327" spans="1:13" x14ac:dyDescent="0.25">
      <c r="A1327" t="s">
        <v>2697</v>
      </c>
      <c r="B1327" t="s">
        <v>525</v>
      </c>
      <c r="C1327" t="s">
        <v>1571</v>
      </c>
      <c r="D1327" t="s">
        <v>680</v>
      </c>
      <c r="E1327" t="s">
        <v>749</v>
      </c>
      <c r="F1327">
        <v>14.99</v>
      </c>
      <c r="G1327">
        <v>1</v>
      </c>
      <c r="H1327">
        <v>0</v>
      </c>
      <c r="I1327">
        <v>14.99</v>
      </c>
      <c r="J1327">
        <v>14.99</v>
      </c>
      <c r="K1327" t="s">
        <v>669</v>
      </c>
      <c r="L1327" t="s">
        <v>656</v>
      </c>
    </row>
    <row r="1328" spans="1:13" x14ac:dyDescent="0.25">
      <c r="A1328" t="s">
        <v>2698</v>
      </c>
      <c r="B1328" t="s">
        <v>525</v>
      </c>
      <c r="C1328" t="s">
        <v>1443</v>
      </c>
      <c r="D1328" t="s">
        <v>667</v>
      </c>
      <c r="E1328" t="s">
        <v>696</v>
      </c>
      <c r="F1328">
        <v>59.99</v>
      </c>
      <c r="G1328">
        <v>3</v>
      </c>
      <c r="H1328">
        <v>5</v>
      </c>
      <c r="I1328">
        <v>56.99</v>
      </c>
      <c r="J1328">
        <v>170.97</v>
      </c>
      <c r="K1328" t="s">
        <v>669</v>
      </c>
      <c r="L1328" t="s">
        <v>656</v>
      </c>
    </row>
    <row r="1329" spans="1:13" x14ac:dyDescent="0.25">
      <c r="A1329" t="s">
        <v>2699</v>
      </c>
      <c r="B1329" t="s">
        <v>525</v>
      </c>
      <c r="C1329" t="s">
        <v>2700</v>
      </c>
      <c r="D1329" t="s">
        <v>667</v>
      </c>
      <c r="E1329" t="s">
        <v>668</v>
      </c>
      <c r="F1329">
        <v>64.989999999999995</v>
      </c>
      <c r="G1329">
        <v>1</v>
      </c>
      <c r="H1329">
        <v>20</v>
      </c>
      <c r="I1329">
        <v>51.99</v>
      </c>
      <c r="J1329">
        <v>51.99</v>
      </c>
      <c r="K1329" t="s">
        <v>669</v>
      </c>
      <c r="L1329" t="s">
        <v>656</v>
      </c>
      <c r="M1329">
        <v>4</v>
      </c>
    </row>
    <row r="1330" spans="1:13" x14ac:dyDescent="0.25">
      <c r="A1330" t="s">
        <v>2701</v>
      </c>
      <c r="B1330" t="s">
        <v>525</v>
      </c>
      <c r="C1330" t="s">
        <v>2702</v>
      </c>
      <c r="D1330" t="s">
        <v>659</v>
      </c>
      <c r="E1330" t="s">
        <v>660</v>
      </c>
      <c r="F1330">
        <v>19.989999999999998</v>
      </c>
      <c r="G1330">
        <v>1</v>
      </c>
      <c r="H1330">
        <v>20</v>
      </c>
      <c r="I1330">
        <v>15.99</v>
      </c>
      <c r="J1330">
        <v>15.99</v>
      </c>
      <c r="K1330" t="s">
        <v>682</v>
      </c>
      <c r="L1330" t="s">
        <v>656</v>
      </c>
      <c r="M1330">
        <v>4</v>
      </c>
    </row>
    <row r="1331" spans="1:13" x14ac:dyDescent="0.25">
      <c r="A1331" t="s">
        <v>2703</v>
      </c>
      <c r="B1331" t="s">
        <v>525</v>
      </c>
      <c r="C1331" t="s">
        <v>277</v>
      </c>
      <c r="D1331" t="s">
        <v>710</v>
      </c>
      <c r="E1331" t="s">
        <v>721</v>
      </c>
      <c r="F1331">
        <v>24.99</v>
      </c>
      <c r="G1331">
        <v>1</v>
      </c>
      <c r="H1331">
        <v>5</v>
      </c>
      <c r="I1331">
        <v>23.74</v>
      </c>
      <c r="J1331">
        <v>23.74</v>
      </c>
      <c r="K1331" t="s">
        <v>661</v>
      </c>
      <c r="L1331" t="s">
        <v>785</v>
      </c>
      <c r="M1331">
        <v>5</v>
      </c>
    </row>
    <row r="1332" spans="1:13" x14ac:dyDescent="0.25">
      <c r="A1332" t="s">
        <v>2704</v>
      </c>
      <c r="B1332" t="s">
        <v>528</v>
      </c>
      <c r="C1332" t="s">
        <v>2705</v>
      </c>
      <c r="D1332" t="s">
        <v>710</v>
      </c>
      <c r="E1332" t="s">
        <v>730</v>
      </c>
      <c r="F1332">
        <v>39.99</v>
      </c>
      <c r="G1332">
        <v>3</v>
      </c>
      <c r="H1332">
        <v>0</v>
      </c>
      <c r="I1332">
        <v>39.99</v>
      </c>
      <c r="J1332">
        <v>119.97</v>
      </c>
      <c r="K1332" t="s">
        <v>661</v>
      </c>
      <c r="L1332" t="s">
        <v>656</v>
      </c>
    </row>
    <row r="1333" spans="1:13" x14ac:dyDescent="0.25">
      <c r="A1333" t="s">
        <v>2706</v>
      </c>
      <c r="B1333" t="s">
        <v>528</v>
      </c>
      <c r="C1333" t="s">
        <v>1391</v>
      </c>
      <c r="D1333" t="s">
        <v>653</v>
      </c>
      <c r="E1333" t="s">
        <v>727</v>
      </c>
      <c r="F1333">
        <v>14.99</v>
      </c>
      <c r="G1333">
        <v>4</v>
      </c>
      <c r="H1333">
        <v>0</v>
      </c>
      <c r="I1333">
        <v>14.99</v>
      </c>
      <c r="J1333">
        <v>59.96</v>
      </c>
      <c r="K1333" t="s">
        <v>682</v>
      </c>
      <c r="L1333" t="s">
        <v>656</v>
      </c>
      <c r="M1333">
        <v>4</v>
      </c>
    </row>
    <row r="1334" spans="1:13" x14ac:dyDescent="0.25">
      <c r="A1334" t="s">
        <v>2707</v>
      </c>
      <c r="B1334" t="s">
        <v>528</v>
      </c>
      <c r="C1334" t="s">
        <v>652</v>
      </c>
      <c r="D1334" t="s">
        <v>710</v>
      </c>
      <c r="E1334" t="s">
        <v>711</v>
      </c>
      <c r="F1334">
        <v>14.99</v>
      </c>
      <c r="G1334">
        <v>4</v>
      </c>
      <c r="H1334">
        <v>0</v>
      </c>
      <c r="I1334">
        <v>14.99</v>
      </c>
      <c r="J1334">
        <v>59.96</v>
      </c>
      <c r="K1334" t="s">
        <v>661</v>
      </c>
      <c r="L1334" t="s">
        <v>656</v>
      </c>
      <c r="M1334">
        <v>4</v>
      </c>
    </row>
    <row r="1335" spans="1:13" x14ac:dyDescent="0.25">
      <c r="A1335" t="s">
        <v>2708</v>
      </c>
      <c r="B1335" t="s">
        <v>528</v>
      </c>
      <c r="C1335" t="s">
        <v>2709</v>
      </c>
      <c r="D1335" t="s">
        <v>684</v>
      </c>
      <c r="E1335" t="s">
        <v>705</v>
      </c>
      <c r="F1335">
        <v>79.989999999999995</v>
      </c>
      <c r="G1335">
        <v>4</v>
      </c>
      <c r="H1335">
        <v>0</v>
      </c>
      <c r="I1335">
        <v>79.989999999999995</v>
      </c>
      <c r="J1335">
        <v>319.95999999999998</v>
      </c>
      <c r="K1335" t="s">
        <v>682</v>
      </c>
      <c r="L1335" t="s">
        <v>739</v>
      </c>
    </row>
    <row r="1336" spans="1:13" x14ac:dyDescent="0.25">
      <c r="A1336" t="s">
        <v>2710</v>
      </c>
      <c r="B1336" t="s">
        <v>528</v>
      </c>
      <c r="C1336" t="s">
        <v>832</v>
      </c>
      <c r="D1336" t="s">
        <v>672</v>
      </c>
      <c r="E1336" t="s">
        <v>735</v>
      </c>
      <c r="F1336">
        <v>44.99</v>
      </c>
      <c r="G1336">
        <v>4</v>
      </c>
      <c r="H1336">
        <v>15</v>
      </c>
      <c r="I1336">
        <v>38.24</v>
      </c>
      <c r="J1336">
        <v>152.96</v>
      </c>
      <c r="K1336" t="s">
        <v>682</v>
      </c>
      <c r="L1336" t="s">
        <v>656</v>
      </c>
    </row>
    <row r="1337" spans="1:13" x14ac:dyDescent="0.25">
      <c r="A1337" t="s">
        <v>2711</v>
      </c>
      <c r="B1337" t="s">
        <v>528</v>
      </c>
      <c r="C1337" t="s">
        <v>1059</v>
      </c>
      <c r="D1337" t="s">
        <v>653</v>
      </c>
      <c r="E1337" t="s">
        <v>654</v>
      </c>
      <c r="F1337">
        <v>39.99</v>
      </c>
      <c r="G1337">
        <v>4</v>
      </c>
      <c r="H1337">
        <v>15</v>
      </c>
      <c r="I1337">
        <v>33.99</v>
      </c>
      <c r="J1337">
        <v>135.96</v>
      </c>
      <c r="K1337" t="s">
        <v>655</v>
      </c>
      <c r="L1337" t="s">
        <v>656</v>
      </c>
    </row>
    <row r="1338" spans="1:13" x14ac:dyDescent="0.25">
      <c r="A1338" t="s">
        <v>2712</v>
      </c>
      <c r="B1338" t="s">
        <v>528</v>
      </c>
      <c r="C1338" t="s">
        <v>1155</v>
      </c>
      <c r="D1338" t="s">
        <v>659</v>
      </c>
      <c r="E1338" t="s">
        <v>660</v>
      </c>
      <c r="F1338">
        <v>19.989999999999998</v>
      </c>
      <c r="G1338">
        <v>1</v>
      </c>
      <c r="H1338">
        <v>5</v>
      </c>
      <c r="I1338">
        <v>18.989999999999998</v>
      </c>
      <c r="J1338">
        <v>18.989999999999998</v>
      </c>
      <c r="K1338" t="s">
        <v>661</v>
      </c>
      <c r="L1338" t="s">
        <v>656</v>
      </c>
      <c r="M1338">
        <v>4</v>
      </c>
    </row>
    <row r="1339" spans="1:13" x14ac:dyDescent="0.25">
      <c r="A1339" t="s">
        <v>2713</v>
      </c>
      <c r="B1339" t="s">
        <v>528</v>
      </c>
      <c r="C1339" t="s">
        <v>1472</v>
      </c>
      <c r="D1339" t="s">
        <v>653</v>
      </c>
      <c r="E1339" t="s">
        <v>769</v>
      </c>
      <c r="F1339">
        <v>49.99</v>
      </c>
      <c r="G1339">
        <v>4</v>
      </c>
      <c r="H1339">
        <v>10</v>
      </c>
      <c r="I1339">
        <v>44.99</v>
      </c>
      <c r="J1339">
        <v>179.96</v>
      </c>
      <c r="K1339" t="s">
        <v>655</v>
      </c>
      <c r="L1339" t="s">
        <v>656</v>
      </c>
      <c r="M1339">
        <v>4</v>
      </c>
    </row>
    <row r="1340" spans="1:13" x14ac:dyDescent="0.25">
      <c r="A1340" t="s">
        <v>2714</v>
      </c>
      <c r="B1340" t="s">
        <v>528</v>
      </c>
      <c r="C1340" t="s">
        <v>2715</v>
      </c>
      <c r="D1340" t="s">
        <v>653</v>
      </c>
      <c r="E1340" t="s">
        <v>827</v>
      </c>
      <c r="F1340">
        <v>29.99</v>
      </c>
      <c r="G1340">
        <v>4</v>
      </c>
      <c r="H1340">
        <v>0</v>
      </c>
      <c r="I1340">
        <v>29.99</v>
      </c>
      <c r="J1340">
        <v>119.96</v>
      </c>
      <c r="K1340" t="s">
        <v>655</v>
      </c>
      <c r="L1340" t="s">
        <v>656</v>
      </c>
    </row>
    <row r="1341" spans="1:13" x14ac:dyDescent="0.25">
      <c r="A1341" t="s">
        <v>2716</v>
      </c>
      <c r="B1341" t="s">
        <v>528</v>
      </c>
      <c r="C1341" t="s">
        <v>2406</v>
      </c>
      <c r="D1341" t="s">
        <v>659</v>
      </c>
      <c r="E1341" t="s">
        <v>820</v>
      </c>
      <c r="F1341">
        <v>39.99</v>
      </c>
      <c r="G1341">
        <v>1</v>
      </c>
      <c r="H1341">
        <v>5</v>
      </c>
      <c r="I1341">
        <v>37.99</v>
      </c>
      <c r="J1341">
        <v>37.99</v>
      </c>
      <c r="K1341" t="s">
        <v>682</v>
      </c>
      <c r="L1341" t="s">
        <v>656</v>
      </c>
      <c r="M1341">
        <v>4</v>
      </c>
    </row>
    <row r="1342" spans="1:13" x14ac:dyDescent="0.25">
      <c r="A1342" t="s">
        <v>2717</v>
      </c>
      <c r="B1342" t="s">
        <v>528</v>
      </c>
      <c r="C1342" t="s">
        <v>2718</v>
      </c>
      <c r="D1342" t="s">
        <v>672</v>
      </c>
      <c r="E1342" t="s">
        <v>735</v>
      </c>
      <c r="F1342">
        <v>44.99</v>
      </c>
      <c r="G1342">
        <v>1</v>
      </c>
      <c r="H1342">
        <v>0</v>
      </c>
      <c r="I1342">
        <v>44.99</v>
      </c>
      <c r="J1342">
        <v>44.99</v>
      </c>
      <c r="K1342" t="s">
        <v>682</v>
      </c>
      <c r="L1342" t="s">
        <v>656</v>
      </c>
      <c r="M1342">
        <v>4</v>
      </c>
    </row>
    <row r="1343" spans="1:13" x14ac:dyDescent="0.25">
      <c r="A1343" t="s">
        <v>2719</v>
      </c>
      <c r="B1343" t="s">
        <v>530</v>
      </c>
      <c r="C1343" t="s">
        <v>2720</v>
      </c>
      <c r="D1343" t="s">
        <v>684</v>
      </c>
      <c r="E1343" t="s">
        <v>705</v>
      </c>
      <c r="F1343">
        <v>79.989999999999995</v>
      </c>
      <c r="G1343">
        <v>1</v>
      </c>
      <c r="H1343">
        <v>10</v>
      </c>
      <c r="I1343">
        <v>71.989999999999995</v>
      </c>
      <c r="J1343">
        <v>71.989999999999995</v>
      </c>
      <c r="K1343" t="s">
        <v>682</v>
      </c>
      <c r="L1343" t="s">
        <v>656</v>
      </c>
    </row>
    <row r="1344" spans="1:13" x14ac:dyDescent="0.25">
      <c r="A1344" t="s">
        <v>2721</v>
      </c>
      <c r="B1344" t="s">
        <v>530</v>
      </c>
      <c r="C1344" t="s">
        <v>755</v>
      </c>
      <c r="D1344" t="s">
        <v>672</v>
      </c>
      <c r="E1344" t="s">
        <v>735</v>
      </c>
      <c r="F1344">
        <v>44.99</v>
      </c>
      <c r="G1344">
        <v>3</v>
      </c>
      <c r="H1344">
        <v>15</v>
      </c>
      <c r="I1344">
        <v>38.24</v>
      </c>
      <c r="J1344">
        <v>114.72</v>
      </c>
      <c r="K1344" t="s">
        <v>675</v>
      </c>
      <c r="L1344" t="s">
        <v>788</v>
      </c>
      <c r="M1344">
        <v>4</v>
      </c>
    </row>
    <row r="1345" spans="1:13" x14ac:dyDescent="0.25">
      <c r="A1345" t="s">
        <v>2722</v>
      </c>
      <c r="B1345" t="s">
        <v>530</v>
      </c>
      <c r="C1345" t="s">
        <v>2282</v>
      </c>
      <c r="D1345" t="s">
        <v>680</v>
      </c>
      <c r="E1345" t="s">
        <v>688</v>
      </c>
      <c r="F1345">
        <v>29.99</v>
      </c>
      <c r="G1345">
        <v>2</v>
      </c>
      <c r="H1345">
        <v>0</v>
      </c>
      <c r="I1345">
        <v>29.99</v>
      </c>
      <c r="J1345">
        <v>59.98</v>
      </c>
      <c r="K1345" t="s">
        <v>661</v>
      </c>
      <c r="L1345" t="s">
        <v>656</v>
      </c>
    </row>
    <row r="1346" spans="1:13" x14ac:dyDescent="0.25">
      <c r="A1346" t="s">
        <v>2723</v>
      </c>
      <c r="B1346" t="s">
        <v>530</v>
      </c>
      <c r="C1346" t="s">
        <v>1484</v>
      </c>
      <c r="D1346" t="s">
        <v>710</v>
      </c>
      <c r="E1346" t="s">
        <v>721</v>
      </c>
      <c r="F1346">
        <v>24.99</v>
      </c>
      <c r="G1346">
        <v>3</v>
      </c>
      <c r="H1346">
        <v>0</v>
      </c>
      <c r="I1346">
        <v>24.99</v>
      </c>
      <c r="J1346">
        <v>74.97</v>
      </c>
      <c r="K1346" t="s">
        <v>675</v>
      </c>
      <c r="L1346" t="s">
        <v>656</v>
      </c>
      <c r="M1346">
        <v>5</v>
      </c>
    </row>
    <row r="1347" spans="1:13" x14ac:dyDescent="0.25">
      <c r="A1347" t="s">
        <v>2724</v>
      </c>
      <c r="B1347" t="s">
        <v>530</v>
      </c>
      <c r="C1347" t="s">
        <v>1443</v>
      </c>
      <c r="D1347" t="s">
        <v>684</v>
      </c>
      <c r="E1347" t="s">
        <v>705</v>
      </c>
      <c r="F1347">
        <v>79.989999999999995</v>
      </c>
      <c r="G1347">
        <v>1</v>
      </c>
      <c r="H1347">
        <v>10</v>
      </c>
      <c r="I1347">
        <v>71.989999999999995</v>
      </c>
      <c r="J1347">
        <v>71.989999999999995</v>
      </c>
      <c r="K1347" t="s">
        <v>661</v>
      </c>
      <c r="L1347" t="s">
        <v>656</v>
      </c>
      <c r="M1347">
        <v>5</v>
      </c>
    </row>
    <row r="1348" spans="1:13" x14ac:dyDescent="0.25">
      <c r="A1348" t="s">
        <v>2725</v>
      </c>
      <c r="B1348" t="s">
        <v>530</v>
      </c>
      <c r="C1348" t="s">
        <v>1717</v>
      </c>
      <c r="D1348" t="s">
        <v>659</v>
      </c>
      <c r="E1348" t="s">
        <v>664</v>
      </c>
      <c r="F1348">
        <v>24.99</v>
      </c>
      <c r="G1348">
        <v>4</v>
      </c>
      <c r="H1348">
        <v>0</v>
      </c>
      <c r="I1348">
        <v>24.99</v>
      </c>
      <c r="J1348">
        <v>99.96</v>
      </c>
      <c r="K1348" t="s">
        <v>661</v>
      </c>
      <c r="L1348" t="s">
        <v>656</v>
      </c>
      <c r="M1348">
        <v>2</v>
      </c>
    </row>
    <row r="1349" spans="1:13" x14ac:dyDescent="0.25">
      <c r="A1349" t="s">
        <v>2726</v>
      </c>
      <c r="B1349" t="s">
        <v>530</v>
      </c>
      <c r="C1349" t="s">
        <v>997</v>
      </c>
      <c r="D1349" t="s">
        <v>680</v>
      </c>
      <c r="E1349" t="s">
        <v>708</v>
      </c>
      <c r="F1349">
        <v>24.99</v>
      </c>
      <c r="G1349">
        <v>4</v>
      </c>
      <c r="H1349">
        <v>0</v>
      </c>
      <c r="I1349">
        <v>24.99</v>
      </c>
      <c r="J1349">
        <v>99.96</v>
      </c>
      <c r="K1349" t="s">
        <v>682</v>
      </c>
      <c r="L1349" t="s">
        <v>656</v>
      </c>
      <c r="M1349">
        <v>5</v>
      </c>
    </row>
    <row r="1350" spans="1:13" x14ac:dyDescent="0.25">
      <c r="A1350" t="s">
        <v>2727</v>
      </c>
      <c r="B1350" t="s">
        <v>530</v>
      </c>
      <c r="C1350" t="s">
        <v>809</v>
      </c>
      <c r="D1350" t="s">
        <v>672</v>
      </c>
      <c r="E1350" t="s">
        <v>724</v>
      </c>
      <c r="F1350">
        <v>89.99</v>
      </c>
      <c r="G1350">
        <v>4</v>
      </c>
      <c r="H1350">
        <v>0</v>
      </c>
      <c r="I1350">
        <v>89.99</v>
      </c>
      <c r="J1350">
        <v>359.96</v>
      </c>
      <c r="K1350" t="s">
        <v>675</v>
      </c>
      <c r="L1350" t="s">
        <v>656</v>
      </c>
      <c r="M1350">
        <v>4</v>
      </c>
    </row>
    <row r="1351" spans="1:13" x14ac:dyDescent="0.25">
      <c r="A1351" t="s">
        <v>2728</v>
      </c>
      <c r="B1351" t="s">
        <v>530</v>
      </c>
      <c r="C1351" t="s">
        <v>2729</v>
      </c>
      <c r="D1351" t="s">
        <v>710</v>
      </c>
      <c r="E1351" t="s">
        <v>721</v>
      </c>
      <c r="F1351">
        <v>24.99</v>
      </c>
      <c r="G1351">
        <v>4</v>
      </c>
      <c r="H1351">
        <v>5</v>
      </c>
      <c r="I1351">
        <v>23.74</v>
      </c>
      <c r="J1351">
        <v>94.96</v>
      </c>
      <c r="K1351" t="s">
        <v>669</v>
      </c>
      <c r="L1351" t="s">
        <v>656</v>
      </c>
      <c r="M1351">
        <v>3</v>
      </c>
    </row>
    <row r="1352" spans="1:13" x14ac:dyDescent="0.25">
      <c r="A1352" t="s">
        <v>2730</v>
      </c>
      <c r="B1352" t="s">
        <v>530</v>
      </c>
      <c r="C1352" t="s">
        <v>1878</v>
      </c>
      <c r="D1352" t="s">
        <v>659</v>
      </c>
      <c r="E1352" t="s">
        <v>660</v>
      </c>
      <c r="F1352">
        <v>19.989999999999998</v>
      </c>
      <c r="G1352">
        <v>4</v>
      </c>
      <c r="H1352">
        <v>20</v>
      </c>
      <c r="I1352">
        <v>15.99</v>
      </c>
      <c r="J1352">
        <v>63.96</v>
      </c>
      <c r="K1352" t="s">
        <v>669</v>
      </c>
      <c r="L1352" t="s">
        <v>656</v>
      </c>
      <c r="M1352">
        <v>4</v>
      </c>
    </row>
    <row r="1353" spans="1:13" x14ac:dyDescent="0.25">
      <c r="A1353" t="s">
        <v>2731</v>
      </c>
      <c r="B1353" t="s">
        <v>533</v>
      </c>
      <c r="C1353" t="s">
        <v>1602</v>
      </c>
      <c r="D1353" t="s">
        <v>710</v>
      </c>
      <c r="E1353" t="s">
        <v>711</v>
      </c>
      <c r="F1353">
        <v>14.99</v>
      </c>
      <c r="G1353">
        <v>2</v>
      </c>
      <c r="H1353">
        <v>15</v>
      </c>
      <c r="I1353">
        <v>12.74</v>
      </c>
      <c r="J1353">
        <v>25.48</v>
      </c>
      <c r="K1353" t="s">
        <v>675</v>
      </c>
      <c r="L1353" t="s">
        <v>656</v>
      </c>
      <c r="M1353">
        <v>3</v>
      </c>
    </row>
    <row r="1354" spans="1:13" x14ac:dyDescent="0.25">
      <c r="A1354" t="s">
        <v>2732</v>
      </c>
      <c r="B1354" t="s">
        <v>533</v>
      </c>
      <c r="C1354" t="s">
        <v>2557</v>
      </c>
      <c r="D1354" t="s">
        <v>653</v>
      </c>
      <c r="E1354" t="s">
        <v>769</v>
      </c>
      <c r="F1354">
        <v>49.99</v>
      </c>
      <c r="G1354">
        <v>1</v>
      </c>
      <c r="H1354">
        <v>0</v>
      </c>
      <c r="I1354">
        <v>49.99</v>
      </c>
      <c r="J1354">
        <v>49.99</v>
      </c>
      <c r="K1354" t="s">
        <v>655</v>
      </c>
      <c r="L1354" t="s">
        <v>656</v>
      </c>
    </row>
    <row r="1355" spans="1:13" x14ac:dyDescent="0.25">
      <c r="A1355" t="s">
        <v>2733</v>
      </c>
      <c r="B1355" t="s">
        <v>533</v>
      </c>
      <c r="C1355" t="s">
        <v>2226</v>
      </c>
      <c r="D1355" t="s">
        <v>653</v>
      </c>
      <c r="E1355" t="s">
        <v>654</v>
      </c>
      <c r="F1355">
        <v>39.99</v>
      </c>
      <c r="G1355">
        <v>4</v>
      </c>
      <c r="H1355">
        <v>0</v>
      </c>
      <c r="I1355">
        <v>39.99</v>
      </c>
      <c r="J1355">
        <v>159.96</v>
      </c>
      <c r="K1355" t="s">
        <v>682</v>
      </c>
      <c r="L1355" t="s">
        <v>788</v>
      </c>
      <c r="M1355">
        <v>5</v>
      </c>
    </row>
    <row r="1356" spans="1:13" x14ac:dyDescent="0.25">
      <c r="A1356" t="s">
        <v>2734</v>
      </c>
      <c r="B1356" t="s">
        <v>533</v>
      </c>
      <c r="C1356" t="s">
        <v>1610</v>
      </c>
      <c r="D1356" t="s">
        <v>659</v>
      </c>
      <c r="E1356" t="s">
        <v>762</v>
      </c>
      <c r="F1356">
        <v>49.99</v>
      </c>
      <c r="G1356">
        <v>3</v>
      </c>
      <c r="H1356">
        <v>15</v>
      </c>
      <c r="I1356">
        <v>42.49</v>
      </c>
      <c r="J1356">
        <v>127.47</v>
      </c>
      <c r="K1356" t="s">
        <v>655</v>
      </c>
      <c r="L1356" t="s">
        <v>739</v>
      </c>
    </row>
    <row r="1357" spans="1:13" x14ac:dyDescent="0.25">
      <c r="A1357" t="s">
        <v>2735</v>
      </c>
      <c r="B1357" t="s">
        <v>536</v>
      </c>
      <c r="C1357" t="s">
        <v>768</v>
      </c>
      <c r="D1357" t="s">
        <v>684</v>
      </c>
      <c r="E1357" t="s">
        <v>685</v>
      </c>
      <c r="F1357">
        <v>49.99</v>
      </c>
      <c r="G1357">
        <v>4</v>
      </c>
      <c r="H1357">
        <v>5</v>
      </c>
      <c r="I1357">
        <v>47.49</v>
      </c>
      <c r="J1357">
        <v>189.96</v>
      </c>
      <c r="K1357" t="s">
        <v>682</v>
      </c>
      <c r="L1357" t="s">
        <v>656</v>
      </c>
      <c r="M1357">
        <v>5</v>
      </c>
    </row>
    <row r="1358" spans="1:13" x14ac:dyDescent="0.25">
      <c r="A1358" t="s">
        <v>2736</v>
      </c>
      <c r="B1358" t="s">
        <v>536</v>
      </c>
      <c r="C1358" t="s">
        <v>1546</v>
      </c>
      <c r="D1358" t="s">
        <v>684</v>
      </c>
      <c r="E1358" t="s">
        <v>815</v>
      </c>
      <c r="F1358">
        <v>34.99</v>
      </c>
      <c r="G1358">
        <v>1</v>
      </c>
      <c r="H1358">
        <v>10</v>
      </c>
      <c r="I1358">
        <v>31.49</v>
      </c>
      <c r="J1358">
        <v>31.49</v>
      </c>
      <c r="K1358" t="s">
        <v>669</v>
      </c>
      <c r="L1358" t="s">
        <v>656</v>
      </c>
      <c r="M1358">
        <v>5</v>
      </c>
    </row>
    <row r="1359" spans="1:13" x14ac:dyDescent="0.25">
      <c r="A1359" t="s">
        <v>2737</v>
      </c>
      <c r="B1359" t="s">
        <v>536</v>
      </c>
      <c r="C1359" t="s">
        <v>1809</v>
      </c>
      <c r="D1359" t="s">
        <v>672</v>
      </c>
      <c r="E1359" t="s">
        <v>673</v>
      </c>
      <c r="F1359">
        <v>24.99</v>
      </c>
      <c r="G1359">
        <v>1</v>
      </c>
      <c r="H1359">
        <v>0</v>
      </c>
      <c r="I1359">
        <v>24.99</v>
      </c>
      <c r="J1359">
        <v>24.99</v>
      </c>
      <c r="K1359" t="s">
        <v>661</v>
      </c>
      <c r="L1359" t="s">
        <v>656</v>
      </c>
      <c r="M1359">
        <v>5</v>
      </c>
    </row>
    <row r="1360" spans="1:13" x14ac:dyDescent="0.25">
      <c r="A1360" t="s">
        <v>2738</v>
      </c>
      <c r="B1360" t="s">
        <v>536</v>
      </c>
      <c r="C1360" t="s">
        <v>962</v>
      </c>
      <c r="D1360" t="s">
        <v>710</v>
      </c>
      <c r="E1360" t="s">
        <v>730</v>
      </c>
      <c r="F1360">
        <v>39.99</v>
      </c>
      <c r="G1360">
        <v>1</v>
      </c>
      <c r="H1360">
        <v>15</v>
      </c>
      <c r="I1360">
        <v>33.99</v>
      </c>
      <c r="J1360">
        <v>33.99</v>
      </c>
      <c r="K1360" t="s">
        <v>661</v>
      </c>
      <c r="L1360" t="s">
        <v>656</v>
      </c>
      <c r="M1360">
        <v>2</v>
      </c>
    </row>
    <row r="1361" spans="1:13" x14ac:dyDescent="0.25">
      <c r="A1361" t="s">
        <v>2739</v>
      </c>
      <c r="B1361" t="s">
        <v>539</v>
      </c>
      <c r="C1361" t="s">
        <v>2740</v>
      </c>
      <c r="D1361" t="s">
        <v>680</v>
      </c>
      <c r="E1361" t="s">
        <v>708</v>
      </c>
      <c r="F1361">
        <v>24.99</v>
      </c>
      <c r="G1361">
        <v>1</v>
      </c>
      <c r="H1361">
        <v>0</v>
      </c>
      <c r="I1361">
        <v>24.99</v>
      </c>
      <c r="J1361">
        <v>24.99</v>
      </c>
      <c r="K1361" t="s">
        <v>682</v>
      </c>
      <c r="L1361" t="s">
        <v>656</v>
      </c>
      <c r="M1361">
        <v>5</v>
      </c>
    </row>
    <row r="1362" spans="1:13" x14ac:dyDescent="0.25">
      <c r="A1362" t="s">
        <v>2741</v>
      </c>
      <c r="B1362" t="s">
        <v>539</v>
      </c>
      <c r="C1362" t="s">
        <v>2742</v>
      </c>
      <c r="D1362" t="s">
        <v>680</v>
      </c>
      <c r="E1362" t="s">
        <v>749</v>
      </c>
      <c r="F1362">
        <v>14.99</v>
      </c>
      <c r="G1362">
        <v>2</v>
      </c>
      <c r="H1362">
        <v>5</v>
      </c>
      <c r="I1362">
        <v>14.24</v>
      </c>
      <c r="J1362">
        <v>28.48</v>
      </c>
      <c r="K1362" t="s">
        <v>661</v>
      </c>
      <c r="L1362" t="s">
        <v>739</v>
      </c>
      <c r="M1362">
        <v>1</v>
      </c>
    </row>
    <row r="1363" spans="1:13" x14ac:dyDescent="0.25">
      <c r="A1363" t="s">
        <v>2743</v>
      </c>
      <c r="B1363" t="s">
        <v>539</v>
      </c>
      <c r="C1363" t="s">
        <v>907</v>
      </c>
      <c r="D1363" t="s">
        <v>710</v>
      </c>
      <c r="E1363" t="s">
        <v>721</v>
      </c>
      <c r="F1363">
        <v>24.99</v>
      </c>
      <c r="G1363">
        <v>3</v>
      </c>
      <c r="H1363">
        <v>10</v>
      </c>
      <c r="I1363">
        <v>22.49</v>
      </c>
      <c r="J1363">
        <v>67.47</v>
      </c>
      <c r="K1363" t="s">
        <v>682</v>
      </c>
      <c r="L1363" t="s">
        <v>656</v>
      </c>
      <c r="M1363">
        <v>5</v>
      </c>
    </row>
    <row r="1364" spans="1:13" x14ac:dyDescent="0.25">
      <c r="A1364" t="s">
        <v>2744</v>
      </c>
      <c r="B1364" t="s">
        <v>539</v>
      </c>
      <c r="C1364" t="s">
        <v>1251</v>
      </c>
      <c r="D1364" t="s">
        <v>680</v>
      </c>
      <c r="E1364" t="s">
        <v>681</v>
      </c>
      <c r="F1364">
        <v>19.989999999999998</v>
      </c>
      <c r="G1364">
        <v>1</v>
      </c>
      <c r="H1364">
        <v>0</v>
      </c>
      <c r="I1364">
        <v>19.989999999999998</v>
      </c>
      <c r="J1364">
        <v>19.989999999999998</v>
      </c>
      <c r="K1364" t="s">
        <v>655</v>
      </c>
      <c r="L1364" t="s">
        <v>656</v>
      </c>
    </row>
    <row r="1365" spans="1:13" x14ac:dyDescent="0.25">
      <c r="A1365" t="s">
        <v>2745</v>
      </c>
      <c r="B1365" t="s">
        <v>539</v>
      </c>
      <c r="C1365" t="s">
        <v>1195</v>
      </c>
      <c r="D1365" t="s">
        <v>684</v>
      </c>
      <c r="E1365" t="s">
        <v>702</v>
      </c>
      <c r="F1365">
        <v>199.99</v>
      </c>
      <c r="G1365">
        <v>1</v>
      </c>
      <c r="H1365">
        <v>0</v>
      </c>
      <c r="I1365">
        <v>199.99</v>
      </c>
      <c r="J1365">
        <v>199.99</v>
      </c>
      <c r="K1365" t="s">
        <v>669</v>
      </c>
      <c r="L1365" t="s">
        <v>656</v>
      </c>
      <c r="M1365">
        <v>4</v>
      </c>
    </row>
    <row r="1366" spans="1:13" x14ac:dyDescent="0.25">
      <c r="A1366" t="s">
        <v>2746</v>
      </c>
      <c r="B1366" t="s">
        <v>539</v>
      </c>
      <c r="C1366" t="s">
        <v>1974</v>
      </c>
      <c r="D1366" t="s">
        <v>653</v>
      </c>
      <c r="E1366" t="s">
        <v>654</v>
      </c>
      <c r="F1366">
        <v>39.99</v>
      </c>
      <c r="G1366">
        <v>1</v>
      </c>
      <c r="H1366">
        <v>10</v>
      </c>
      <c r="I1366">
        <v>35.99</v>
      </c>
      <c r="J1366">
        <v>35.99</v>
      </c>
      <c r="K1366" t="s">
        <v>675</v>
      </c>
      <c r="L1366" t="s">
        <v>656</v>
      </c>
      <c r="M1366">
        <v>5</v>
      </c>
    </row>
    <row r="1367" spans="1:13" x14ac:dyDescent="0.25">
      <c r="A1367" t="s">
        <v>2747</v>
      </c>
      <c r="B1367" t="s">
        <v>539</v>
      </c>
      <c r="C1367" t="s">
        <v>2702</v>
      </c>
      <c r="D1367" t="s">
        <v>659</v>
      </c>
      <c r="E1367" t="s">
        <v>660</v>
      </c>
      <c r="F1367">
        <v>19.989999999999998</v>
      </c>
      <c r="G1367">
        <v>3</v>
      </c>
      <c r="H1367">
        <v>5</v>
      </c>
      <c r="I1367">
        <v>18.989999999999998</v>
      </c>
      <c r="J1367">
        <v>56.97</v>
      </c>
      <c r="K1367" t="s">
        <v>675</v>
      </c>
      <c r="L1367" t="s">
        <v>656</v>
      </c>
    </row>
    <row r="1368" spans="1:13" x14ac:dyDescent="0.25">
      <c r="A1368" t="s">
        <v>2748</v>
      </c>
      <c r="B1368" t="s">
        <v>539</v>
      </c>
      <c r="C1368" t="s">
        <v>1163</v>
      </c>
      <c r="D1368" t="s">
        <v>680</v>
      </c>
      <c r="E1368" t="s">
        <v>749</v>
      </c>
      <c r="F1368">
        <v>14.99</v>
      </c>
      <c r="G1368">
        <v>1</v>
      </c>
      <c r="H1368">
        <v>5</v>
      </c>
      <c r="I1368">
        <v>14.24</v>
      </c>
      <c r="J1368">
        <v>14.24</v>
      </c>
      <c r="K1368" t="s">
        <v>675</v>
      </c>
      <c r="L1368" t="s">
        <v>656</v>
      </c>
      <c r="M1368">
        <v>4</v>
      </c>
    </row>
    <row r="1369" spans="1:13" x14ac:dyDescent="0.25">
      <c r="A1369" t="s">
        <v>2749</v>
      </c>
      <c r="B1369" t="s">
        <v>542</v>
      </c>
      <c r="C1369" t="s">
        <v>2268</v>
      </c>
      <c r="D1369" t="s">
        <v>684</v>
      </c>
      <c r="E1369" t="s">
        <v>705</v>
      </c>
      <c r="F1369">
        <v>79.989999999999995</v>
      </c>
      <c r="G1369">
        <v>2</v>
      </c>
      <c r="H1369">
        <v>10</v>
      </c>
      <c r="I1369">
        <v>71.989999999999995</v>
      </c>
      <c r="J1369">
        <v>143.97999999999999</v>
      </c>
      <c r="K1369" t="s">
        <v>675</v>
      </c>
      <c r="L1369" t="s">
        <v>656</v>
      </c>
      <c r="M1369">
        <v>4</v>
      </c>
    </row>
    <row r="1370" spans="1:13" x14ac:dyDescent="0.25">
      <c r="A1370" t="s">
        <v>2750</v>
      </c>
      <c r="B1370" t="s">
        <v>542</v>
      </c>
      <c r="C1370" t="s">
        <v>817</v>
      </c>
      <c r="D1370" t="s">
        <v>659</v>
      </c>
      <c r="E1370" t="s">
        <v>660</v>
      </c>
      <c r="F1370">
        <v>19.989999999999998</v>
      </c>
      <c r="G1370">
        <v>1</v>
      </c>
      <c r="H1370">
        <v>15</v>
      </c>
      <c r="I1370">
        <v>16.989999999999998</v>
      </c>
      <c r="J1370">
        <v>16.989999999999998</v>
      </c>
      <c r="K1370" t="s">
        <v>675</v>
      </c>
      <c r="L1370" t="s">
        <v>656</v>
      </c>
    </row>
    <row r="1371" spans="1:13" x14ac:dyDescent="0.25">
      <c r="A1371" t="s">
        <v>2751</v>
      </c>
      <c r="B1371" t="s">
        <v>542</v>
      </c>
      <c r="C1371" t="s">
        <v>2186</v>
      </c>
      <c r="D1371" t="s">
        <v>653</v>
      </c>
      <c r="E1371" t="s">
        <v>654</v>
      </c>
      <c r="F1371">
        <v>39.99</v>
      </c>
      <c r="G1371">
        <v>4</v>
      </c>
      <c r="H1371">
        <v>0</v>
      </c>
      <c r="I1371">
        <v>39.99</v>
      </c>
      <c r="J1371">
        <v>159.96</v>
      </c>
      <c r="K1371" t="s">
        <v>682</v>
      </c>
      <c r="L1371" t="s">
        <v>656</v>
      </c>
      <c r="M1371">
        <v>5</v>
      </c>
    </row>
    <row r="1372" spans="1:13" x14ac:dyDescent="0.25">
      <c r="A1372" t="s">
        <v>2752</v>
      </c>
      <c r="B1372" t="s">
        <v>542</v>
      </c>
      <c r="C1372" t="s">
        <v>2753</v>
      </c>
      <c r="D1372" t="s">
        <v>672</v>
      </c>
      <c r="E1372" t="s">
        <v>735</v>
      </c>
      <c r="F1372">
        <v>44.99</v>
      </c>
      <c r="G1372">
        <v>1</v>
      </c>
      <c r="H1372">
        <v>20</v>
      </c>
      <c r="I1372">
        <v>35.99</v>
      </c>
      <c r="J1372">
        <v>35.99</v>
      </c>
      <c r="K1372" t="s">
        <v>682</v>
      </c>
      <c r="L1372" t="s">
        <v>656</v>
      </c>
      <c r="M1372">
        <v>5</v>
      </c>
    </row>
    <row r="1373" spans="1:13" x14ac:dyDescent="0.25">
      <c r="A1373" t="s">
        <v>2754</v>
      </c>
      <c r="B1373" t="s">
        <v>542</v>
      </c>
      <c r="C1373" t="s">
        <v>503</v>
      </c>
      <c r="D1373" t="s">
        <v>659</v>
      </c>
      <c r="E1373" t="s">
        <v>664</v>
      </c>
      <c r="F1373">
        <v>24.99</v>
      </c>
      <c r="G1373">
        <v>3</v>
      </c>
      <c r="H1373">
        <v>5</v>
      </c>
      <c r="I1373">
        <v>23.74</v>
      </c>
      <c r="J1373">
        <v>71.22</v>
      </c>
      <c r="K1373" t="s">
        <v>682</v>
      </c>
      <c r="L1373" t="s">
        <v>656</v>
      </c>
      <c r="M1373">
        <v>5</v>
      </c>
    </row>
    <row r="1374" spans="1:13" x14ac:dyDescent="0.25">
      <c r="A1374" t="s">
        <v>2755</v>
      </c>
      <c r="B1374" t="s">
        <v>542</v>
      </c>
      <c r="C1374" t="s">
        <v>2756</v>
      </c>
      <c r="D1374" t="s">
        <v>667</v>
      </c>
      <c r="E1374" t="s">
        <v>714</v>
      </c>
      <c r="F1374">
        <v>44.99</v>
      </c>
      <c r="G1374">
        <v>4</v>
      </c>
      <c r="H1374">
        <v>20</v>
      </c>
      <c r="I1374">
        <v>35.99</v>
      </c>
      <c r="J1374">
        <v>143.96</v>
      </c>
      <c r="K1374" t="s">
        <v>661</v>
      </c>
      <c r="L1374" t="s">
        <v>656</v>
      </c>
      <c r="M1374">
        <v>5</v>
      </c>
    </row>
    <row r="1375" spans="1:13" x14ac:dyDescent="0.25">
      <c r="A1375" t="s">
        <v>2757</v>
      </c>
      <c r="B1375" t="s">
        <v>542</v>
      </c>
      <c r="C1375" t="s">
        <v>2758</v>
      </c>
      <c r="D1375" t="s">
        <v>653</v>
      </c>
      <c r="E1375" t="s">
        <v>654</v>
      </c>
      <c r="F1375">
        <v>39.99</v>
      </c>
      <c r="G1375">
        <v>3</v>
      </c>
      <c r="H1375">
        <v>15</v>
      </c>
      <c r="I1375">
        <v>33.99</v>
      </c>
      <c r="J1375">
        <v>101.97</v>
      </c>
      <c r="K1375" t="s">
        <v>661</v>
      </c>
      <c r="L1375" t="s">
        <v>656</v>
      </c>
      <c r="M1375">
        <v>3</v>
      </c>
    </row>
    <row r="1376" spans="1:13" x14ac:dyDescent="0.25">
      <c r="A1376" t="s">
        <v>2759</v>
      </c>
      <c r="B1376" t="s">
        <v>545</v>
      </c>
      <c r="C1376" t="s">
        <v>1964</v>
      </c>
      <c r="D1376" t="s">
        <v>710</v>
      </c>
      <c r="E1376" t="s">
        <v>744</v>
      </c>
      <c r="F1376">
        <v>29.99</v>
      </c>
      <c r="G1376">
        <v>1</v>
      </c>
      <c r="H1376">
        <v>10</v>
      </c>
      <c r="I1376">
        <v>26.99</v>
      </c>
      <c r="J1376">
        <v>26.99</v>
      </c>
      <c r="K1376" t="s">
        <v>682</v>
      </c>
      <c r="L1376" t="s">
        <v>656</v>
      </c>
      <c r="M1376">
        <v>5</v>
      </c>
    </row>
    <row r="1377" spans="1:13" x14ac:dyDescent="0.25">
      <c r="A1377" t="s">
        <v>2760</v>
      </c>
      <c r="B1377" t="s">
        <v>545</v>
      </c>
      <c r="C1377" t="s">
        <v>1675</v>
      </c>
      <c r="D1377" t="s">
        <v>667</v>
      </c>
      <c r="E1377" t="s">
        <v>699</v>
      </c>
      <c r="F1377">
        <v>89.99</v>
      </c>
      <c r="G1377">
        <v>3</v>
      </c>
      <c r="H1377">
        <v>0</v>
      </c>
      <c r="I1377">
        <v>89.99</v>
      </c>
      <c r="J1377">
        <v>269.97000000000003</v>
      </c>
      <c r="K1377" t="s">
        <v>669</v>
      </c>
      <c r="L1377" t="s">
        <v>656</v>
      </c>
    </row>
    <row r="1378" spans="1:13" x14ac:dyDescent="0.25">
      <c r="A1378" t="s">
        <v>2761</v>
      </c>
      <c r="B1378" t="s">
        <v>545</v>
      </c>
      <c r="C1378" t="s">
        <v>2762</v>
      </c>
      <c r="D1378" t="s">
        <v>659</v>
      </c>
      <c r="E1378" t="s">
        <v>762</v>
      </c>
      <c r="F1378">
        <v>49.99</v>
      </c>
      <c r="G1378">
        <v>3</v>
      </c>
      <c r="H1378">
        <v>0</v>
      </c>
      <c r="I1378">
        <v>49.99</v>
      </c>
      <c r="J1378">
        <v>149.97</v>
      </c>
      <c r="K1378" t="s">
        <v>655</v>
      </c>
      <c r="L1378" t="s">
        <v>656</v>
      </c>
      <c r="M1378">
        <v>5</v>
      </c>
    </row>
    <row r="1379" spans="1:13" x14ac:dyDescent="0.25">
      <c r="A1379" t="s">
        <v>2763</v>
      </c>
      <c r="B1379" t="s">
        <v>545</v>
      </c>
      <c r="C1379" t="s">
        <v>2598</v>
      </c>
      <c r="D1379" t="s">
        <v>684</v>
      </c>
      <c r="E1379" t="s">
        <v>685</v>
      </c>
      <c r="F1379">
        <v>49.99</v>
      </c>
      <c r="G1379">
        <v>2</v>
      </c>
      <c r="H1379">
        <v>0</v>
      </c>
      <c r="I1379">
        <v>49.99</v>
      </c>
      <c r="J1379">
        <v>99.98</v>
      </c>
      <c r="K1379" t="s">
        <v>675</v>
      </c>
      <c r="L1379" t="s">
        <v>656</v>
      </c>
    </row>
    <row r="1380" spans="1:13" x14ac:dyDescent="0.25">
      <c r="A1380" t="s">
        <v>2764</v>
      </c>
      <c r="B1380" t="s">
        <v>545</v>
      </c>
      <c r="C1380" t="s">
        <v>106</v>
      </c>
      <c r="D1380" t="s">
        <v>653</v>
      </c>
      <c r="E1380" t="s">
        <v>769</v>
      </c>
      <c r="F1380">
        <v>49.99</v>
      </c>
      <c r="G1380">
        <v>4</v>
      </c>
      <c r="H1380">
        <v>5</v>
      </c>
      <c r="I1380">
        <v>47.49</v>
      </c>
      <c r="J1380">
        <v>189.96</v>
      </c>
      <c r="K1380" t="s">
        <v>655</v>
      </c>
      <c r="L1380" t="s">
        <v>656</v>
      </c>
    </row>
    <row r="1381" spans="1:13" x14ac:dyDescent="0.25">
      <c r="A1381" t="s">
        <v>2765</v>
      </c>
      <c r="B1381" t="s">
        <v>545</v>
      </c>
      <c r="C1381" t="s">
        <v>2327</v>
      </c>
      <c r="D1381" t="s">
        <v>653</v>
      </c>
      <c r="E1381" t="s">
        <v>827</v>
      </c>
      <c r="F1381">
        <v>29.99</v>
      </c>
      <c r="G1381">
        <v>4</v>
      </c>
      <c r="H1381">
        <v>10</v>
      </c>
      <c r="I1381">
        <v>26.99</v>
      </c>
      <c r="J1381">
        <v>107.96</v>
      </c>
      <c r="K1381" t="s">
        <v>655</v>
      </c>
      <c r="L1381" t="s">
        <v>656</v>
      </c>
    </row>
    <row r="1382" spans="1:13" x14ac:dyDescent="0.25">
      <c r="A1382" t="s">
        <v>2766</v>
      </c>
      <c r="B1382" t="s">
        <v>545</v>
      </c>
      <c r="C1382" t="s">
        <v>1809</v>
      </c>
      <c r="D1382" t="s">
        <v>684</v>
      </c>
      <c r="E1382" t="s">
        <v>705</v>
      </c>
      <c r="F1382">
        <v>79.989999999999995</v>
      </c>
      <c r="G1382">
        <v>3</v>
      </c>
      <c r="H1382">
        <v>0</v>
      </c>
      <c r="I1382">
        <v>79.989999999999995</v>
      </c>
      <c r="J1382">
        <v>239.97</v>
      </c>
      <c r="K1382" t="s">
        <v>669</v>
      </c>
      <c r="L1382" t="s">
        <v>739</v>
      </c>
      <c r="M1382">
        <v>4</v>
      </c>
    </row>
    <row r="1383" spans="1:13" x14ac:dyDescent="0.25">
      <c r="A1383" t="s">
        <v>2767</v>
      </c>
      <c r="B1383" t="s">
        <v>548</v>
      </c>
      <c r="C1383" t="s">
        <v>2308</v>
      </c>
      <c r="D1383" t="s">
        <v>659</v>
      </c>
      <c r="E1383" t="s">
        <v>664</v>
      </c>
      <c r="F1383">
        <v>24.99</v>
      </c>
      <c r="G1383">
        <v>2</v>
      </c>
      <c r="H1383">
        <v>0</v>
      </c>
      <c r="I1383">
        <v>24.99</v>
      </c>
      <c r="J1383">
        <v>49.98</v>
      </c>
      <c r="K1383" t="s">
        <v>669</v>
      </c>
      <c r="L1383" t="s">
        <v>656</v>
      </c>
    </row>
    <row r="1384" spans="1:13" x14ac:dyDescent="0.25">
      <c r="A1384" t="s">
        <v>2768</v>
      </c>
      <c r="B1384" t="s">
        <v>548</v>
      </c>
      <c r="C1384" t="s">
        <v>939</v>
      </c>
      <c r="D1384" t="s">
        <v>659</v>
      </c>
      <c r="E1384" t="s">
        <v>664</v>
      </c>
      <c r="F1384">
        <v>24.99</v>
      </c>
      <c r="G1384">
        <v>3</v>
      </c>
      <c r="H1384">
        <v>0</v>
      </c>
      <c r="I1384">
        <v>24.99</v>
      </c>
      <c r="J1384">
        <v>74.97</v>
      </c>
      <c r="K1384" t="s">
        <v>661</v>
      </c>
      <c r="L1384" t="s">
        <v>788</v>
      </c>
      <c r="M1384">
        <v>5</v>
      </c>
    </row>
    <row r="1385" spans="1:13" x14ac:dyDescent="0.25">
      <c r="A1385" t="s">
        <v>2769</v>
      </c>
      <c r="B1385" t="s">
        <v>548</v>
      </c>
      <c r="C1385" t="s">
        <v>2770</v>
      </c>
      <c r="D1385" t="s">
        <v>659</v>
      </c>
      <c r="E1385" t="s">
        <v>820</v>
      </c>
      <c r="F1385">
        <v>39.99</v>
      </c>
      <c r="G1385">
        <v>1</v>
      </c>
      <c r="H1385">
        <v>0</v>
      </c>
      <c r="I1385">
        <v>39.99</v>
      </c>
      <c r="J1385">
        <v>39.99</v>
      </c>
      <c r="K1385" t="s">
        <v>661</v>
      </c>
      <c r="L1385" t="s">
        <v>739</v>
      </c>
    </row>
    <row r="1386" spans="1:13" x14ac:dyDescent="0.25">
      <c r="A1386" t="s">
        <v>2771</v>
      </c>
      <c r="B1386" t="s">
        <v>548</v>
      </c>
      <c r="C1386" t="s">
        <v>2772</v>
      </c>
      <c r="D1386" t="s">
        <v>672</v>
      </c>
      <c r="E1386" t="s">
        <v>735</v>
      </c>
      <c r="F1386">
        <v>44.99</v>
      </c>
      <c r="G1386">
        <v>4</v>
      </c>
      <c r="H1386">
        <v>0</v>
      </c>
      <c r="I1386">
        <v>44.99</v>
      </c>
      <c r="J1386">
        <v>179.96</v>
      </c>
      <c r="K1386" t="s">
        <v>675</v>
      </c>
      <c r="L1386" t="s">
        <v>656</v>
      </c>
      <c r="M1386">
        <v>4</v>
      </c>
    </row>
    <row r="1387" spans="1:13" x14ac:dyDescent="0.25">
      <c r="A1387" t="s">
        <v>2773</v>
      </c>
      <c r="B1387" t="s">
        <v>548</v>
      </c>
      <c r="C1387" t="s">
        <v>241</v>
      </c>
      <c r="D1387" t="s">
        <v>680</v>
      </c>
      <c r="E1387" t="s">
        <v>749</v>
      </c>
      <c r="F1387">
        <v>14.99</v>
      </c>
      <c r="G1387">
        <v>2</v>
      </c>
      <c r="H1387">
        <v>15</v>
      </c>
      <c r="I1387">
        <v>12.74</v>
      </c>
      <c r="J1387">
        <v>25.48</v>
      </c>
      <c r="K1387" t="s">
        <v>669</v>
      </c>
      <c r="L1387" t="s">
        <v>656</v>
      </c>
    </row>
    <row r="1388" spans="1:13" x14ac:dyDescent="0.25">
      <c r="A1388" t="s">
        <v>2774</v>
      </c>
      <c r="B1388" t="s">
        <v>548</v>
      </c>
      <c r="C1388" t="s">
        <v>173</v>
      </c>
      <c r="D1388" t="s">
        <v>684</v>
      </c>
      <c r="E1388" t="s">
        <v>705</v>
      </c>
      <c r="F1388">
        <v>79.989999999999995</v>
      </c>
      <c r="G1388">
        <v>4</v>
      </c>
      <c r="H1388">
        <v>15</v>
      </c>
      <c r="I1388">
        <v>67.989999999999995</v>
      </c>
      <c r="J1388">
        <v>271.95999999999998</v>
      </c>
      <c r="K1388" t="s">
        <v>661</v>
      </c>
      <c r="L1388" t="s">
        <v>656</v>
      </c>
      <c r="M1388">
        <v>4</v>
      </c>
    </row>
    <row r="1389" spans="1:13" x14ac:dyDescent="0.25">
      <c r="A1389" t="s">
        <v>2775</v>
      </c>
      <c r="B1389" t="s">
        <v>551</v>
      </c>
      <c r="C1389" t="s">
        <v>2097</v>
      </c>
      <c r="D1389" t="s">
        <v>667</v>
      </c>
      <c r="E1389" t="s">
        <v>699</v>
      </c>
      <c r="F1389">
        <v>89.99</v>
      </c>
      <c r="G1389">
        <v>2</v>
      </c>
      <c r="H1389">
        <v>15</v>
      </c>
      <c r="I1389">
        <v>76.489999999999995</v>
      </c>
      <c r="J1389">
        <v>152.97999999999999</v>
      </c>
      <c r="K1389" t="s">
        <v>655</v>
      </c>
      <c r="L1389" t="s">
        <v>656</v>
      </c>
      <c r="M1389">
        <v>5</v>
      </c>
    </row>
    <row r="1390" spans="1:13" x14ac:dyDescent="0.25">
      <c r="A1390" t="s">
        <v>2776</v>
      </c>
      <c r="B1390" t="s">
        <v>551</v>
      </c>
      <c r="C1390" t="s">
        <v>1339</v>
      </c>
      <c r="D1390" t="s">
        <v>672</v>
      </c>
      <c r="E1390" t="s">
        <v>803</v>
      </c>
      <c r="F1390">
        <v>69.989999999999995</v>
      </c>
      <c r="G1390">
        <v>1</v>
      </c>
      <c r="H1390">
        <v>0</v>
      </c>
      <c r="I1390">
        <v>69.989999999999995</v>
      </c>
      <c r="J1390">
        <v>69.989999999999995</v>
      </c>
      <c r="K1390" t="s">
        <v>669</v>
      </c>
      <c r="L1390" t="s">
        <v>656</v>
      </c>
      <c r="M1390">
        <v>5</v>
      </c>
    </row>
    <row r="1391" spans="1:13" x14ac:dyDescent="0.25">
      <c r="A1391" t="s">
        <v>2777</v>
      </c>
      <c r="B1391" t="s">
        <v>551</v>
      </c>
      <c r="C1391" t="s">
        <v>2778</v>
      </c>
      <c r="D1391" t="s">
        <v>672</v>
      </c>
      <c r="E1391" t="s">
        <v>803</v>
      </c>
      <c r="F1391">
        <v>69.989999999999995</v>
      </c>
      <c r="G1391">
        <v>4</v>
      </c>
      <c r="H1391">
        <v>0</v>
      </c>
      <c r="I1391">
        <v>69.989999999999995</v>
      </c>
      <c r="J1391">
        <v>279.95999999999998</v>
      </c>
      <c r="K1391" t="s">
        <v>655</v>
      </c>
      <c r="L1391" t="s">
        <v>656</v>
      </c>
      <c r="M1391">
        <v>4</v>
      </c>
    </row>
    <row r="1392" spans="1:13" x14ac:dyDescent="0.25">
      <c r="A1392" t="s">
        <v>2779</v>
      </c>
      <c r="B1392" t="s">
        <v>551</v>
      </c>
      <c r="C1392" t="s">
        <v>1506</v>
      </c>
      <c r="D1392" t="s">
        <v>684</v>
      </c>
      <c r="E1392" t="s">
        <v>815</v>
      </c>
      <c r="F1392">
        <v>34.99</v>
      </c>
      <c r="G1392">
        <v>2</v>
      </c>
      <c r="H1392">
        <v>0</v>
      </c>
      <c r="I1392">
        <v>34.99</v>
      </c>
      <c r="J1392">
        <v>69.98</v>
      </c>
      <c r="K1392" t="s">
        <v>661</v>
      </c>
      <c r="L1392" t="s">
        <v>656</v>
      </c>
      <c r="M1392">
        <v>4</v>
      </c>
    </row>
    <row r="1393" spans="1:13" x14ac:dyDescent="0.25">
      <c r="A1393" t="s">
        <v>2780</v>
      </c>
      <c r="B1393" t="s">
        <v>551</v>
      </c>
      <c r="C1393" t="s">
        <v>1418</v>
      </c>
      <c r="D1393" t="s">
        <v>684</v>
      </c>
      <c r="E1393" t="s">
        <v>815</v>
      </c>
      <c r="F1393">
        <v>34.99</v>
      </c>
      <c r="G1393">
        <v>3</v>
      </c>
      <c r="H1393">
        <v>15</v>
      </c>
      <c r="I1393">
        <v>29.74</v>
      </c>
      <c r="J1393">
        <v>89.22</v>
      </c>
      <c r="K1393" t="s">
        <v>661</v>
      </c>
      <c r="L1393" t="s">
        <v>656</v>
      </c>
      <c r="M1393">
        <v>2</v>
      </c>
    </row>
    <row r="1394" spans="1:13" x14ac:dyDescent="0.25">
      <c r="A1394" t="s">
        <v>2781</v>
      </c>
      <c r="B1394" t="s">
        <v>551</v>
      </c>
      <c r="C1394" t="s">
        <v>1057</v>
      </c>
      <c r="D1394" t="s">
        <v>680</v>
      </c>
      <c r="E1394" t="s">
        <v>681</v>
      </c>
      <c r="F1394">
        <v>19.989999999999998</v>
      </c>
      <c r="G1394">
        <v>4</v>
      </c>
      <c r="H1394">
        <v>20</v>
      </c>
      <c r="I1394">
        <v>15.99</v>
      </c>
      <c r="J1394">
        <v>63.96</v>
      </c>
      <c r="K1394" t="s">
        <v>682</v>
      </c>
      <c r="L1394" t="s">
        <v>656</v>
      </c>
      <c r="M1394">
        <v>4</v>
      </c>
    </row>
    <row r="1395" spans="1:13" x14ac:dyDescent="0.25">
      <c r="A1395" t="s">
        <v>2782</v>
      </c>
      <c r="B1395" t="s">
        <v>551</v>
      </c>
      <c r="C1395" t="s">
        <v>968</v>
      </c>
      <c r="D1395" t="s">
        <v>659</v>
      </c>
      <c r="E1395" t="s">
        <v>664</v>
      </c>
      <c r="F1395">
        <v>24.99</v>
      </c>
      <c r="G1395">
        <v>4</v>
      </c>
      <c r="H1395">
        <v>15</v>
      </c>
      <c r="I1395">
        <v>21.24</v>
      </c>
      <c r="J1395">
        <v>84.96</v>
      </c>
      <c r="K1395" t="s">
        <v>655</v>
      </c>
      <c r="L1395" t="s">
        <v>788</v>
      </c>
      <c r="M1395">
        <v>5</v>
      </c>
    </row>
    <row r="1396" spans="1:13" x14ac:dyDescent="0.25">
      <c r="A1396" t="s">
        <v>2783</v>
      </c>
      <c r="B1396" t="s">
        <v>554</v>
      </c>
      <c r="C1396" t="s">
        <v>1642</v>
      </c>
      <c r="D1396" t="s">
        <v>667</v>
      </c>
      <c r="E1396" t="s">
        <v>699</v>
      </c>
      <c r="F1396">
        <v>89.99</v>
      </c>
      <c r="G1396">
        <v>1</v>
      </c>
      <c r="H1396">
        <v>5</v>
      </c>
      <c r="I1396">
        <v>85.49</v>
      </c>
      <c r="J1396">
        <v>85.49</v>
      </c>
      <c r="K1396" t="s">
        <v>675</v>
      </c>
      <c r="L1396" t="s">
        <v>656</v>
      </c>
      <c r="M1396">
        <v>3</v>
      </c>
    </row>
    <row r="1397" spans="1:13" x14ac:dyDescent="0.25">
      <c r="A1397" t="s">
        <v>2784</v>
      </c>
      <c r="B1397" t="s">
        <v>554</v>
      </c>
      <c r="C1397" t="s">
        <v>1050</v>
      </c>
      <c r="D1397" t="s">
        <v>667</v>
      </c>
      <c r="E1397" t="s">
        <v>714</v>
      </c>
      <c r="F1397">
        <v>44.99</v>
      </c>
      <c r="G1397">
        <v>4</v>
      </c>
      <c r="H1397">
        <v>15</v>
      </c>
      <c r="I1397">
        <v>38.24</v>
      </c>
      <c r="J1397">
        <v>152.96</v>
      </c>
      <c r="K1397" t="s">
        <v>682</v>
      </c>
      <c r="L1397" t="s">
        <v>656</v>
      </c>
      <c r="M1397">
        <v>3</v>
      </c>
    </row>
    <row r="1398" spans="1:13" x14ac:dyDescent="0.25">
      <c r="A1398" t="s">
        <v>2785</v>
      </c>
      <c r="B1398" t="s">
        <v>554</v>
      </c>
      <c r="C1398" t="s">
        <v>1082</v>
      </c>
      <c r="D1398" t="s">
        <v>653</v>
      </c>
      <c r="E1398" t="s">
        <v>827</v>
      </c>
      <c r="F1398">
        <v>29.99</v>
      </c>
      <c r="G1398">
        <v>4</v>
      </c>
      <c r="H1398">
        <v>5</v>
      </c>
      <c r="I1398">
        <v>28.49</v>
      </c>
      <c r="J1398">
        <v>113.96</v>
      </c>
      <c r="K1398" t="s">
        <v>675</v>
      </c>
      <c r="L1398" t="s">
        <v>656</v>
      </c>
      <c r="M1398">
        <v>4</v>
      </c>
    </row>
    <row r="1399" spans="1:13" x14ac:dyDescent="0.25">
      <c r="A1399" t="s">
        <v>2786</v>
      </c>
      <c r="B1399" t="s">
        <v>554</v>
      </c>
      <c r="C1399" t="s">
        <v>2787</v>
      </c>
      <c r="D1399" t="s">
        <v>653</v>
      </c>
      <c r="E1399" t="s">
        <v>827</v>
      </c>
      <c r="F1399">
        <v>29.99</v>
      </c>
      <c r="G1399">
        <v>4</v>
      </c>
      <c r="H1399">
        <v>0</v>
      </c>
      <c r="I1399">
        <v>29.99</v>
      </c>
      <c r="J1399">
        <v>119.96</v>
      </c>
      <c r="K1399" t="s">
        <v>655</v>
      </c>
      <c r="L1399" t="s">
        <v>788</v>
      </c>
      <c r="M1399">
        <v>3</v>
      </c>
    </row>
    <row r="1400" spans="1:13" x14ac:dyDescent="0.25">
      <c r="A1400" t="s">
        <v>2788</v>
      </c>
      <c r="B1400" t="s">
        <v>554</v>
      </c>
      <c r="C1400" t="s">
        <v>989</v>
      </c>
      <c r="D1400" t="s">
        <v>684</v>
      </c>
      <c r="E1400" t="s">
        <v>685</v>
      </c>
      <c r="F1400">
        <v>49.99</v>
      </c>
      <c r="G1400">
        <v>3</v>
      </c>
      <c r="H1400">
        <v>5</v>
      </c>
      <c r="I1400">
        <v>47.49</v>
      </c>
      <c r="J1400">
        <v>142.47</v>
      </c>
      <c r="K1400" t="s">
        <v>661</v>
      </c>
      <c r="L1400" t="s">
        <v>656</v>
      </c>
    </row>
    <row r="1401" spans="1:13" x14ac:dyDescent="0.25">
      <c r="A1401" t="s">
        <v>2789</v>
      </c>
      <c r="B1401" t="s">
        <v>554</v>
      </c>
      <c r="C1401" t="s">
        <v>1492</v>
      </c>
      <c r="D1401" t="s">
        <v>684</v>
      </c>
      <c r="E1401" t="s">
        <v>702</v>
      </c>
      <c r="F1401">
        <v>199.99</v>
      </c>
      <c r="G1401">
        <v>3</v>
      </c>
      <c r="H1401">
        <v>0</v>
      </c>
      <c r="I1401">
        <v>199.99</v>
      </c>
      <c r="J1401">
        <v>599.97</v>
      </c>
      <c r="K1401" t="s">
        <v>682</v>
      </c>
      <c r="L1401" t="s">
        <v>656</v>
      </c>
      <c r="M1401">
        <v>1</v>
      </c>
    </row>
    <row r="1402" spans="1:13" x14ac:dyDescent="0.25">
      <c r="A1402" t="s">
        <v>2790</v>
      </c>
      <c r="B1402" t="s">
        <v>554</v>
      </c>
      <c r="C1402" t="s">
        <v>2791</v>
      </c>
      <c r="D1402" t="s">
        <v>672</v>
      </c>
      <c r="E1402" t="s">
        <v>803</v>
      </c>
      <c r="F1402">
        <v>69.989999999999995</v>
      </c>
      <c r="G1402">
        <v>1</v>
      </c>
      <c r="H1402">
        <v>15</v>
      </c>
      <c r="I1402">
        <v>59.49</v>
      </c>
      <c r="J1402">
        <v>59.49</v>
      </c>
      <c r="K1402" t="s">
        <v>682</v>
      </c>
      <c r="L1402" t="s">
        <v>656</v>
      </c>
      <c r="M1402">
        <v>5</v>
      </c>
    </row>
    <row r="1403" spans="1:13" x14ac:dyDescent="0.25">
      <c r="A1403" t="s">
        <v>2792</v>
      </c>
      <c r="B1403" t="s">
        <v>554</v>
      </c>
      <c r="C1403" t="s">
        <v>2793</v>
      </c>
      <c r="D1403" t="s">
        <v>672</v>
      </c>
      <c r="E1403" t="s">
        <v>673</v>
      </c>
      <c r="F1403">
        <v>24.99</v>
      </c>
      <c r="G1403">
        <v>4</v>
      </c>
      <c r="H1403">
        <v>0</v>
      </c>
      <c r="I1403">
        <v>24.99</v>
      </c>
      <c r="J1403">
        <v>99.96</v>
      </c>
      <c r="K1403" t="s">
        <v>661</v>
      </c>
      <c r="L1403" t="s">
        <v>656</v>
      </c>
      <c r="M1403">
        <v>3</v>
      </c>
    </row>
    <row r="1404" spans="1:13" x14ac:dyDescent="0.25">
      <c r="A1404" t="s">
        <v>2794</v>
      </c>
      <c r="B1404" t="s">
        <v>554</v>
      </c>
      <c r="C1404" t="s">
        <v>2226</v>
      </c>
      <c r="D1404" t="s">
        <v>667</v>
      </c>
      <c r="E1404" t="s">
        <v>699</v>
      </c>
      <c r="F1404">
        <v>89.99</v>
      </c>
      <c r="G1404">
        <v>3</v>
      </c>
      <c r="H1404">
        <v>0</v>
      </c>
      <c r="I1404">
        <v>89.99</v>
      </c>
      <c r="J1404">
        <v>269.97000000000003</v>
      </c>
      <c r="K1404" t="s">
        <v>669</v>
      </c>
      <c r="L1404" t="s">
        <v>656</v>
      </c>
      <c r="M1404">
        <v>4</v>
      </c>
    </row>
    <row r="1405" spans="1:13" x14ac:dyDescent="0.25">
      <c r="A1405" t="s">
        <v>2795</v>
      </c>
      <c r="B1405" t="s">
        <v>554</v>
      </c>
      <c r="C1405" t="s">
        <v>2436</v>
      </c>
      <c r="D1405" t="s">
        <v>659</v>
      </c>
      <c r="E1405" t="s">
        <v>664</v>
      </c>
      <c r="F1405">
        <v>24.99</v>
      </c>
      <c r="G1405">
        <v>1</v>
      </c>
      <c r="H1405">
        <v>0</v>
      </c>
      <c r="I1405">
        <v>24.99</v>
      </c>
      <c r="J1405">
        <v>24.99</v>
      </c>
      <c r="K1405" t="s">
        <v>682</v>
      </c>
      <c r="L1405" t="s">
        <v>785</v>
      </c>
      <c r="M1405">
        <v>5</v>
      </c>
    </row>
    <row r="1406" spans="1:13" x14ac:dyDescent="0.25">
      <c r="A1406" t="s">
        <v>2796</v>
      </c>
      <c r="B1406" t="s">
        <v>554</v>
      </c>
      <c r="C1406" t="s">
        <v>2797</v>
      </c>
      <c r="D1406" t="s">
        <v>684</v>
      </c>
      <c r="E1406" t="s">
        <v>815</v>
      </c>
      <c r="F1406">
        <v>34.99</v>
      </c>
      <c r="G1406">
        <v>1</v>
      </c>
      <c r="H1406">
        <v>5</v>
      </c>
      <c r="I1406">
        <v>33.24</v>
      </c>
      <c r="J1406">
        <v>33.24</v>
      </c>
      <c r="K1406" t="s">
        <v>661</v>
      </c>
      <c r="L1406" t="s">
        <v>656</v>
      </c>
      <c r="M1406">
        <v>3</v>
      </c>
    </row>
    <row r="1407" spans="1:13" x14ac:dyDescent="0.25">
      <c r="A1407" t="s">
        <v>2798</v>
      </c>
      <c r="B1407" t="s">
        <v>554</v>
      </c>
      <c r="C1407" t="s">
        <v>2702</v>
      </c>
      <c r="D1407" t="s">
        <v>684</v>
      </c>
      <c r="E1407" t="s">
        <v>815</v>
      </c>
      <c r="F1407">
        <v>34.99</v>
      </c>
      <c r="G1407">
        <v>3</v>
      </c>
      <c r="H1407">
        <v>0</v>
      </c>
      <c r="I1407">
        <v>34.99</v>
      </c>
      <c r="J1407">
        <v>104.97</v>
      </c>
      <c r="K1407" t="s">
        <v>675</v>
      </c>
      <c r="L1407" t="s">
        <v>739</v>
      </c>
    </row>
    <row r="1408" spans="1:13" x14ac:dyDescent="0.25">
      <c r="A1408" t="s">
        <v>2799</v>
      </c>
      <c r="B1408" t="s">
        <v>554</v>
      </c>
      <c r="C1408" t="s">
        <v>1769</v>
      </c>
      <c r="D1408" t="s">
        <v>710</v>
      </c>
      <c r="E1408" t="s">
        <v>711</v>
      </c>
      <c r="F1408">
        <v>14.99</v>
      </c>
      <c r="G1408">
        <v>1</v>
      </c>
      <c r="H1408">
        <v>15</v>
      </c>
      <c r="I1408">
        <v>12.74</v>
      </c>
      <c r="J1408">
        <v>12.74</v>
      </c>
      <c r="K1408" t="s">
        <v>675</v>
      </c>
      <c r="L1408" t="s">
        <v>656</v>
      </c>
      <c r="M1408">
        <v>4</v>
      </c>
    </row>
    <row r="1409" spans="1:13" x14ac:dyDescent="0.25">
      <c r="A1409" t="s">
        <v>2800</v>
      </c>
      <c r="B1409" t="s">
        <v>557</v>
      </c>
      <c r="C1409" t="s">
        <v>1005</v>
      </c>
      <c r="D1409" t="s">
        <v>659</v>
      </c>
      <c r="E1409" t="s">
        <v>664</v>
      </c>
      <c r="F1409">
        <v>24.99</v>
      </c>
      <c r="G1409">
        <v>1</v>
      </c>
      <c r="H1409">
        <v>10</v>
      </c>
      <c r="I1409">
        <v>22.49</v>
      </c>
      <c r="J1409">
        <v>22.49</v>
      </c>
      <c r="K1409" t="s">
        <v>675</v>
      </c>
      <c r="L1409" t="s">
        <v>656</v>
      </c>
      <c r="M1409">
        <v>5</v>
      </c>
    </row>
    <row r="1410" spans="1:13" x14ac:dyDescent="0.25">
      <c r="A1410" t="s">
        <v>2801</v>
      </c>
      <c r="B1410" t="s">
        <v>560</v>
      </c>
      <c r="C1410" t="s">
        <v>2650</v>
      </c>
      <c r="D1410" t="s">
        <v>680</v>
      </c>
      <c r="E1410" t="s">
        <v>688</v>
      </c>
      <c r="F1410">
        <v>29.99</v>
      </c>
      <c r="G1410">
        <v>1</v>
      </c>
      <c r="H1410">
        <v>20</v>
      </c>
      <c r="I1410">
        <v>23.99</v>
      </c>
      <c r="J1410">
        <v>23.99</v>
      </c>
      <c r="K1410" t="s">
        <v>661</v>
      </c>
      <c r="L1410" t="s">
        <v>656</v>
      </c>
      <c r="M1410">
        <v>2</v>
      </c>
    </row>
    <row r="1411" spans="1:13" x14ac:dyDescent="0.25">
      <c r="A1411" t="s">
        <v>2802</v>
      </c>
      <c r="B1411" t="s">
        <v>560</v>
      </c>
      <c r="C1411" t="s">
        <v>2803</v>
      </c>
      <c r="D1411" t="s">
        <v>710</v>
      </c>
      <c r="E1411" t="s">
        <v>744</v>
      </c>
      <c r="F1411">
        <v>29.99</v>
      </c>
      <c r="G1411">
        <v>2</v>
      </c>
      <c r="H1411">
        <v>15</v>
      </c>
      <c r="I1411">
        <v>25.49</v>
      </c>
      <c r="J1411">
        <v>50.98</v>
      </c>
      <c r="K1411" t="s">
        <v>675</v>
      </c>
      <c r="L1411" t="s">
        <v>656</v>
      </c>
      <c r="M1411">
        <v>4</v>
      </c>
    </row>
    <row r="1412" spans="1:13" x14ac:dyDescent="0.25">
      <c r="A1412" t="s">
        <v>2804</v>
      </c>
      <c r="B1412" t="s">
        <v>560</v>
      </c>
      <c r="C1412" t="s">
        <v>2805</v>
      </c>
      <c r="D1412" t="s">
        <v>667</v>
      </c>
      <c r="E1412" t="s">
        <v>714</v>
      </c>
      <c r="F1412">
        <v>44.99</v>
      </c>
      <c r="G1412">
        <v>1</v>
      </c>
      <c r="H1412">
        <v>15</v>
      </c>
      <c r="I1412">
        <v>38.24</v>
      </c>
      <c r="J1412">
        <v>38.24</v>
      </c>
      <c r="K1412" t="s">
        <v>669</v>
      </c>
      <c r="L1412" t="s">
        <v>656</v>
      </c>
      <c r="M1412">
        <v>4</v>
      </c>
    </row>
    <row r="1413" spans="1:13" x14ac:dyDescent="0.25">
      <c r="A1413" t="s">
        <v>2806</v>
      </c>
      <c r="B1413" t="s">
        <v>560</v>
      </c>
      <c r="C1413" t="s">
        <v>244</v>
      </c>
      <c r="D1413" t="s">
        <v>710</v>
      </c>
      <c r="E1413" t="s">
        <v>744</v>
      </c>
      <c r="F1413">
        <v>29.99</v>
      </c>
      <c r="G1413">
        <v>3</v>
      </c>
      <c r="H1413">
        <v>0</v>
      </c>
      <c r="I1413">
        <v>29.99</v>
      </c>
      <c r="J1413">
        <v>89.97</v>
      </c>
      <c r="K1413" t="s">
        <v>675</v>
      </c>
      <c r="L1413" t="s">
        <v>656</v>
      </c>
      <c r="M1413">
        <v>3</v>
      </c>
    </row>
    <row r="1414" spans="1:13" x14ac:dyDescent="0.25">
      <c r="A1414" t="s">
        <v>2807</v>
      </c>
      <c r="B1414" t="s">
        <v>560</v>
      </c>
      <c r="C1414" t="s">
        <v>2420</v>
      </c>
      <c r="D1414" t="s">
        <v>680</v>
      </c>
      <c r="E1414" t="s">
        <v>688</v>
      </c>
      <c r="F1414">
        <v>29.99</v>
      </c>
      <c r="G1414">
        <v>2</v>
      </c>
      <c r="H1414">
        <v>5</v>
      </c>
      <c r="I1414">
        <v>28.49</v>
      </c>
      <c r="J1414">
        <v>56.98</v>
      </c>
      <c r="K1414" t="s">
        <v>675</v>
      </c>
      <c r="L1414" t="s">
        <v>656</v>
      </c>
      <c r="M1414">
        <v>4</v>
      </c>
    </row>
    <row r="1415" spans="1:13" x14ac:dyDescent="0.25">
      <c r="A1415" t="s">
        <v>2808</v>
      </c>
      <c r="B1415" t="s">
        <v>560</v>
      </c>
      <c r="C1415" t="s">
        <v>1720</v>
      </c>
      <c r="D1415" t="s">
        <v>710</v>
      </c>
      <c r="E1415" t="s">
        <v>721</v>
      </c>
      <c r="F1415">
        <v>24.99</v>
      </c>
      <c r="G1415">
        <v>2</v>
      </c>
      <c r="H1415">
        <v>15</v>
      </c>
      <c r="I1415">
        <v>21.24</v>
      </c>
      <c r="J1415">
        <v>42.48</v>
      </c>
      <c r="K1415" t="s">
        <v>669</v>
      </c>
      <c r="L1415" t="s">
        <v>656</v>
      </c>
    </row>
    <row r="1416" spans="1:13" x14ac:dyDescent="0.25">
      <c r="A1416" t="s">
        <v>2809</v>
      </c>
      <c r="B1416" t="s">
        <v>560</v>
      </c>
      <c r="C1416" t="s">
        <v>1054</v>
      </c>
      <c r="D1416" t="s">
        <v>684</v>
      </c>
      <c r="E1416" t="s">
        <v>685</v>
      </c>
      <c r="F1416">
        <v>49.99</v>
      </c>
      <c r="G1416">
        <v>4</v>
      </c>
      <c r="H1416">
        <v>0</v>
      </c>
      <c r="I1416">
        <v>49.99</v>
      </c>
      <c r="J1416">
        <v>199.96</v>
      </c>
      <c r="K1416" t="s">
        <v>669</v>
      </c>
      <c r="L1416" t="s">
        <v>656</v>
      </c>
    </row>
    <row r="1417" spans="1:13" x14ac:dyDescent="0.25">
      <c r="A1417" t="s">
        <v>2810</v>
      </c>
      <c r="B1417" t="s">
        <v>560</v>
      </c>
      <c r="C1417" t="s">
        <v>2811</v>
      </c>
      <c r="D1417" t="s">
        <v>672</v>
      </c>
      <c r="E1417" t="s">
        <v>803</v>
      </c>
      <c r="F1417">
        <v>69.989999999999995</v>
      </c>
      <c r="G1417">
        <v>1</v>
      </c>
      <c r="H1417">
        <v>5</v>
      </c>
      <c r="I1417">
        <v>66.489999999999995</v>
      </c>
      <c r="J1417">
        <v>66.489999999999995</v>
      </c>
      <c r="K1417" t="s">
        <v>675</v>
      </c>
      <c r="L1417" t="s">
        <v>656</v>
      </c>
    </row>
    <row r="1418" spans="1:13" x14ac:dyDescent="0.25">
      <c r="A1418" t="s">
        <v>2812</v>
      </c>
      <c r="B1418" t="s">
        <v>560</v>
      </c>
      <c r="C1418" t="s">
        <v>580</v>
      </c>
      <c r="D1418" t="s">
        <v>684</v>
      </c>
      <c r="E1418" t="s">
        <v>702</v>
      </c>
      <c r="F1418">
        <v>199.99</v>
      </c>
      <c r="G1418">
        <v>4</v>
      </c>
      <c r="H1418">
        <v>0</v>
      </c>
      <c r="I1418">
        <v>199.99</v>
      </c>
      <c r="J1418">
        <v>799.96</v>
      </c>
      <c r="K1418" t="s">
        <v>669</v>
      </c>
      <c r="L1418" t="s">
        <v>656</v>
      </c>
    </row>
    <row r="1419" spans="1:13" x14ac:dyDescent="0.25">
      <c r="A1419" t="s">
        <v>2813</v>
      </c>
      <c r="B1419" t="s">
        <v>563</v>
      </c>
      <c r="C1419" t="s">
        <v>1983</v>
      </c>
      <c r="D1419" t="s">
        <v>710</v>
      </c>
      <c r="E1419" t="s">
        <v>711</v>
      </c>
      <c r="F1419">
        <v>14.99</v>
      </c>
      <c r="G1419">
        <v>3</v>
      </c>
      <c r="H1419">
        <v>5</v>
      </c>
      <c r="I1419">
        <v>14.24</v>
      </c>
      <c r="J1419">
        <v>42.72</v>
      </c>
      <c r="K1419" t="s">
        <v>655</v>
      </c>
      <c r="L1419" t="s">
        <v>656</v>
      </c>
      <c r="M1419">
        <v>5</v>
      </c>
    </row>
    <row r="1420" spans="1:13" x14ac:dyDescent="0.25">
      <c r="A1420" t="s">
        <v>2814</v>
      </c>
      <c r="B1420" t="s">
        <v>563</v>
      </c>
      <c r="C1420" t="s">
        <v>1961</v>
      </c>
      <c r="D1420" t="s">
        <v>659</v>
      </c>
      <c r="E1420" t="s">
        <v>660</v>
      </c>
      <c r="F1420">
        <v>19.989999999999998</v>
      </c>
      <c r="G1420">
        <v>1</v>
      </c>
      <c r="H1420">
        <v>20</v>
      </c>
      <c r="I1420">
        <v>15.99</v>
      </c>
      <c r="J1420">
        <v>15.99</v>
      </c>
      <c r="K1420" t="s">
        <v>655</v>
      </c>
      <c r="L1420" t="s">
        <v>656</v>
      </c>
    </row>
    <row r="1421" spans="1:13" x14ac:dyDescent="0.25">
      <c r="A1421" t="s">
        <v>2815</v>
      </c>
      <c r="B1421" t="s">
        <v>563</v>
      </c>
      <c r="C1421" t="s">
        <v>2372</v>
      </c>
      <c r="D1421" t="s">
        <v>710</v>
      </c>
      <c r="E1421" t="s">
        <v>744</v>
      </c>
      <c r="F1421">
        <v>29.99</v>
      </c>
      <c r="G1421">
        <v>3</v>
      </c>
      <c r="H1421">
        <v>0</v>
      </c>
      <c r="I1421">
        <v>29.99</v>
      </c>
      <c r="J1421">
        <v>89.97</v>
      </c>
      <c r="K1421" t="s">
        <v>675</v>
      </c>
      <c r="L1421" t="s">
        <v>788</v>
      </c>
      <c r="M1421">
        <v>4</v>
      </c>
    </row>
    <row r="1422" spans="1:13" x14ac:dyDescent="0.25">
      <c r="A1422" t="s">
        <v>2816</v>
      </c>
      <c r="B1422" t="s">
        <v>563</v>
      </c>
      <c r="C1422" t="s">
        <v>448</v>
      </c>
      <c r="D1422" t="s">
        <v>672</v>
      </c>
      <c r="E1422" t="s">
        <v>735</v>
      </c>
      <c r="F1422">
        <v>44.99</v>
      </c>
      <c r="G1422">
        <v>3</v>
      </c>
      <c r="H1422">
        <v>0</v>
      </c>
      <c r="I1422">
        <v>44.99</v>
      </c>
      <c r="J1422">
        <v>134.97</v>
      </c>
      <c r="K1422" t="s">
        <v>661</v>
      </c>
      <c r="L1422" t="s">
        <v>656</v>
      </c>
      <c r="M1422">
        <v>5</v>
      </c>
    </row>
    <row r="1423" spans="1:13" x14ac:dyDescent="0.25">
      <c r="A1423" t="s">
        <v>2817</v>
      </c>
      <c r="B1423" t="s">
        <v>563</v>
      </c>
      <c r="C1423" t="s">
        <v>790</v>
      </c>
      <c r="D1423" t="s">
        <v>653</v>
      </c>
      <c r="E1423" t="s">
        <v>727</v>
      </c>
      <c r="F1423">
        <v>14.99</v>
      </c>
      <c r="G1423">
        <v>1</v>
      </c>
      <c r="H1423">
        <v>0</v>
      </c>
      <c r="I1423">
        <v>14.99</v>
      </c>
      <c r="J1423">
        <v>14.99</v>
      </c>
      <c r="K1423" t="s">
        <v>655</v>
      </c>
      <c r="L1423" t="s">
        <v>656</v>
      </c>
      <c r="M1423">
        <v>3</v>
      </c>
    </row>
    <row r="1424" spans="1:13" x14ac:dyDescent="0.25">
      <c r="A1424" t="s">
        <v>2818</v>
      </c>
      <c r="B1424" t="s">
        <v>563</v>
      </c>
      <c r="C1424" t="s">
        <v>2065</v>
      </c>
      <c r="D1424" t="s">
        <v>684</v>
      </c>
      <c r="E1424" t="s">
        <v>685</v>
      </c>
      <c r="F1424">
        <v>49.99</v>
      </c>
      <c r="G1424">
        <v>1</v>
      </c>
      <c r="H1424">
        <v>15</v>
      </c>
      <c r="I1424">
        <v>42.49</v>
      </c>
      <c r="J1424">
        <v>42.49</v>
      </c>
      <c r="K1424" t="s">
        <v>655</v>
      </c>
      <c r="L1424" t="s">
        <v>656</v>
      </c>
    </row>
    <row r="1425" spans="1:13" x14ac:dyDescent="0.25">
      <c r="A1425" t="s">
        <v>2819</v>
      </c>
      <c r="B1425" t="s">
        <v>566</v>
      </c>
      <c r="C1425" t="s">
        <v>2820</v>
      </c>
      <c r="D1425" t="s">
        <v>672</v>
      </c>
      <c r="E1425" t="s">
        <v>735</v>
      </c>
      <c r="F1425">
        <v>44.99</v>
      </c>
      <c r="G1425">
        <v>4</v>
      </c>
      <c r="H1425">
        <v>15</v>
      </c>
      <c r="I1425">
        <v>38.24</v>
      </c>
      <c r="J1425">
        <v>152.96</v>
      </c>
      <c r="K1425" t="s">
        <v>661</v>
      </c>
      <c r="L1425" t="s">
        <v>656</v>
      </c>
      <c r="M1425">
        <v>5</v>
      </c>
    </row>
    <row r="1426" spans="1:13" x14ac:dyDescent="0.25">
      <c r="A1426" t="s">
        <v>2821</v>
      </c>
      <c r="B1426" t="s">
        <v>566</v>
      </c>
      <c r="C1426" t="s">
        <v>2398</v>
      </c>
      <c r="D1426" t="s">
        <v>667</v>
      </c>
      <c r="E1426" t="s">
        <v>699</v>
      </c>
      <c r="F1426">
        <v>89.99</v>
      </c>
      <c r="G1426">
        <v>4</v>
      </c>
      <c r="H1426">
        <v>0</v>
      </c>
      <c r="I1426">
        <v>89.99</v>
      </c>
      <c r="J1426">
        <v>359.96</v>
      </c>
      <c r="K1426" t="s">
        <v>682</v>
      </c>
      <c r="L1426" t="s">
        <v>656</v>
      </c>
      <c r="M1426">
        <v>4</v>
      </c>
    </row>
    <row r="1427" spans="1:13" x14ac:dyDescent="0.25">
      <c r="A1427" t="s">
        <v>2822</v>
      </c>
      <c r="B1427" t="s">
        <v>566</v>
      </c>
      <c r="C1427" t="s">
        <v>2823</v>
      </c>
      <c r="D1427" t="s">
        <v>659</v>
      </c>
      <c r="E1427" t="s">
        <v>762</v>
      </c>
      <c r="F1427">
        <v>49.99</v>
      </c>
      <c r="G1427">
        <v>1</v>
      </c>
      <c r="H1427">
        <v>0</v>
      </c>
      <c r="I1427">
        <v>49.99</v>
      </c>
      <c r="J1427">
        <v>49.99</v>
      </c>
      <c r="K1427" t="s">
        <v>669</v>
      </c>
      <c r="L1427" t="s">
        <v>656</v>
      </c>
      <c r="M1427">
        <v>5</v>
      </c>
    </row>
    <row r="1428" spans="1:13" x14ac:dyDescent="0.25">
      <c r="A1428" t="s">
        <v>2824</v>
      </c>
      <c r="B1428" t="s">
        <v>566</v>
      </c>
      <c r="C1428" t="s">
        <v>677</v>
      </c>
      <c r="D1428" t="s">
        <v>684</v>
      </c>
      <c r="E1428" t="s">
        <v>685</v>
      </c>
      <c r="F1428">
        <v>49.99</v>
      </c>
      <c r="G1428">
        <v>2</v>
      </c>
      <c r="H1428">
        <v>0</v>
      </c>
      <c r="I1428">
        <v>49.99</v>
      </c>
      <c r="J1428">
        <v>99.98</v>
      </c>
      <c r="K1428" t="s">
        <v>675</v>
      </c>
      <c r="L1428" t="s">
        <v>656</v>
      </c>
      <c r="M1428">
        <v>4</v>
      </c>
    </row>
    <row r="1429" spans="1:13" x14ac:dyDescent="0.25">
      <c r="A1429" t="s">
        <v>2825</v>
      </c>
      <c r="B1429" t="s">
        <v>566</v>
      </c>
      <c r="C1429" t="s">
        <v>960</v>
      </c>
      <c r="D1429" t="s">
        <v>653</v>
      </c>
      <c r="E1429" t="s">
        <v>827</v>
      </c>
      <c r="F1429">
        <v>29.99</v>
      </c>
      <c r="G1429">
        <v>1</v>
      </c>
      <c r="H1429">
        <v>20</v>
      </c>
      <c r="I1429">
        <v>23.99</v>
      </c>
      <c r="J1429">
        <v>23.99</v>
      </c>
      <c r="K1429" t="s">
        <v>682</v>
      </c>
      <c r="L1429" t="s">
        <v>656</v>
      </c>
      <c r="M1429">
        <v>5</v>
      </c>
    </row>
    <row r="1430" spans="1:13" x14ac:dyDescent="0.25">
      <c r="A1430" t="s">
        <v>2826</v>
      </c>
      <c r="B1430" t="s">
        <v>566</v>
      </c>
      <c r="C1430" t="s">
        <v>1678</v>
      </c>
      <c r="D1430" t="s">
        <v>672</v>
      </c>
      <c r="E1430" t="s">
        <v>803</v>
      </c>
      <c r="F1430">
        <v>69.989999999999995</v>
      </c>
      <c r="G1430">
        <v>2</v>
      </c>
      <c r="H1430">
        <v>15</v>
      </c>
      <c r="I1430">
        <v>59.49</v>
      </c>
      <c r="J1430">
        <v>118.98</v>
      </c>
      <c r="K1430" t="s">
        <v>655</v>
      </c>
      <c r="L1430" t="s">
        <v>656</v>
      </c>
      <c r="M1430">
        <v>3</v>
      </c>
    </row>
    <row r="1431" spans="1:13" x14ac:dyDescent="0.25">
      <c r="A1431" t="s">
        <v>2827</v>
      </c>
      <c r="B1431" t="s">
        <v>566</v>
      </c>
      <c r="C1431" t="s">
        <v>1678</v>
      </c>
      <c r="D1431" t="s">
        <v>667</v>
      </c>
      <c r="E1431" t="s">
        <v>714</v>
      </c>
      <c r="F1431">
        <v>44.99</v>
      </c>
      <c r="G1431">
        <v>3</v>
      </c>
      <c r="H1431">
        <v>20</v>
      </c>
      <c r="I1431">
        <v>35.99</v>
      </c>
      <c r="J1431">
        <v>107.97</v>
      </c>
      <c r="K1431" t="s">
        <v>661</v>
      </c>
      <c r="L1431" t="s">
        <v>656</v>
      </c>
      <c r="M1431">
        <v>5</v>
      </c>
    </row>
    <row r="1432" spans="1:13" x14ac:dyDescent="0.25">
      <c r="A1432" t="s">
        <v>2828</v>
      </c>
      <c r="B1432" t="s">
        <v>566</v>
      </c>
      <c r="C1432" t="s">
        <v>1445</v>
      </c>
      <c r="D1432" t="s">
        <v>659</v>
      </c>
      <c r="E1432" t="s">
        <v>762</v>
      </c>
      <c r="F1432">
        <v>49.99</v>
      </c>
      <c r="G1432">
        <v>4</v>
      </c>
      <c r="H1432">
        <v>10</v>
      </c>
      <c r="I1432">
        <v>44.99</v>
      </c>
      <c r="J1432">
        <v>179.96</v>
      </c>
      <c r="K1432" t="s">
        <v>655</v>
      </c>
      <c r="L1432" t="s">
        <v>656</v>
      </c>
      <c r="M1432">
        <v>5</v>
      </c>
    </row>
    <row r="1433" spans="1:13" x14ac:dyDescent="0.25">
      <c r="A1433" t="s">
        <v>2829</v>
      </c>
      <c r="B1433" t="s">
        <v>566</v>
      </c>
      <c r="C1433" t="s">
        <v>1846</v>
      </c>
      <c r="D1433" t="s">
        <v>684</v>
      </c>
      <c r="E1433" t="s">
        <v>815</v>
      </c>
      <c r="F1433">
        <v>34.99</v>
      </c>
      <c r="G1433">
        <v>4</v>
      </c>
      <c r="H1433">
        <v>15</v>
      </c>
      <c r="I1433">
        <v>29.74</v>
      </c>
      <c r="J1433">
        <v>118.96</v>
      </c>
      <c r="K1433" t="s">
        <v>661</v>
      </c>
      <c r="L1433" t="s">
        <v>788</v>
      </c>
      <c r="M1433">
        <v>3</v>
      </c>
    </row>
    <row r="1434" spans="1:13" x14ac:dyDescent="0.25">
      <c r="A1434" t="s">
        <v>2830</v>
      </c>
      <c r="B1434" t="s">
        <v>566</v>
      </c>
      <c r="C1434" t="s">
        <v>389</v>
      </c>
      <c r="D1434" t="s">
        <v>710</v>
      </c>
      <c r="E1434" t="s">
        <v>744</v>
      </c>
      <c r="F1434">
        <v>29.99</v>
      </c>
      <c r="G1434">
        <v>3</v>
      </c>
      <c r="H1434">
        <v>0</v>
      </c>
      <c r="I1434">
        <v>29.99</v>
      </c>
      <c r="J1434">
        <v>89.97</v>
      </c>
      <c r="K1434" t="s">
        <v>682</v>
      </c>
      <c r="L1434" t="s">
        <v>656</v>
      </c>
    </row>
    <row r="1435" spans="1:13" x14ac:dyDescent="0.25">
      <c r="A1435" t="s">
        <v>2831</v>
      </c>
      <c r="B1435" t="s">
        <v>566</v>
      </c>
      <c r="C1435" t="s">
        <v>1337</v>
      </c>
      <c r="D1435" t="s">
        <v>672</v>
      </c>
      <c r="E1435" t="s">
        <v>735</v>
      </c>
      <c r="F1435">
        <v>44.99</v>
      </c>
      <c r="G1435">
        <v>2</v>
      </c>
      <c r="H1435">
        <v>10</v>
      </c>
      <c r="I1435">
        <v>40.49</v>
      </c>
      <c r="J1435">
        <v>80.98</v>
      </c>
      <c r="K1435" t="s">
        <v>675</v>
      </c>
      <c r="L1435" t="s">
        <v>656</v>
      </c>
      <c r="M1435">
        <v>5</v>
      </c>
    </row>
    <row r="1436" spans="1:13" x14ac:dyDescent="0.25">
      <c r="A1436" t="s">
        <v>2832</v>
      </c>
      <c r="B1436" t="s">
        <v>566</v>
      </c>
      <c r="C1436" t="s">
        <v>2833</v>
      </c>
      <c r="D1436" t="s">
        <v>672</v>
      </c>
      <c r="E1436" t="s">
        <v>673</v>
      </c>
      <c r="F1436">
        <v>24.99</v>
      </c>
      <c r="G1436">
        <v>4</v>
      </c>
      <c r="H1436">
        <v>0</v>
      </c>
      <c r="I1436">
        <v>24.99</v>
      </c>
      <c r="J1436">
        <v>99.96</v>
      </c>
      <c r="K1436" t="s">
        <v>669</v>
      </c>
      <c r="L1436" t="s">
        <v>656</v>
      </c>
      <c r="M1436">
        <v>4</v>
      </c>
    </row>
    <row r="1437" spans="1:13" x14ac:dyDescent="0.25">
      <c r="A1437" t="s">
        <v>2834</v>
      </c>
      <c r="B1437" t="s">
        <v>566</v>
      </c>
      <c r="C1437" t="s">
        <v>1871</v>
      </c>
      <c r="D1437" t="s">
        <v>667</v>
      </c>
      <c r="E1437" t="s">
        <v>699</v>
      </c>
      <c r="F1437">
        <v>89.99</v>
      </c>
      <c r="G1437">
        <v>4</v>
      </c>
      <c r="H1437">
        <v>5</v>
      </c>
      <c r="I1437">
        <v>85.49</v>
      </c>
      <c r="J1437">
        <v>341.96</v>
      </c>
      <c r="K1437" t="s">
        <v>661</v>
      </c>
      <c r="L1437" t="s">
        <v>656</v>
      </c>
      <c r="M1437">
        <v>1</v>
      </c>
    </row>
    <row r="1438" spans="1:13" x14ac:dyDescent="0.25">
      <c r="A1438" t="s">
        <v>2835</v>
      </c>
      <c r="B1438" t="s">
        <v>566</v>
      </c>
      <c r="C1438" t="s">
        <v>2287</v>
      </c>
      <c r="D1438" t="s">
        <v>667</v>
      </c>
      <c r="E1438" t="s">
        <v>668</v>
      </c>
      <c r="F1438">
        <v>64.989999999999995</v>
      </c>
      <c r="G1438">
        <v>3</v>
      </c>
      <c r="H1438">
        <v>15</v>
      </c>
      <c r="I1438">
        <v>55.24</v>
      </c>
      <c r="J1438">
        <v>165.72</v>
      </c>
      <c r="K1438" t="s">
        <v>682</v>
      </c>
      <c r="L1438" t="s">
        <v>656</v>
      </c>
      <c r="M1438">
        <v>4</v>
      </c>
    </row>
    <row r="1439" spans="1:13" x14ac:dyDescent="0.25">
      <c r="A1439" t="s">
        <v>2836</v>
      </c>
      <c r="B1439" t="s">
        <v>569</v>
      </c>
      <c r="C1439" t="s">
        <v>1339</v>
      </c>
      <c r="D1439" t="s">
        <v>653</v>
      </c>
      <c r="E1439" t="s">
        <v>769</v>
      </c>
      <c r="F1439">
        <v>49.99</v>
      </c>
      <c r="G1439">
        <v>2</v>
      </c>
      <c r="H1439">
        <v>0</v>
      </c>
      <c r="I1439">
        <v>49.99</v>
      </c>
      <c r="J1439">
        <v>99.98</v>
      </c>
      <c r="K1439" t="s">
        <v>682</v>
      </c>
      <c r="L1439" t="s">
        <v>656</v>
      </c>
      <c r="M1439">
        <v>4</v>
      </c>
    </row>
    <row r="1440" spans="1:13" x14ac:dyDescent="0.25">
      <c r="A1440" t="s">
        <v>2837</v>
      </c>
      <c r="B1440" t="s">
        <v>569</v>
      </c>
      <c r="C1440" t="s">
        <v>860</v>
      </c>
      <c r="D1440" t="s">
        <v>710</v>
      </c>
      <c r="E1440" t="s">
        <v>711</v>
      </c>
      <c r="F1440">
        <v>14.99</v>
      </c>
      <c r="G1440">
        <v>2</v>
      </c>
      <c r="H1440">
        <v>5</v>
      </c>
      <c r="I1440">
        <v>14.24</v>
      </c>
      <c r="J1440">
        <v>28.48</v>
      </c>
      <c r="K1440" t="s">
        <v>661</v>
      </c>
      <c r="L1440" t="s">
        <v>656</v>
      </c>
      <c r="M1440">
        <v>5</v>
      </c>
    </row>
    <row r="1441" spans="1:13" x14ac:dyDescent="0.25">
      <c r="A1441" t="s">
        <v>2838</v>
      </c>
      <c r="B1441" t="s">
        <v>569</v>
      </c>
      <c r="C1441" t="s">
        <v>1434</v>
      </c>
      <c r="D1441" t="s">
        <v>653</v>
      </c>
      <c r="E1441" t="s">
        <v>727</v>
      </c>
      <c r="F1441">
        <v>14.99</v>
      </c>
      <c r="G1441">
        <v>1</v>
      </c>
      <c r="H1441">
        <v>20</v>
      </c>
      <c r="I1441">
        <v>11.99</v>
      </c>
      <c r="J1441">
        <v>11.99</v>
      </c>
      <c r="K1441" t="s">
        <v>655</v>
      </c>
      <c r="L1441" t="s">
        <v>656</v>
      </c>
      <c r="M1441">
        <v>3</v>
      </c>
    </row>
    <row r="1442" spans="1:13" x14ac:dyDescent="0.25">
      <c r="A1442" t="s">
        <v>2839</v>
      </c>
      <c r="B1442" t="s">
        <v>569</v>
      </c>
      <c r="C1442" t="s">
        <v>2143</v>
      </c>
      <c r="D1442" t="s">
        <v>653</v>
      </c>
      <c r="E1442" t="s">
        <v>827</v>
      </c>
      <c r="F1442">
        <v>29.99</v>
      </c>
      <c r="G1442">
        <v>4</v>
      </c>
      <c r="H1442">
        <v>0</v>
      </c>
      <c r="I1442">
        <v>29.99</v>
      </c>
      <c r="J1442">
        <v>119.96</v>
      </c>
      <c r="K1442" t="s">
        <v>682</v>
      </c>
      <c r="L1442" t="s">
        <v>656</v>
      </c>
      <c r="M1442">
        <v>4</v>
      </c>
    </row>
    <row r="1443" spans="1:13" x14ac:dyDescent="0.25">
      <c r="A1443" t="s">
        <v>2840</v>
      </c>
      <c r="B1443" t="s">
        <v>569</v>
      </c>
      <c r="C1443" t="s">
        <v>2589</v>
      </c>
      <c r="D1443" t="s">
        <v>653</v>
      </c>
      <c r="E1443" t="s">
        <v>827</v>
      </c>
      <c r="F1443">
        <v>29.99</v>
      </c>
      <c r="G1443">
        <v>3</v>
      </c>
      <c r="H1443">
        <v>0</v>
      </c>
      <c r="I1443">
        <v>29.99</v>
      </c>
      <c r="J1443">
        <v>89.97</v>
      </c>
      <c r="K1443" t="s">
        <v>682</v>
      </c>
      <c r="L1443" t="s">
        <v>656</v>
      </c>
      <c r="M1443">
        <v>5</v>
      </c>
    </row>
    <row r="1444" spans="1:13" x14ac:dyDescent="0.25">
      <c r="A1444" t="s">
        <v>2841</v>
      </c>
      <c r="B1444" t="s">
        <v>569</v>
      </c>
      <c r="C1444" t="s">
        <v>679</v>
      </c>
      <c r="D1444" t="s">
        <v>667</v>
      </c>
      <c r="E1444" t="s">
        <v>699</v>
      </c>
      <c r="F1444">
        <v>89.99</v>
      </c>
      <c r="G1444">
        <v>1</v>
      </c>
      <c r="H1444">
        <v>0</v>
      </c>
      <c r="I1444">
        <v>89.99</v>
      </c>
      <c r="J1444">
        <v>89.99</v>
      </c>
      <c r="K1444" t="s">
        <v>682</v>
      </c>
      <c r="L1444" t="s">
        <v>656</v>
      </c>
    </row>
    <row r="1445" spans="1:13" x14ac:dyDescent="0.25">
      <c r="A1445" t="s">
        <v>2842</v>
      </c>
      <c r="B1445" t="s">
        <v>569</v>
      </c>
      <c r="C1445" t="s">
        <v>1201</v>
      </c>
      <c r="D1445" t="s">
        <v>684</v>
      </c>
      <c r="E1445" t="s">
        <v>705</v>
      </c>
      <c r="F1445">
        <v>79.989999999999995</v>
      </c>
      <c r="G1445">
        <v>2</v>
      </c>
      <c r="H1445">
        <v>0</v>
      </c>
      <c r="I1445">
        <v>79.989999999999995</v>
      </c>
      <c r="J1445">
        <v>159.97999999999999</v>
      </c>
      <c r="K1445" t="s">
        <v>682</v>
      </c>
      <c r="L1445" t="s">
        <v>656</v>
      </c>
    </row>
    <row r="1446" spans="1:13" x14ac:dyDescent="0.25">
      <c r="A1446" t="s">
        <v>2843</v>
      </c>
      <c r="B1446" t="s">
        <v>569</v>
      </c>
      <c r="C1446" t="s">
        <v>761</v>
      </c>
      <c r="D1446" t="s">
        <v>710</v>
      </c>
      <c r="E1446" t="s">
        <v>730</v>
      </c>
      <c r="F1446">
        <v>39.99</v>
      </c>
      <c r="G1446">
        <v>2</v>
      </c>
      <c r="H1446">
        <v>15</v>
      </c>
      <c r="I1446">
        <v>33.99</v>
      </c>
      <c r="J1446">
        <v>67.98</v>
      </c>
      <c r="K1446" t="s">
        <v>669</v>
      </c>
      <c r="L1446" t="s">
        <v>656</v>
      </c>
      <c r="M1446">
        <v>3</v>
      </c>
    </row>
    <row r="1447" spans="1:13" x14ac:dyDescent="0.25">
      <c r="A1447" t="s">
        <v>2844</v>
      </c>
      <c r="B1447" t="s">
        <v>569</v>
      </c>
      <c r="C1447" t="s">
        <v>2845</v>
      </c>
      <c r="D1447" t="s">
        <v>659</v>
      </c>
      <c r="E1447" t="s">
        <v>660</v>
      </c>
      <c r="F1447">
        <v>19.989999999999998</v>
      </c>
      <c r="G1447">
        <v>3</v>
      </c>
      <c r="H1447">
        <v>5</v>
      </c>
      <c r="I1447">
        <v>18.989999999999998</v>
      </c>
      <c r="J1447">
        <v>56.97</v>
      </c>
      <c r="K1447" t="s">
        <v>682</v>
      </c>
      <c r="L1447" t="s">
        <v>656</v>
      </c>
      <c r="M1447">
        <v>5</v>
      </c>
    </row>
    <row r="1448" spans="1:13" x14ac:dyDescent="0.25">
      <c r="A1448" t="s">
        <v>2846</v>
      </c>
      <c r="B1448" t="s">
        <v>569</v>
      </c>
      <c r="C1448" t="s">
        <v>1015</v>
      </c>
      <c r="D1448" t="s">
        <v>659</v>
      </c>
      <c r="E1448" t="s">
        <v>762</v>
      </c>
      <c r="F1448">
        <v>49.99</v>
      </c>
      <c r="G1448">
        <v>4</v>
      </c>
      <c r="H1448">
        <v>0</v>
      </c>
      <c r="I1448">
        <v>49.99</v>
      </c>
      <c r="J1448">
        <v>199.96</v>
      </c>
      <c r="K1448" t="s">
        <v>682</v>
      </c>
      <c r="L1448" t="s">
        <v>656</v>
      </c>
      <c r="M1448">
        <v>4</v>
      </c>
    </row>
    <row r="1449" spans="1:13" x14ac:dyDescent="0.25">
      <c r="A1449" t="s">
        <v>2847</v>
      </c>
      <c r="B1449" t="s">
        <v>569</v>
      </c>
      <c r="C1449" t="s">
        <v>220</v>
      </c>
      <c r="D1449" t="s">
        <v>684</v>
      </c>
      <c r="E1449" t="s">
        <v>815</v>
      </c>
      <c r="F1449">
        <v>34.99</v>
      </c>
      <c r="G1449">
        <v>2</v>
      </c>
      <c r="H1449">
        <v>5</v>
      </c>
      <c r="I1449">
        <v>33.24</v>
      </c>
      <c r="J1449">
        <v>66.48</v>
      </c>
      <c r="K1449" t="s">
        <v>661</v>
      </c>
      <c r="L1449" t="s">
        <v>656</v>
      </c>
    </row>
    <row r="1450" spans="1:13" x14ac:dyDescent="0.25">
      <c r="A1450" t="s">
        <v>2848</v>
      </c>
      <c r="B1450" t="s">
        <v>569</v>
      </c>
      <c r="C1450" t="s">
        <v>2849</v>
      </c>
      <c r="D1450" t="s">
        <v>659</v>
      </c>
      <c r="E1450" t="s">
        <v>660</v>
      </c>
      <c r="F1450">
        <v>19.989999999999998</v>
      </c>
      <c r="G1450">
        <v>4</v>
      </c>
      <c r="H1450">
        <v>5</v>
      </c>
      <c r="I1450">
        <v>18.989999999999998</v>
      </c>
      <c r="J1450">
        <v>75.959999999999994</v>
      </c>
      <c r="K1450" t="s">
        <v>669</v>
      </c>
      <c r="L1450" t="s">
        <v>656</v>
      </c>
      <c r="M1450">
        <v>5</v>
      </c>
    </row>
    <row r="1451" spans="1:13" x14ac:dyDescent="0.25">
      <c r="A1451" t="s">
        <v>2850</v>
      </c>
      <c r="B1451" t="s">
        <v>572</v>
      </c>
      <c r="C1451" t="s">
        <v>2851</v>
      </c>
      <c r="D1451" t="s">
        <v>653</v>
      </c>
      <c r="E1451" t="s">
        <v>727</v>
      </c>
      <c r="F1451">
        <v>14.99</v>
      </c>
      <c r="G1451">
        <v>3</v>
      </c>
      <c r="H1451">
        <v>10</v>
      </c>
      <c r="I1451">
        <v>13.49</v>
      </c>
      <c r="J1451">
        <v>40.47</v>
      </c>
      <c r="K1451" t="s">
        <v>661</v>
      </c>
      <c r="L1451" t="s">
        <v>656</v>
      </c>
    </row>
    <row r="1452" spans="1:13" x14ac:dyDescent="0.25">
      <c r="A1452" t="s">
        <v>2852</v>
      </c>
      <c r="B1452" t="s">
        <v>572</v>
      </c>
      <c r="C1452" t="s">
        <v>407</v>
      </c>
      <c r="D1452" t="s">
        <v>680</v>
      </c>
      <c r="E1452" t="s">
        <v>749</v>
      </c>
      <c r="F1452">
        <v>14.99</v>
      </c>
      <c r="G1452">
        <v>3</v>
      </c>
      <c r="H1452">
        <v>10</v>
      </c>
      <c r="I1452">
        <v>13.49</v>
      </c>
      <c r="J1452">
        <v>40.47</v>
      </c>
      <c r="K1452" t="s">
        <v>669</v>
      </c>
      <c r="L1452" t="s">
        <v>656</v>
      </c>
      <c r="M1452">
        <v>3</v>
      </c>
    </row>
    <row r="1453" spans="1:13" x14ac:dyDescent="0.25">
      <c r="A1453" t="s">
        <v>2853</v>
      </c>
      <c r="B1453" t="s">
        <v>572</v>
      </c>
      <c r="C1453" t="s">
        <v>44</v>
      </c>
      <c r="D1453" t="s">
        <v>684</v>
      </c>
      <c r="E1453" t="s">
        <v>702</v>
      </c>
      <c r="F1453">
        <v>199.99</v>
      </c>
      <c r="G1453">
        <v>3</v>
      </c>
      <c r="H1453">
        <v>5</v>
      </c>
      <c r="I1453">
        <v>189.99</v>
      </c>
      <c r="J1453">
        <v>569.97</v>
      </c>
      <c r="K1453" t="s">
        <v>669</v>
      </c>
      <c r="L1453" t="s">
        <v>656</v>
      </c>
      <c r="M1453">
        <v>5</v>
      </c>
    </row>
    <row r="1454" spans="1:13" x14ac:dyDescent="0.25">
      <c r="A1454" t="s">
        <v>2854</v>
      </c>
      <c r="B1454" t="s">
        <v>572</v>
      </c>
      <c r="C1454" t="s">
        <v>1221</v>
      </c>
      <c r="D1454" t="s">
        <v>680</v>
      </c>
      <c r="E1454" t="s">
        <v>749</v>
      </c>
      <c r="F1454">
        <v>14.99</v>
      </c>
      <c r="G1454">
        <v>4</v>
      </c>
      <c r="H1454">
        <v>0</v>
      </c>
      <c r="I1454">
        <v>14.99</v>
      </c>
      <c r="J1454">
        <v>59.96</v>
      </c>
      <c r="K1454" t="s">
        <v>669</v>
      </c>
      <c r="L1454" t="s">
        <v>656</v>
      </c>
      <c r="M1454">
        <v>4</v>
      </c>
    </row>
    <row r="1455" spans="1:13" x14ac:dyDescent="0.25">
      <c r="A1455" t="s">
        <v>2855</v>
      </c>
      <c r="B1455" t="s">
        <v>572</v>
      </c>
      <c r="C1455" t="s">
        <v>891</v>
      </c>
      <c r="D1455" t="s">
        <v>672</v>
      </c>
      <c r="E1455" t="s">
        <v>724</v>
      </c>
      <c r="F1455">
        <v>89.99</v>
      </c>
      <c r="G1455">
        <v>1</v>
      </c>
      <c r="H1455">
        <v>0</v>
      </c>
      <c r="I1455">
        <v>89.99</v>
      </c>
      <c r="J1455">
        <v>89.99</v>
      </c>
      <c r="K1455" t="s">
        <v>655</v>
      </c>
      <c r="L1455" t="s">
        <v>656</v>
      </c>
      <c r="M1455">
        <v>3</v>
      </c>
    </row>
    <row r="1456" spans="1:13" x14ac:dyDescent="0.25">
      <c r="A1456" t="s">
        <v>2856</v>
      </c>
      <c r="B1456" t="s">
        <v>572</v>
      </c>
      <c r="C1456" t="s">
        <v>2857</v>
      </c>
      <c r="D1456" t="s">
        <v>667</v>
      </c>
      <c r="E1456" t="s">
        <v>696</v>
      </c>
      <c r="F1456">
        <v>59.99</v>
      </c>
      <c r="G1456">
        <v>1</v>
      </c>
      <c r="H1456">
        <v>0</v>
      </c>
      <c r="I1456">
        <v>59.99</v>
      </c>
      <c r="J1456">
        <v>59.99</v>
      </c>
      <c r="K1456" t="s">
        <v>682</v>
      </c>
      <c r="L1456" t="s">
        <v>656</v>
      </c>
    </row>
    <row r="1457" spans="1:13" x14ac:dyDescent="0.25">
      <c r="A1457" t="s">
        <v>2858</v>
      </c>
      <c r="B1457" t="s">
        <v>572</v>
      </c>
      <c r="C1457" t="s">
        <v>2811</v>
      </c>
      <c r="D1457" t="s">
        <v>659</v>
      </c>
      <c r="E1457" t="s">
        <v>660</v>
      </c>
      <c r="F1457">
        <v>19.989999999999998</v>
      </c>
      <c r="G1457">
        <v>2</v>
      </c>
      <c r="H1457">
        <v>0</v>
      </c>
      <c r="I1457">
        <v>19.989999999999998</v>
      </c>
      <c r="J1457">
        <v>39.979999999999997</v>
      </c>
      <c r="K1457" t="s">
        <v>675</v>
      </c>
      <c r="L1457" t="s">
        <v>656</v>
      </c>
      <c r="M1457">
        <v>5</v>
      </c>
    </row>
    <row r="1458" spans="1:13" x14ac:dyDescent="0.25">
      <c r="A1458" t="s">
        <v>2859</v>
      </c>
      <c r="B1458" t="s">
        <v>572</v>
      </c>
      <c r="C1458" t="s">
        <v>1000</v>
      </c>
      <c r="D1458" t="s">
        <v>667</v>
      </c>
      <c r="E1458" t="s">
        <v>696</v>
      </c>
      <c r="F1458">
        <v>59.99</v>
      </c>
      <c r="G1458">
        <v>4</v>
      </c>
      <c r="H1458">
        <v>0</v>
      </c>
      <c r="I1458">
        <v>59.99</v>
      </c>
      <c r="J1458">
        <v>239.96</v>
      </c>
      <c r="K1458" t="s">
        <v>655</v>
      </c>
      <c r="L1458" t="s">
        <v>785</v>
      </c>
      <c r="M1458">
        <v>5</v>
      </c>
    </row>
    <row r="1459" spans="1:13" x14ac:dyDescent="0.25">
      <c r="A1459" t="s">
        <v>2860</v>
      </c>
      <c r="B1459" t="s">
        <v>572</v>
      </c>
      <c r="C1459" t="s">
        <v>2861</v>
      </c>
      <c r="D1459" t="s">
        <v>659</v>
      </c>
      <c r="E1459" t="s">
        <v>664</v>
      </c>
      <c r="F1459">
        <v>24.99</v>
      </c>
      <c r="G1459">
        <v>1</v>
      </c>
      <c r="H1459">
        <v>0</v>
      </c>
      <c r="I1459">
        <v>24.99</v>
      </c>
      <c r="J1459">
        <v>24.99</v>
      </c>
      <c r="K1459" t="s">
        <v>682</v>
      </c>
      <c r="L1459" t="s">
        <v>656</v>
      </c>
      <c r="M1459">
        <v>3</v>
      </c>
    </row>
    <row r="1460" spans="1:13" x14ac:dyDescent="0.25">
      <c r="A1460" t="s">
        <v>2862</v>
      </c>
      <c r="B1460" t="s">
        <v>572</v>
      </c>
      <c r="C1460" t="s">
        <v>2863</v>
      </c>
      <c r="D1460" t="s">
        <v>653</v>
      </c>
      <c r="E1460" t="s">
        <v>827</v>
      </c>
      <c r="F1460">
        <v>29.99</v>
      </c>
      <c r="G1460">
        <v>2</v>
      </c>
      <c r="H1460">
        <v>0</v>
      </c>
      <c r="I1460">
        <v>29.99</v>
      </c>
      <c r="J1460">
        <v>59.98</v>
      </c>
      <c r="K1460" t="s">
        <v>661</v>
      </c>
      <c r="L1460" t="s">
        <v>693</v>
      </c>
      <c r="M1460">
        <v>5</v>
      </c>
    </row>
    <row r="1461" spans="1:13" x14ac:dyDescent="0.25">
      <c r="A1461" t="s">
        <v>2864</v>
      </c>
      <c r="B1461" t="s">
        <v>572</v>
      </c>
      <c r="C1461" t="s">
        <v>2865</v>
      </c>
      <c r="D1461" t="s">
        <v>659</v>
      </c>
      <c r="E1461" t="s">
        <v>820</v>
      </c>
      <c r="F1461">
        <v>39.99</v>
      </c>
      <c r="G1461">
        <v>4</v>
      </c>
      <c r="H1461">
        <v>5</v>
      </c>
      <c r="I1461">
        <v>37.99</v>
      </c>
      <c r="J1461">
        <v>151.96</v>
      </c>
      <c r="K1461" t="s">
        <v>682</v>
      </c>
      <c r="L1461" t="s">
        <v>739</v>
      </c>
      <c r="M1461">
        <v>3</v>
      </c>
    </row>
    <row r="1462" spans="1:13" x14ac:dyDescent="0.25">
      <c r="A1462" t="s">
        <v>2866</v>
      </c>
      <c r="B1462" t="s">
        <v>572</v>
      </c>
      <c r="C1462" t="s">
        <v>2469</v>
      </c>
      <c r="D1462" t="s">
        <v>680</v>
      </c>
      <c r="E1462" t="s">
        <v>708</v>
      </c>
      <c r="F1462">
        <v>24.99</v>
      </c>
      <c r="G1462">
        <v>1</v>
      </c>
      <c r="H1462">
        <v>15</v>
      </c>
      <c r="I1462">
        <v>21.24</v>
      </c>
      <c r="J1462">
        <v>21.24</v>
      </c>
      <c r="K1462" t="s">
        <v>655</v>
      </c>
      <c r="L1462" t="s">
        <v>739</v>
      </c>
      <c r="M1462">
        <v>5</v>
      </c>
    </row>
    <row r="1463" spans="1:13" x14ac:dyDescent="0.25">
      <c r="A1463" t="s">
        <v>2867</v>
      </c>
      <c r="B1463" t="s">
        <v>572</v>
      </c>
      <c r="C1463" t="s">
        <v>1565</v>
      </c>
      <c r="D1463" t="s">
        <v>659</v>
      </c>
      <c r="E1463" t="s">
        <v>660</v>
      </c>
      <c r="F1463">
        <v>19.989999999999998</v>
      </c>
      <c r="G1463">
        <v>1</v>
      </c>
      <c r="H1463">
        <v>15</v>
      </c>
      <c r="I1463">
        <v>16.989999999999998</v>
      </c>
      <c r="J1463">
        <v>16.989999999999998</v>
      </c>
      <c r="K1463" t="s">
        <v>682</v>
      </c>
      <c r="L1463" t="s">
        <v>656</v>
      </c>
      <c r="M1463">
        <v>4</v>
      </c>
    </row>
    <row r="1464" spans="1:13" x14ac:dyDescent="0.25">
      <c r="A1464" t="s">
        <v>2868</v>
      </c>
      <c r="B1464" t="s">
        <v>572</v>
      </c>
      <c r="C1464" t="s">
        <v>2869</v>
      </c>
      <c r="D1464" t="s">
        <v>680</v>
      </c>
      <c r="E1464" t="s">
        <v>681</v>
      </c>
      <c r="F1464">
        <v>19.989999999999998</v>
      </c>
      <c r="G1464">
        <v>1</v>
      </c>
      <c r="H1464">
        <v>0</v>
      </c>
      <c r="I1464">
        <v>19.989999999999998</v>
      </c>
      <c r="J1464">
        <v>19.989999999999998</v>
      </c>
      <c r="K1464" t="s">
        <v>669</v>
      </c>
      <c r="L1464" t="s">
        <v>656</v>
      </c>
      <c r="M1464">
        <v>3</v>
      </c>
    </row>
    <row r="1465" spans="1:13" x14ac:dyDescent="0.25">
      <c r="A1465" t="s">
        <v>2870</v>
      </c>
      <c r="B1465" t="s">
        <v>575</v>
      </c>
      <c r="C1465" t="s">
        <v>2206</v>
      </c>
      <c r="D1465" t="s">
        <v>672</v>
      </c>
      <c r="E1465" t="s">
        <v>735</v>
      </c>
      <c r="F1465">
        <v>44.99</v>
      </c>
      <c r="G1465">
        <v>2</v>
      </c>
      <c r="H1465">
        <v>0</v>
      </c>
      <c r="I1465">
        <v>44.99</v>
      </c>
      <c r="J1465">
        <v>89.98</v>
      </c>
      <c r="K1465" t="s">
        <v>675</v>
      </c>
      <c r="L1465" t="s">
        <v>656</v>
      </c>
      <c r="M1465">
        <v>5</v>
      </c>
    </row>
    <row r="1466" spans="1:13" x14ac:dyDescent="0.25">
      <c r="A1466" t="s">
        <v>2871</v>
      </c>
      <c r="B1466" t="s">
        <v>575</v>
      </c>
      <c r="C1466" t="s">
        <v>1784</v>
      </c>
      <c r="D1466" t="s">
        <v>653</v>
      </c>
      <c r="E1466" t="s">
        <v>654</v>
      </c>
      <c r="F1466">
        <v>39.99</v>
      </c>
      <c r="G1466">
        <v>3</v>
      </c>
      <c r="H1466">
        <v>10</v>
      </c>
      <c r="I1466">
        <v>35.99</v>
      </c>
      <c r="J1466">
        <v>107.97</v>
      </c>
      <c r="K1466" t="s">
        <v>682</v>
      </c>
      <c r="L1466" t="s">
        <v>656</v>
      </c>
      <c r="M1466">
        <v>4</v>
      </c>
    </row>
    <row r="1467" spans="1:13" x14ac:dyDescent="0.25">
      <c r="A1467" t="s">
        <v>2872</v>
      </c>
      <c r="B1467" t="s">
        <v>575</v>
      </c>
      <c r="C1467" t="s">
        <v>1708</v>
      </c>
      <c r="D1467" t="s">
        <v>659</v>
      </c>
      <c r="E1467" t="s">
        <v>762</v>
      </c>
      <c r="F1467">
        <v>49.99</v>
      </c>
      <c r="G1467">
        <v>3</v>
      </c>
      <c r="H1467">
        <v>0</v>
      </c>
      <c r="I1467">
        <v>49.99</v>
      </c>
      <c r="J1467">
        <v>149.97</v>
      </c>
      <c r="K1467" t="s">
        <v>655</v>
      </c>
      <c r="L1467" t="s">
        <v>656</v>
      </c>
    </row>
    <row r="1468" spans="1:13" x14ac:dyDescent="0.25">
      <c r="A1468" t="s">
        <v>2873</v>
      </c>
      <c r="B1468" t="s">
        <v>575</v>
      </c>
      <c r="C1468" t="s">
        <v>2874</v>
      </c>
      <c r="D1468" t="s">
        <v>684</v>
      </c>
      <c r="E1468" t="s">
        <v>702</v>
      </c>
      <c r="F1468">
        <v>199.99</v>
      </c>
      <c r="G1468">
        <v>2</v>
      </c>
      <c r="H1468">
        <v>10</v>
      </c>
      <c r="I1468">
        <v>179.99</v>
      </c>
      <c r="J1468">
        <v>359.98</v>
      </c>
      <c r="K1468" t="s">
        <v>669</v>
      </c>
      <c r="L1468" t="s">
        <v>656</v>
      </c>
      <c r="M1468">
        <v>5</v>
      </c>
    </row>
    <row r="1469" spans="1:13" x14ac:dyDescent="0.25">
      <c r="A1469" t="s">
        <v>2875</v>
      </c>
      <c r="B1469" t="s">
        <v>575</v>
      </c>
      <c r="C1469" t="s">
        <v>2876</v>
      </c>
      <c r="D1469" t="s">
        <v>684</v>
      </c>
      <c r="E1469" t="s">
        <v>702</v>
      </c>
      <c r="F1469">
        <v>199.99</v>
      </c>
      <c r="G1469">
        <v>2</v>
      </c>
      <c r="H1469">
        <v>0</v>
      </c>
      <c r="I1469">
        <v>199.99</v>
      </c>
      <c r="J1469">
        <v>399.98</v>
      </c>
      <c r="K1469" t="s">
        <v>655</v>
      </c>
      <c r="L1469" t="s">
        <v>656</v>
      </c>
      <c r="M1469">
        <v>4</v>
      </c>
    </row>
    <row r="1470" spans="1:13" x14ac:dyDescent="0.25">
      <c r="A1470" t="s">
        <v>2877</v>
      </c>
      <c r="B1470" t="s">
        <v>578</v>
      </c>
      <c r="C1470" t="s">
        <v>1128</v>
      </c>
      <c r="D1470" t="s">
        <v>659</v>
      </c>
      <c r="E1470" t="s">
        <v>664</v>
      </c>
      <c r="F1470">
        <v>24.99</v>
      </c>
      <c r="G1470">
        <v>2</v>
      </c>
      <c r="H1470">
        <v>5</v>
      </c>
      <c r="I1470">
        <v>23.74</v>
      </c>
      <c r="J1470">
        <v>47.48</v>
      </c>
      <c r="K1470" t="s">
        <v>675</v>
      </c>
      <c r="L1470" t="s">
        <v>656</v>
      </c>
      <c r="M1470">
        <v>5</v>
      </c>
    </row>
    <row r="1471" spans="1:13" x14ac:dyDescent="0.25">
      <c r="A1471" t="s">
        <v>2878</v>
      </c>
      <c r="B1471" t="s">
        <v>578</v>
      </c>
      <c r="C1471" t="s">
        <v>784</v>
      </c>
      <c r="D1471" t="s">
        <v>680</v>
      </c>
      <c r="E1471" t="s">
        <v>681</v>
      </c>
      <c r="F1471">
        <v>19.989999999999998</v>
      </c>
      <c r="G1471">
        <v>1</v>
      </c>
      <c r="H1471">
        <v>20</v>
      </c>
      <c r="I1471">
        <v>15.99</v>
      </c>
      <c r="J1471">
        <v>15.99</v>
      </c>
      <c r="K1471" t="s">
        <v>675</v>
      </c>
      <c r="L1471" t="s">
        <v>656</v>
      </c>
      <c r="M1471">
        <v>5</v>
      </c>
    </row>
    <row r="1472" spans="1:13" x14ac:dyDescent="0.25">
      <c r="A1472" t="s">
        <v>2879</v>
      </c>
      <c r="B1472" t="s">
        <v>578</v>
      </c>
      <c r="C1472" t="s">
        <v>2880</v>
      </c>
      <c r="D1472" t="s">
        <v>684</v>
      </c>
      <c r="E1472" t="s">
        <v>702</v>
      </c>
      <c r="F1472">
        <v>199.99</v>
      </c>
      <c r="G1472">
        <v>4</v>
      </c>
      <c r="H1472">
        <v>20</v>
      </c>
      <c r="I1472">
        <v>159.99</v>
      </c>
      <c r="J1472">
        <v>639.96</v>
      </c>
      <c r="K1472" t="s">
        <v>655</v>
      </c>
      <c r="L1472" t="s">
        <v>656</v>
      </c>
      <c r="M1472">
        <v>5</v>
      </c>
    </row>
    <row r="1473" spans="1:13" x14ac:dyDescent="0.25">
      <c r="A1473" t="s">
        <v>2881</v>
      </c>
      <c r="B1473" t="s">
        <v>578</v>
      </c>
      <c r="C1473" t="s">
        <v>1637</v>
      </c>
      <c r="D1473" t="s">
        <v>710</v>
      </c>
      <c r="E1473" t="s">
        <v>711</v>
      </c>
      <c r="F1473">
        <v>14.99</v>
      </c>
      <c r="G1473">
        <v>1</v>
      </c>
      <c r="H1473">
        <v>0</v>
      </c>
      <c r="I1473">
        <v>14.99</v>
      </c>
      <c r="J1473">
        <v>14.99</v>
      </c>
      <c r="K1473" t="s">
        <v>675</v>
      </c>
      <c r="L1473" t="s">
        <v>656</v>
      </c>
    </row>
    <row r="1474" spans="1:13" x14ac:dyDescent="0.25">
      <c r="A1474" t="s">
        <v>2882</v>
      </c>
      <c r="B1474" t="s">
        <v>578</v>
      </c>
      <c r="C1474" t="s">
        <v>401</v>
      </c>
      <c r="D1474" t="s">
        <v>684</v>
      </c>
      <c r="E1474" t="s">
        <v>685</v>
      </c>
      <c r="F1474">
        <v>49.99</v>
      </c>
      <c r="G1474">
        <v>4</v>
      </c>
      <c r="H1474">
        <v>0</v>
      </c>
      <c r="I1474">
        <v>49.99</v>
      </c>
      <c r="J1474">
        <v>199.96</v>
      </c>
      <c r="K1474" t="s">
        <v>675</v>
      </c>
      <c r="L1474" t="s">
        <v>739</v>
      </c>
      <c r="M1474">
        <v>3</v>
      </c>
    </row>
    <row r="1475" spans="1:13" x14ac:dyDescent="0.25">
      <c r="A1475" t="s">
        <v>2883</v>
      </c>
      <c r="B1475" t="s">
        <v>578</v>
      </c>
      <c r="C1475" t="s">
        <v>887</v>
      </c>
      <c r="D1475" t="s">
        <v>659</v>
      </c>
      <c r="E1475" t="s">
        <v>664</v>
      </c>
      <c r="F1475">
        <v>24.99</v>
      </c>
      <c r="G1475">
        <v>2</v>
      </c>
      <c r="H1475">
        <v>0</v>
      </c>
      <c r="I1475">
        <v>24.99</v>
      </c>
      <c r="J1475">
        <v>49.98</v>
      </c>
      <c r="K1475" t="s">
        <v>661</v>
      </c>
      <c r="L1475" t="s">
        <v>788</v>
      </c>
    </row>
    <row r="1476" spans="1:13" x14ac:dyDescent="0.25">
      <c r="A1476" t="s">
        <v>2884</v>
      </c>
      <c r="B1476" t="s">
        <v>581</v>
      </c>
      <c r="C1476" t="s">
        <v>1585</v>
      </c>
      <c r="D1476" t="s">
        <v>684</v>
      </c>
      <c r="E1476" t="s">
        <v>702</v>
      </c>
      <c r="F1476">
        <v>199.99</v>
      </c>
      <c r="G1476">
        <v>4</v>
      </c>
      <c r="H1476">
        <v>5</v>
      </c>
      <c r="I1476">
        <v>189.99</v>
      </c>
      <c r="J1476">
        <v>759.96</v>
      </c>
      <c r="K1476" t="s">
        <v>655</v>
      </c>
      <c r="L1476" t="s">
        <v>656</v>
      </c>
      <c r="M1476">
        <v>5</v>
      </c>
    </row>
    <row r="1477" spans="1:13" x14ac:dyDescent="0.25">
      <c r="A1477" t="s">
        <v>2885</v>
      </c>
      <c r="B1477" t="s">
        <v>581</v>
      </c>
      <c r="C1477" t="s">
        <v>2009</v>
      </c>
      <c r="D1477" t="s">
        <v>672</v>
      </c>
      <c r="E1477" t="s">
        <v>673</v>
      </c>
      <c r="F1477">
        <v>24.99</v>
      </c>
      <c r="G1477">
        <v>3</v>
      </c>
      <c r="H1477">
        <v>5</v>
      </c>
      <c r="I1477">
        <v>23.74</v>
      </c>
      <c r="J1477">
        <v>71.22</v>
      </c>
      <c r="K1477" t="s">
        <v>669</v>
      </c>
      <c r="L1477" t="s">
        <v>656</v>
      </c>
      <c r="M1477">
        <v>5</v>
      </c>
    </row>
    <row r="1478" spans="1:13" x14ac:dyDescent="0.25">
      <c r="A1478" t="s">
        <v>2886</v>
      </c>
      <c r="B1478" t="s">
        <v>581</v>
      </c>
      <c r="C1478" t="s">
        <v>2887</v>
      </c>
      <c r="D1478" t="s">
        <v>684</v>
      </c>
      <c r="E1478" t="s">
        <v>815</v>
      </c>
      <c r="F1478">
        <v>34.99</v>
      </c>
      <c r="G1478">
        <v>4</v>
      </c>
      <c r="H1478">
        <v>0</v>
      </c>
      <c r="I1478">
        <v>34.99</v>
      </c>
      <c r="J1478">
        <v>139.96</v>
      </c>
      <c r="K1478" t="s">
        <v>682</v>
      </c>
      <c r="L1478" t="s">
        <v>656</v>
      </c>
      <c r="M1478">
        <v>2</v>
      </c>
    </row>
    <row r="1479" spans="1:13" x14ac:dyDescent="0.25">
      <c r="A1479" t="s">
        <v>2888</v>
      </c>
      <c r="B1479" t="s">
        <v>581</v>
      </c>
      <c r="C1479" t="s">
        <v>1236</v>
      </c>
      <c r="D1479" t="s">
        <v>667</v>
      </c>
      <c r="E1479" t="s">
        <v>714</v>
      </c>
      <c r="F1479">
        <v>44.99</v>
      </c>
      <c r="G1479">
        <v>2</v>
      </c>
      <c r="H1479">
        <v>20</v>
      </c>
      <c r="I1479">
        <v>35.99</v>
      </c>
      <c r="J1479">
        <v>71.98</v>
      </c>
      <c r="K1479" t="s">
        <v>675</v>
      </c>
      <c r="L1479" t="s">
        <v>656</v>
      </c>
      <c r="M1479">
        <v>4</v>
      </c>
    </row>
    <row r="1480" spans="1:13" x14ac:dyDescent="0.25">
      <c r="A1480" t="s">
        <v>2889</v>
      </c>
      <c r="B1480" t="s">
        <v>581</v>
      </c>
      <c r="C1480" t="s">
        <v>106</v>
      </c>
      <c r="D1480" t="s">
        <v>653</v>
      </c>
      <c r="E1480" t="s">
        <v>727</v>
      </c>
      <c r="F1480">
        <v>14.99</v>
      </c>
      <c r="G1480">
        <v>1</v>
      </c>
      <c r="H1480">
        <v>10</v>
      </c>
      <c r="I1480">
        <v>13.49</v>
      </c>
      <c r="J1480">
        <v>13.49</v>
      </c>
      <c r="K1480" t="s">
        <v>675</v>
      </c>
      <c r="L1480" t="s">
        <v>656</v>
      </c>
      <c r="M1480">
        <v>5</v>
      </c>
    </row>
    <row r="1481" spans="1:13" x14ac:dyDescent="0.25">
      <c r="A1481" t="s">
        <v>2890</v>
      </c>
      <c r="B1481" t="s">
        <v>581</v>
      </c>
      <c r="C1481" t="s">
        <v>1758</v>
      </c>
      <c r="D1481" t="s">
        <v>653</v>
      </c>
      <c r="E1481" t="s">
        <v>654</v>
      </c>
      <c r="F1481">
        <v>39.99</v>
      </c>
      <c r="G1481">
        <v>2</v>
      </c>
      <c r="H1481">
        <v>0</v>
      </c>
      <c r="I1481">
        <v>39.99</v>
      </c>
      <c r="J1481">
        <v>79.98</v>
      </c>
      <c r="K1481" t="s">
        <v>682</v>
      </c>
      <c r="L1481" t="s">
        <v>656</v>
      </c>
      <c r="M1481">
        <v>5</v>
      </c>
    </row>
    <row r="1482" spans="1:13" x14ac:dyDescent="0.25">
      <c r="A1482" t="s">
        <v>2891</v>
      </c>
      <c r="B1482" t="s">
        <v>581</v>
      </c>
      <c r="C1482" t="s">
        <v>2700</v>
      </c>
      <c r="D1482" t="s">
        <v>653</v>
      </c>
      <c r="E1482" t="s">
        <v>769</v>
      </c>
      <c r="F1482">
        <v>49.99</v>
      </c>
      <c r="G1482">
        <v>4</v>
      </c>
      <c r="H1482">
        <v>20</v>
      </c>
      <c r="I1482">
        <v>39.99</v>
      </c>
      <c r="J1482">
        <v>159.96</v>
      </c>
      <c r="K1482" t="s">
        <v>682</v>
      </c>
      <c r="L1482" t="s">
        <v>656</v>
      </c>
      <c r="M1482">
        <v>5</v>
      </c>
    </row>
    <row r="1483" spans="1:13" x14ac:dyDescent="0.25">
      <c r="A1483" t="s">
        <v>2892</v>
      </c>
      <c r="B1483" t="s">
        <v>584</v>
      </c>
      <c r="C1483" t="s">
        <v>2659</v>
      </c>
      <c r="D1483" t="s">
        <v>667</v>
      </c>
      <c r="E1483" t="s">
        <v>714</v>
      </c>
      <c r="F1483">
        <v>44.99</v>
      </c>
      <c r="G1483">
        <v>1</v>
      </c>
      <c r="H1483">
        <v>10</v>
      </c>
      <c r="I1483">
        <v>40.49</v>
      </c>
      <c r="J1483">
        <v>40.49</v>
      </c>
      <c r="K1483" t="s">
        <v>655</v>
      </c>
      <c r="L1483" t="s">
        <v>656</v>
      </c>
      <c r="M1483">
        <v>2</v>
      </c>
    </row>
    <row r="1484" spans="1:13" x14ac:dyDescent="0.25">
      <c r="A1484" t="s">
        <v>2893</v>
      </c>
      <c r="B1484" t="s">
        <v>584</v>
      </c>
      <c r="C1484" t="s">
        <v>1892</v>
      </c>
      <c r="D1484" t="s">
        <v>653</v>
      </c>
      <c r="E1484" t="s">
        <v>727</v>
      </c>
      <c r="F1484">
        <v>14.99</v>
      </c>
      <c r="G1484">
        <v>1</v>
      </c>
      <c r="H1484">
        <v>20</v>
      </c>
      <c r="I1484">
        <v>11.99</v>
      </c>
      <c r="J1484">
        <v>11.99</v>
      </c>
      <c r="K1484" t="s">
        <v>675</v>
      </c>
      <c r="L1484" t="s">
        <v>656</v>
      </c>
    </row>
    <row r="1485" spans="1:13" x14ac:dyDescent="0.25">
      <c r="A1485" t="s">
        <v>2894</v>
      </c>
      <c r="B1485" t="s">
        <v>584</v>
      </c>
      <c r="C1485" t="s">
        <v>1135</v>
      </c>
      <c r="D1485" t="s">
        <v>680</v>
      </c>
      <c r="E1485" t="s">
        <v>749</v>
      </c>
      <c r="F1485">
        <v>14.99</v>
      </c>
      <c r="G1485">
        <v>3</v>
      </c>
      <c r="H1485">
        <v>10</v>
      </c>
      <c r="I1485">
        <v>13.49</v>
      </c>
      <c r="J1485">
        <v>40.47</v>
      </c>
      <c r="K1485" t="s">
        <v>682</v>
      </c>
      <c r="L1485" t="s">
        <v>656</v>
      </c>
      <c r="M1485">
        <v>3</v>
      </c>
    </row>
    <row r="1486" spans="1:13" x14ac:dyDescent="0.25">
      <c r="A1486" t="s">
        <v>2895</v>
      </c>
      <c r="B1486" t="s">
        <v>584</v>
      </c>
      <c r="C1486" t="s">
        <v>2424</v>
      </c>
      <c r="D1486" t="s">
        <v>680</v>
      </c>
      <c r="E1486" t="s">
        <v>708</v>
      </c>
      <c r="F1486">
        <v>24.99</v>
      </c>
      <c r="G1486">
        <v>1</v>
      </c>
      <c r="H1486">
        <v>20</v>
      </c>
      <c r="I1486">
        <v>19.989999999999998</v>
      </c>
      <c r="J1486">
        <v>19.989999999999998</v>
      </c>
      <c r="K1486" t="s">
        <v>661</v>
      </c>
      <c r="L1486" t="s">
        <v>656</v>
      </c>
    </row>
    <row r="1487" spans="1:13" x14ac:dyDescent="0.25">
      <c r="A1487" t="s">
        <v>2896</v>
      </c>
      <c r="B1487" t="s">
        <v>584</v>
      </c>
      <c r="C1487" t="s">
        <v>1663</v>
      </c>
      <c r="D1487" t="s">
        <v>672</v>
      </c>
      <c r="E1487" t="s">
        <v>803</v>
      </c>
      <c r="F1487">
        <v>69.989999999999995</v>
      </c>
      <c r="G1487">
        <v>1</v>
      </c>
      <c r="H1487">
        <v>15</v>
      </c>
      <c r="I1487">
        <v>59.49</v>
      </c>
      <c r="J1487">
        <v>59.49</v>
      </c>
      <c r="K1487" t="s">
        <v>682</v>
      </c>
      <c r="L1487" t="s">
        <v>656</v>
      </c>
      <c r="M1487">
        <v>4</v>
      </c>
    </row>
    <row r="1488" spans="1:13" x14ac:dyDescent="0.25">
      <c r="A1488" t="s">
        <v>2897</v>
      </c>
      <c r="B1488" t="s">
        <v>584</v>
      </c>
      <c r="C1488" t="s">
        <v>2465</v>
      </c>
      <c r="D1488" t="s">
        <v>710</v>
      </c>
      <c r="E1488" t="s">
        <v>730</v>
      </c>
      <c r="F1488">
        <v>39.99</v>
      </c>
      <c r="G1488">
        <v>4</v>
      </c>
      <c r="H1488">
        <v>5</v>
      </c>
      <c r="I1488">
        <v>37.99</v>
      </c>
      <c r="J1488">
        <v>151.96</v>
      </c>
      <c r="K1488" t="s">
        <v>682</v>
      </c>
      <c r="L1488" t="s">
        <v>656</v>
      </c>
      <c r="M1488">
        <v>5</v>
      </c>
    </row>
    <row r="1489" spans="1:13" x14ac:dyDescent="0.25">
      <c r="A1489" t="s">
        <v>2898</v>
      </c>
      <c r="B1489" t="s">
        <v>584</v>
      </c>
      <c r="C1489" t="s">
        <v>2899</v>
      </c>
      <c r="D1489" t="s">
        <v>684</v>
      </c>
      <c r="E1489" t="s">
        <v>815</v>
      </c>
      <c r="F1489">
        <v>34.99</v>
      </c>
      <c r="G1489">
        <v>2</v>
      </c>
      <c r="H1489">
        <v>10</v>
      </c>
      <c r="I1489">
        <v>31.49</v>
      </c>
      <c r="J1489">
        <v>62.98</v>
      </c>
      <c r="K1489" t="s">
        <v>661</v>
      </c>
      <c r="L1489" t="s">
        <v>656</v>
      </c>
    </row>
    <row r="1490" spans="1:13" x14ac:dyDescent="0.25">
      <c r="A1490" t="s">
        <v>2900</v>
      </c>
      <c r="B1490" t="s">
        <v>584</v>
      </c>
      <c r="C1490" t="s">
        <v>1414</v>
      </c>
      <c r="D1490" t="s">
        <v>680</v>
      </c>
      <c r="E1490" t="s">
        <v>749</v>
      </c>
      <c r="F1490">
        <v>14.99</v>
      </c>
      <c r="G1490">
        <v>4</v>
      </c>
      <c r="H1490">
        <v>15</v>
      </c>
      <c r="I1490">
        <v>12.74</v>
      </c>
      <c r="J1490">
        <v>50.96</v>
      </c>
      <c r="K1490" t="s">
        <v>682</v>
      </c>
      <c r="L1490" t="s">
        <v>656</v>
      </c>
      <c r="M1490">
        <v>4</v>
      </c>
    </row>
    <row r="1491" spans="1:13" x14ac:dyDescent="0.25">
      <c r="A1491" t="s">
        <v>2901</v>
      </c>
      <c r="B1491" t="s">
        <v>584</v>
      </c>
      <c r="C1491" t="s">
        <v>2221</v>
      </c>
      <c r="D1491" t="s">
        <v>667</v>
      </c>
      <c r="E1491" t="s">
        <v>668</v>
      </c>
      <c r="F1491">
        <v>64.989999999999995</v>
      </c>
      <c r="G1491">
        <v>1</v>
      </c>
      <c r="H1491">
        <v>0</v>
      </c>
      <c r="I1491">
        <v>64.989999999999995</v>
      </c>
      <c r="J1491">
        <v>64.989999999999995</v>
      </c>
      <c r="K1491" t="s">
        <v>661</v>
      </c>
      <c r="L1491" t="s">
        <v>656</v>
      </c>
      <c r="M1491">
        <v>5</v>
      </c>
    </row>
    <row r="1492" spans="1:13" x14ac:dyDescent="0.25">
      <c r="A1492" t="s">
        <v>2902</v>
      </c>
      <c r="B1492" t="s">
        <v>584</v>
      </c>
      <c r="C1492" t="s">
        <v>280</v>
      </c>
      <c r="D1492" t="s">
        <v>680</v>
      </c>
      <c r="E1492" t="s">
        <v>688</v>
      </c>
      <c r="F1492">
        <v>29.99</v>
      </c>
      <c r="G1492">
        <v>2</v>
      </c>
      <c r="H1492">
        <v>0</v>
      </c>
      <c r="I1492">
        <v>29.99</v>
      </c>
      <c r="J1492">
        <v>59.98</v>
      </c>
      <c r="K1492" t="s">
        <v>669</v>
      </c>
      <c r="L1492" t="s">
        <v>656</v>
      </c>
      <c r="M1492">
        <v>2</v>
      </c>
    </row>
    <row r="1493" spans="1:13" x14ac:dyDescent="0.25">
      <c r="A1493" t="s">
        <v>2903</v>
      </c>
      <c r="B1493" t="s">
        <v>584</v>
      </c>
      <c r="C1493" t="s">
        <v>1525</v>
      </c>
      <c r="D1493" t="s">
        <v>667</v>
      </c>
      <c r="E1493" t="s">
        <v>668</v>
      </c>
      <c r="F1493">
        <v>64.989999999999995</v>
      </c>
      <c r="G1493">
        <v>4</v>
      </c>
      <c r="H1493">
        <v>15</v>
      </c>
      <c r="I1493">
        <v>55.24</v>
      </c>
      <c r="J1493">
        <v>220.96</v>
      </c>
      <c r="K1493" t="s">
        <v>669</v>
      </c>
      <c r="L1493" t="s">
        <v>739</v>
      </c>
      <c r="M1493">
        <v>4</v>
      </c>
    </row>
    <row r="1494" spans="1:13" x14ac:dyDescent="0.25">
      <c r="A1494" t="s">
        <v>2904</v>
      </c>
      <c r="B1494" t="s">
        <v>584</v>
      </c>
      <c r="C1494" t="s">
        <v>2905</v>
      </c>
      <c r="D1494" t="s">
        <v>710</v>
      </c>
      <c r="E1494" t="s">
        <v>730</v>
      </c>
      <c r="F1494">
        <v>39.99</v>
      </c>
      <c r="G1494">
        <v>1</v>
      </c>
      <c r="H1494">
        <v>0</v>
      </c>
      <c r="I1494">
        <v>39.99</v>
      </c>
      <c r="J1494">
        <v>39.99</v>
      </c>
      <c r="K1494" t="s">
        <v>661</v>
      </c>
      <c r="L1494" t="s">
        <v>656</v>
      </c>
    </row>
    <row r="1495" spans="1:13" x14ac:dyDescent="0.25">
      <c r="A1495" t="s">
        <v>2906</v>
      </c>
      <c r="B1495" t="s">
        <v>584</v>
      </c>
      <c r="C1495" t="s">
        <v>1130</v>
      </c>
      <c r="D1495" t="s">
        <v>710</v>
      </c>
      <c r="E1495" t="s">
        <v>730</v>
      </c>
      <c r="F1495">
        <v>39.99</v>
      </c>
      <c r="G1495">
        <v>4</v>
      </c>
      <c r="H1495">
        <v>0</v>
      </c>
      <c r="I1495">
        <v>39.99</v>
      </c>
      <c r="J1495">
        <v>159.96</v>
      </c>
      <c r="K1495" t="s">
        <v>655</v>
      </c>
      <c r="L1495" t="s">
        <v>739</v>
      </c>
      <c r="M1495">
        <v>1</v>
      </c>
    </row>
    <row r="1496" spans="1:13" x14ac:dyDescent="0.25">
      <c r="A1496" t="s">
        <v>2907</v>
      </c>
      <c r="B1496" t="s">
        <v>584</v>
      </c>
      <c r="C1496" t="s">
        <v>2268</v>
      </c>
      <c r="D1496" t="s">
        <v>680</v>
      </c>
      <c r="E1496" t="s">
        <v>749</v>
      </c>
      <c r="F1496">
        <v>14.99</v>
      </c>
      <c r="G1496">
        <v>1</v>
      </c>
      <c r="H1496">
        <v>15</v>
      </c>
      <c r="I1496">
        <v>12.74</v>
      </c>
      <c r="J1496">
        <v>12.74</v>
      </c>
      <c r="K1496" t="s">
        <v>669</v>
      </c>
      <c r="L1496" t="s">
        <v>656</v>
      </c>
    </row>
    <row r="1497" spans="1:13" x14ac:dyDescent="0.25">
      <c r="A1497" t="s">
        <v>2908</v>
      </c>
      <c r="B1497" t="s">
        <v>587</v>
      </c>
      <c r="C1497" t="s">
        <v>72</v>
      </c>
      <c r="D1497" t="s">
        <v>672</v>
      </c>
      <c r="E1497" t="s">
        <v>735</v>
      </c>
      <c r="F1497">
        <v>44.99</v>
      </c>
      <c r="G1497">
        <v>4</v>
      </c>
      <c r="H1497">
        <v>0</v>
      </c>
      <c r="I1497">
        <v>44.99</v>
      </c>
      <c r="J1497">
        <v>179.96</v>
      </c>
      <c r="K1497" t="s">
        <v>661</v>
      </c>
      <c r="L1497" t="s">
        <v>656</v>
      </c>
      <c r="M1497">
        <v>4</v>
      </c>
    </row>
    <row r="1498" spans="1:13" x14ac:dyDescent="0.25">
      <c r="A1498" t="s">
        <v>2909</v>
      </c>
      <c r="B1498" t="s">
        <v>587</v>
      </c>
      <c r="C1498" t="s">
        <v>1205</v>
      </c>
      <c r="D1498" t="s">
        <v>667</v>
      </c>
      <c r="E1498" t="s">
        <v>714</v>
      </c>
      <c r="F1498">
        <v>44.99</v>
      </c>
      <c r="G1498">
        <v>3</v>
      </c>
      <c r="H1498">
        <v>5</v>
      </c>
      <c r="I1498">
        <v>42.74</v>
      </c>
      <c r="J1498">
        <v>128.22</v>
      </c>
      <c r="K1498" t="s">
        <v>669</v>
      </c>
      <c r="L1498" t="s">
        <v>656</v>
      </c>
      <c r="M1498">
        <v>4</v>
      </c>
    </row>
    <row r="1499" spans="1:13" x14ac:dyDescent="0.25">
      <c r="A1499" t="s">
        <v>2910</v>
      </c>
      <c r="B1499" t="s">
        <v>587</v>
      </c>
      <c r="C1499" t="s">
        <v>1216</v>
      </c>
      <c r="D1499" t="s">
        <v>680</v>
      </c>
      <c r="E1499" t="s">
        <v>688</v>
      </c>
      <c r="F1499">
        <v>29.99</v>
      </c>
      <c r="G1499">
        <v>2</v>
      </c>
      <c r="H1499">
        <v>0</v>
      </c>
      <c r="I1499">
        <v>29.99</v>
      </c>
      <c r="J1499">
        <v>59.98</v>
      </c>
      <c r="K1499" t="s">
        <v>669</v>
      </c>
      <c r="L1499" t="s">
        <v>656</v>
      </c>
      <c r="M1499">
        <v>5</v>
      </c>
    </row>
    <row r="1500" spans="1:13" x14ac:dyDescent="0.25">
      <c r="A1500" t="s">
        <v>2911</v>
      </c>
      <c r="B1500" t="s">
        <v>587</v>
      </c>
      <c r="C1500" t="s">
        <v>1470</v>
      </c>
      <c r="D1500" t="s">
        <v>684</v>
      </c>
      <c r="E1500" t="s">
        <v>702</v>
      </c>
      <c r="F1500">
        <v>199.99</v>
      </c>
      <c r="G1500">
        <v>4</v>
      </c>
      <c r="H1500">
        <v>0</v>
      </c>
      <c r="I1500">
        <v>199.99</v>
      </c>
      <c r="J1500">
        <v>799.96</v>
      </c>
      <c r="K1500" t="s">
        <v>682</v>
      </c>
      <c r="L1500" t="s">
        <v>656</v>
      </c>
    </row>
    <row r="1501" spans="1:13" x14ac:dyDescent="0.25">
      <c r="A1501" t="s">
        <v>2912</v>
      </c>
      <c r="B1501" t="s">
        <v>587</v>
      </c>
      <c r="C1501" t="s">
        <v>1224</v>
      </c>
      <c r="D1501" t="s">
        <v>672</v>
      </c>
      <c r="E1501" t="s">
        <v>803</v>
      </c>
      <c r="F1501">
        <v>69.989999999999995</v>
      </c>
      <c r="G1501">
        <v>1</v>
      </c>
      <c r="H1501">
        <v>15</v>
      </c>
      <c r="I1501">
        <v>59.49</v>
      </c>
      <c r="J1501">
        <v>59.49</v>
      </c>
      <c r="K1501" t="s">
        <v>682</v>
      </c>
      <c r="L1501" t="s">
        <v>656</v>
      </c>
      <c r="M1501">
        <v>4</v>
      </c>
    </row>
    <row r="1502" spans="1:13" x14ac:dyDescent="0.25">
      <c r="A1502" t="s">
        <v>2913</v>
      </c>
      <c r="B1502" t="s">
        <v>587</v>
      </c>
      <c r="C1502" t="s">
        <v>1159</v>
      </c>
      <c r="D1502" t="s">
        <v>672</v>
      </c>
      <c r="E1502" t="s">
        <v>803</v>
      </c>
      <c r="F1502">
        <v>69.989999999999995</v>
      </c>
      <c r="G1502">
        <v>1</v>
      </c>
      <c r="H1502">
        <v>10</v>
      </c>
      <c r="I1502">
        <v>62.99</v>
      </c>
      <c r="J1502">
        <v>62.99</v>
      </c>
      <c r="K1502" t="s">
        <v>669</v>
      </c>
      <c r="L1502" t="s">
        <v>656</v>
      </c>
    </row>
    <row r="1503" spans="1:13" x14ac:dyDescent="0.25">
      <c r="A1503" t="s">
        <v>2914</v>
      </c>
      <c r="B1503" t="s">
        <v>587</v>
      </c>
      <c r="C1503" t="s">
        <v>925</v>
      </c>
      <c r="D1503" t="s">
        <v>672</v>
      </c>
      <c r="E1503" t="s">
        <v>724</v>
      </c>
      <c r="F1503">
        <v>89.99</v>
      </c>
      <c r="G1503">
        <v>1</v>
      </c>
      <c r="H1503">
        <v>5</v>
      </c>
      <c r="I1503">
        <v>85.49</v>
      </c>
      <c r="J1503">
        <v>85.49</v>
      </c>
      <c r="K1503" t="s">
        <v>675</v>
      </c>
      <c r="L1503" t="s">
        <v>788</v>
      </c>
    </row>
    <row r="1504" spans="1:13" x14ac:dyDescent="0.25">
      <c r="A1504" t="s">
        <v>2915</v>
      </c>
      <c r="B1504" t="s">
        <v>587</v>
      </c>
      <c r="C1504" t="s">
        <v>309</v>
      </c>
      <c r="D1504" t="s">
        <v>667</v>
      </c>
      <c r="E1504" t="s">
        <v>699</v>
      </c>
      <c r="F1504">
        <v>89.99</v>
      </c>
      <c r="G1504">
        <v>2</v>
      </c>
      <c r="H1504">
        <v>15</v>
      </c>
      <c r="I1504">
        <v>76.489999999999995</v>
      </c>
      <c r="J1504">
        <v>152.97999999999999</v>
      </c>
      <c r="K1504" t="s">
        <v>655</v>
      </c>
      <c r="L1504" t="s">
        <v>656</v>
      </c>
    </row>
    <row r="1505" spans="1:13" x14ac:dyDescent="0.25">
      <c r="A1505" t="s">
        <v>2916</v>
      </c>
      <c r="B1505" t="s">
        <v>587</v>
      </c>
      <c r="C1505" t="s">
        <v>2917</v>
      </c>
      <c r="D1505" t="s">
        <v>653</v>
      </c>
      <c r="E1505" t="s">
        <v>827</v>
      </c>
      <c r="F1505">
        <v>29.99</v>
      </c>
      <c r="G1505">
        <v>1</v>
      </c>
      <c r="H1505">
        <v>0</v>
      </c>
      <c r="I1505">
        <v>29.99</v>
      </c>
      <c r="J1505">
        <v>29.99</v>
      </c>
      <c r="K1505" t="s">
        <v>655</v>
      </c>
      <c r="L1505" t="s">
        <v>656</v>
      </c>
    </row>
    <row r="1506" spans="1:13" x14ac:dyDescent="0.25">
      <c r="A1506" t="s">
        <v>2918</v>
      </c>
      <c r="B1506" t="s">
        <v>587</v>
      </c>
      <c r="C1506" t="s">
        <v>2919</v>
      </c>
      <c r="D1506" t="s">
        <v>672</v>
      </c>
      <c r="E1506" t="s">
        <v>673</v>
      </c>
      <c r="F1506">
        <v>24.99</v>
      </c>
      <c r="G1506">
        <v>2</v>
      </c>
      <c r="H1506">
        <v>10</v>
      </c>
      <c r="I1506">
        <v>22.49</v>
      </c>
      <c r="J1506">
        <v>44.98</v>
      </c>
      <c r="K1506" t="s">
        <v>682</v>
      </c>
      <c r="L1506" t="s">
        <v>788</v>
      </c>
    </row>
    <row r="1507" spans="1:13" x14ac:dyDescent="0.25">
      <c r="A1507" t="s">
        <v>2920</v>
      </c>
      <c r="B1507" t="s">
        <v>587</v>
      </c>
      <c r="C1507" t="s">
        <v>843</v>
      </c>
      <c r="D1507" t="s">
        <v>653</v>
      </c>
      <c r="E1507" t="s">
        <v>654</v>
      </c>
      <c r="F1507">
        <v>39.99</v>
      </c>
      <c r="G1507">
        <v>4</v>
      </c>
      <c r="H1507">
        <v>20</v>
      </c>
      <c r="I1507">
        <v>31.99</v>
      </c>
      <c r="J1507">
        <v>127.96</v>
      </c>
      <c r="K1507" t="s">
        <v>669</v>
      </c>
      <c r="L1507" t="s">
        <v>785</v>
      </c>
      <c r="M1507">
        <v>4</v>
      </c>
    </row>
    <row r="1508" spans="1:13" x14ac:dyDescent="0.25">
      <c r="A1508" t="s">
        <v>2921</v>
      </c>
      <c r="B1508" t="s">
        <v>587</v>
      </c>
      <c r="C1508" t="s">
        <v>377</v>
      </c>
      <c r="D1508" t="s">
        <v>672</v>
      </c>
      <c r="E1508" t="s">
        <v>803</v>
      </c>
      <c r="F1508">
        <v>69.989999999999995</v>
      </c>
      <c r="G1508">
        <v>3</v>
      </c>
      <c r="H1508">
        <v>15</v>
      </c>
      <c r="I1508">
        <v>59.49</v>
      </c>
      <c r="J1508">
        <v>178.47</v>
      </c>
      <c r="K1508" t="s">
        <v>682</v>
      </c>
      <c r="L1508" t="s">
        <v>656</v>
      </c>
    </row>
    <row r="1509" spans="1:13" x14ac:dyDescent="0.25">
      <c r="A1509" t="s">
        <v>2922</v>
      </c>
      <c r="B1509" t="s">
        <v>587</v>
      </c>
      <c r="C1509" t="s">
        <v>1851</v>
      </c>
      <c r="D1509" t="s">
        <v>710</v>
      </c>
      <c r="E1509" t="s">
        <v>744</v>
      </c>
      <c r="F1509">
        <v>29.99</v>
      </c>
      <c r="G1509">
        <v>3</v>
      </c>
      <c r="H1509">
        <v>0</v>
      </c>
      <c r="I1509">
        <v>29.99</v>
      </c>
      <c r="J1509">
        <v>89.97</v>
      </c>
      <c r="K1509" t="s">
        <v>655</v>
      </c>
      <c r="L1509" t="s">
        <v>656</v>
      </c>
      <c r="M1509">
        <v>5</v>
      </c>
    </row>
    <row r="1510" spans="1:13" x14ac:dyDescent="0.25">
      <c r="A1510" t="s">
        <v>2923</v>
      </c>
      <c r="B1510" t="s">
        <v>587</v>
      </c>
      <c r="C1510" t="s">
        <v>2899</v>
      </c>
      <c r="D1510" t="s">
        <v>653</v>
      </c>
      <c r="E1510" t="s">
        <v>827</v>
      </c>
      <c r="F1510">
        <v>29.99</v>
      </c>
      <c r="G1510">
        <v>1</v>
      </c>
      <c r="H1510">
        <v>0</v>
      </c>
      <c r="I1510">
        <v>29.99</v>
      </c>
      <c r="J1510">
        <v>29.99</v>
      </c>
      <c r="K1510" t="s">
        <v>675</v>
      </c>
      <c r="L1510" t="s">
        <v>656</v>
      </c>
      <c r="M1510">
        <v>3</v>
      </c>
    </row>
    <row r="1511" spans="1:13" x14ac:dyDescent="0.25">
      <c r="A1511" t="s">
        <v>2924</v>
      </c>
      <c r="B1511" t="s">
        <v>587</v>
      </c>
      <c r="C1511" t="s">
        <v>860</v>
      </c>
      <c r="D1511" t="s">
        <v>659</v>
      </c>
      <c r="E1511" t="s">
        <v>660</v>
      </c>
      <c r="F1511">
        <v>19.989999999999998</v>
      </c>
      <c r="G1511">
        <v>4</v>
      </c>
      <c r="H1511">
        <v>0</v>
      </c>
      <c r="I1511">
        <v>19.989999999999998</v>
      </c>
      <c r="J1511">
        <v>79.959999999999994</v>
      </c>
      <c r="K1511" t="s">
        <v>661</v>
      </c>
      <c r="L1511" t="s">
        <v>656</v>
      </c>
      <c r="M1511">
        <v>5</v>
      </c>
    </row>
    <row r="1512" spans="1:13" x14ac:dyDescent="0.25">
      <c r="A1512" t="s">
        <v>2925</v>
      </c>
      <c r="B1512" t="s">
        <v>590</v>
      </c>
      <c r="C1512" t="s">
        <v>2926</v>
      </c>
      <c r="D1512" t="s">
        <v>710</v>
      </c>
      <c r="E1512" t="s">
        <v>721</v>
      </c>
      <c r="F1512">
        <v>24.99</v>
      </c>
      <c r="G1512">
        <v>2</v>
      </c>
      <c r="H1512">
        <v>0</v>
      </c>
      <c r="I1512">
        <v>24.99</v>
      </c>
      <c r="J1512">
        <v>49.98</v>
      </c>
      <c r="K1512" t="s">
        <v>675</v>
      </c>
      <c r="L1512" t="s">
        <v>656</v>
      </c>
      <c r="M1512">
        <v>3</v>
      </c>
    </row>
    <row r="1513" spans="1:13" x14ac:dyDescent="0.25">
      <c r="A1513" t="s">
        <v>2927</v>
      </c>
      <c r="B1513" t="s">
        <v>590</v>
      </c>
      <c r="C1513" t="s">
        <v>796</v>
      </c>
      <c r="D1513" t="s">
        <v>684</v>
      </c>
      <c r="E1513" t="s">
        <v>702</v>
      </c>
      <c r="F1513">
        <v>199.99</v>
      </c>
      <c r="G1513">
        <v>1</v>
      </c>
      <c r="H1513">
        <v>10</v>
      </c>
      <c r="I1513">
        <v>179.99</v>
      </c>
      <c r="J1513">
        <v>179.99</v>
      </c>
      <c r="K1513" t="s">
        <v>661</v>
      </c>
      <c r="L1513" t="s">
        <v>656</v>
      </c>
      <c r="M1513">
        <v>4</v>
      </c>
    </row>
    <row r="1514" spans="1:13" x14ac:dyDescent="0.25">
      <c r="A1514" t="s">
        <v>2928</v>
      </c>
      <c r="B1514" t="s">
        <v>590</v>
      </c>
      <c r="C1514" t="s">
        <v>1279</v>
      </c>
      <c r="D1514" t="s">
        <v>659</v>
      </c>
      <c r="E1514" t="s">
        <v>664</v>
      </c>
      <c r="F1514">
        <v>24.99</v>
      </c>
      <c r="G1514">
        <v>4</v>
      </c>
      <c r="H1514">
        <v>5</v>
      </c>
      <c r="I1514">
        <v>23.74</v>
      </c>
      <c r="J1514">
        <v>94.96</v>
      </c>
      <c r="K1514" t="s">
        <v>675</v>
      </c>
      <c r="L1514" t="s">
        <v>656</v>
      </c>
      <c r="M1514">
        <v>4</v>
      </c>
    </row>
    <row r="1515" spans="1:13" x14ac:dyDescent="0.25">
      <c r="A1515" t="s">
        <v>2929</v>
      </c>
      <c r="B1515" t="s">
        <v>590</v>
      </c>
      <c r="C1515" t="s">
        <v>1085</v>
      </c>
      <c r="D1515" t="s">
        <v>672</v>
      </c>
      <c r="E1515" t="s">
        <v>673</v>
      </c>
      <c r="F1515">
        <v>24.99</v>
      </c>
      <c r="G1515">
        <v>2</v>
      </c>
      <c r="H1515">
        <v>0</v>
      </c>
      <c r="I1515">
        <v>24.99</v>
      </c>
      <c r="J1515">
        <v>49.98</v>
      </c>
      <c r="K1515" t="s">
        <v>675</v>
      </c>
      <c r="L1515" t="s">
        <v>656</v>
      </c>
    </row>
    <row r="1516" spans="1:13" x14ac:dyDescent="0.25">
      <c r="A1516" t="s">
        <v>2930</v>
      </c>
      <c r="B1516" t="s">
        <v>590</v>
      </c>
      <c r="C1516" t="s">
        <v>920</v>
      </c>
      <c r="D1516" t="s">
        <v>659</v>
      </c>
      <c r="E1516" t="s">
        <v>820</v>
      </c>
      <c r="F1516">
        <v>39.99</v>
      </c>
      <c r="G1516">
        <v>3</v>
      </c>
      <c r="H1516">
        <v>15</v>
      </c>
      <c r="I1516">
        <v>33.99</v>
      </c>
      <c r="J1516">
        <v>101.97</v>
      </c>
      <c r="K1516" t="s">
        <v>661</v>
      </c>
      <c r="L1516" t="s">
        <v>656</v>
      </c>
      <c r="M1516">
        <v>4</v>
      </c>
    </row>
    <row r="1517" spans="1:13" x14ac:dyDescent="0.25">
      <c r="A1517" t="s">
        <v>2931</v>
      </c>
      <c r="B1517" t="s">
        <v>590</v>
      </c>
      <c r="C1517" t="s">
        <v>2546</v>
      </c>
      <c r="D1517" t="s">
        <v>710</v>
      </c>
      <c r="E1517" t="s">
        <v>730</v>
      </c>
      <c r="F1517">
        <v>39.99</v>
      </c>
      <c r="G1517">
        <v>1</v>
      </c>
      <c r="H1517">
        <v>0</v>
      </c>
      <c r="I1517">
        <v>39.99</v>
      </c>
      <c r="J1517">
        <v>39.99</v>
      </c>
      <c r="K1517" t="s">
        <v>669</v>
      </c>
      <c r="L1517" t="s">
        <v>656</v>
      </c>
      <c r="M1517">
        <v>5</v>
      </c>
    </row>
    <row r="1518" spans="1:13" x14ac:dyDescent="0.25">
      <c r="A1518" t="s">
        <v>2932</v>
      </c>
      <c r="B1518" t="s">
        <v>592</v>
      </c>
      <c r="C1518" t="s">
        <v>802</v>
      </c>
      <c r="D1518" t="s">
        <v>667</v>
      </c>
      <c r="E1518" t="s">
        <v>714</v>
      </c>
      <c r="F1518">
        <v>44.99</v>
      </c>
      <c r="G1518">
        <v>4</v>
      </c>
      <c r="H1518">
        <v>20</v>
      </c>
      <c r="I1518">
        <v>35.99</v>
      </c>
      <c r="J1518">
        <v>143.96</v>
      </c>
      <c r="K1518" t="s">
        <v>682</v>
      </c>
      <c r="L1518" t="s">
        <v>656</v>
      </c>
      <c r="M1518">
        <v>4</v>
      </c>
    </row>
    <row r="1519" spans="1:13" x14ac:dyDescent="0.25">
      <c r="A1519" t="s">
        <v>2933</v>
      </c>
      <c r="B1519" t="s">
        <v>592</v>
      </c>
      <c r="C1519" t="s">
        <v>1475</v>
      </c>
      <c r="D1519" t="s">
        <v>667</v>
      </c>
      <c r="E1519" t="s">
        <v>696</v>
      </c>
      <c r="F1519">
        <v>59.99</v>
      </c>
      <c r="G1519">
        <v>3</v>
      </c>
      <c r="H1519">
        <v>5</v>
      </c>
      <c r="I1519">
        <v>56.99</v>
      </c>
      <c r="J1519">
        <v>170.97</v>
      </c>
      <c r="K1519" t="s">
        <v>661</v>
      </c>
      <c r="L1519" t="s">
        <v>788</v>
      </c>
      <c r="M1519">
        <v>5</v>
      </c>
    </row>
    <row r="1520" spans="1:13" x14ac:dyDescent="0.25">
      <c r="A1520" t="s">
        <v>2934</v>
      </c>
      <c r="B1520" t="s">
        <v>592</v>
      </c>
      <c r="C1520" t="s">
        <v>513</v>
      </c>
      <c r="D1520" t="s">
        <v>684</v>
      </c>
      <c r="E1520" t="s">
        <v>705</v>
      </c>
      <c r="F1520">
        <v>79.989999999999995</v>
      </c>
      <c r="G1520">
        <v>1</v>
      </c>
      <c r="H1520">
        <v>10</v>
      </c>
      <c r="I1520">
        <v>71.989999999999995</v>
      </c>
      <c r="J1520">
        <v>71.989999999999995</v>
      </c>
      <c r="K1520" t="s">
        <v>655</v>
      </c>
      <c r="L1520" t="s">
        <v>656</v>
      </c>
      <c r="M1520">
        <v>4</v>
      </c>
    </row>
    <row r="1521" spans="1:13" x14ac:dyDescent="0.25">
      <c r="A1521" t="s">
        <v>2935</v>
      </c>
      <c r="B1521" t="s">
        <v>592</v>
      </c>
      <c r="C1521" t="s">
        <v>2350</v>
      </c>
      <c r="D1521" t="s">
        <v>667</v>
      </c>
      <c r="E1521" t="s">
        <v>714</v>
      </c>
      <c r="F1521">
        <v>44.99</v>
      </c>
      <c r="G1521">
        <v>2</v>
      </c>
      <c r="H1521">
        <v>20</v>
      </c>
      <c r="I1521">
        <v>35.99</v>
      </c>
      <c r="J1521">
        <v>71.98</v>
      </c>
      <c r="K1521" t="s">
        <v>669</v>
      </c>
      <c r="L1521" t="s">
        <v>656</v>
      </c>
    </row>
    <row r="1522" spans="1:13" x14ac:dyDescent="0.25">
      <c r="A1522" t="s">
        <v>2936</v>
      </c>
      <c r="B1522" t="s">
        <v>594</v>
      </c>
      <c r="C1522" t="s">
        <v>1666</v>
      </c>
      <c r="D1522" t="s">
        <v>710</v>
      </c>
      <c r="E1522" t="s">
        <v>711</v>
      </c>
      <c r="F1522">
        <v>14.99</v>
      </c>
      <c r="G1522">
        <v>3</v>
      </c>
      <c r="H1522">
        <v>15</v>
      </c>
      <c r="I1522">
        <v>12.74</v>
      </c>
      <c r="J1522">
        <v>38.22</v>
      </c>
      <c r="K1522" t="s">
        <v>661</v>
      </c>
      <c r="L1522" t="s">
        <v>656</v>
      </c>
    </row>
    <row r="1523" spans="1:13" x14ac:dyDescent="0.25">
      <c r="A1523" t="s">
        <v>2937</v>
      </c>
      <c r="B1523" t="s">
        <v>594</v>
      </c>
      <c r="C1523" t="s">
        <v>2571</v>
      </c>
      <c r="D1523" t="s">
        <v>653</v>
      </c>
      <c r="E1523" t="s">
        <v>769</v>
      </c>
      <c r="F1523">
        <v>49.99</v>
      </c>
      <c r="G1523">
        <v>3</v>
      </c>
      <c r="H1523">
        <v>0</v>
      </c>
      <c r="I1523">
        <v>49.99</v>
      </c>
      <c r="J1523">
        <v>149.97</v>
      </c>
      <c r="K1523" t="s">
        <v>682</v>
      </c>
      <c r="L1523" t="s">
        <v>656</v>
      </c>
      <c r="M1523">
        <v>3</v>
      </c>
    </row>
    <row r="1524" spans="1:13" x14ac:dyDescent="0.25">
      <c r="A1524" t="s">
        <v>2938</v>
      </c>
      <c r="B1524" t="s">
        <v>594</v>
      </c>
      <c r="C1524" t="s">
        <v>1145</v>
      </c>
      <c r="D1524" t="s">
        <v>667</v>
      </c>
      <c r="E1524" t="s">
        <v>714</v>
      </c>
      <c r="F1524">
        <v>44.99</v>
      </c>
      <c r="G1524">
        <v>1</v>
      </c>
      <c r="H1524">
        <v>20</v>
      </c>
      <c r="I1524">
        <v>35.99</v>
      </c>
      <c r="J1524">
        <v>35.99</v>
      </c>
      <c r="K1524" t="s">
        <v>661</v>
      </c>
      <c r="L1524" t="s">
        <v>656</v>
      </c>
    </row>
    <row r="1525" spans="1:13" x14ac:dyDescent="0.25">
      <c r="A1525" t="s">
        <v>2939</v>
      </c>
      <c r="B1525" t="s">
        <v>594</v>
      </c>
      <c r="C1525" t="s">
        <v>596</v>
      </c>
      <c r="D1525" t="s">
        <v>659</v>
      </c>
      <c r="E1525" t="s">
        <v>660</v>
      </c>
      <c r="F1525">
        <v>19.989999999999998</v>
      </c>
      <c r="G1525">
        <v>3</v>
      </c>
      <c r="H1525">
        <v>5</v>
      </c>
      <c r="I1525">
        <v>18.989999999999998</v>
      </c>
      <c r="J1525">
        <v>56.97</v>
      </c>
      <c r="K1525" t="s">
        <v>661</v>
      </c>
      <c r="L1525" t="s">
        <v>656</v>
      </c>
    </row>
    <row r="1526" spans="1:13" x14ac:dyDescent="0.25">
      <c r="A1526" t="s">
        <v>2940</v>
      </c>
      <c r="B1526" t="s">
        <v>594</v>
      </c>
      <c r="C1526" t="s">
        <v>1327</v>
      </c>
      <c r="D1526" t="s">
        <v>684</v>
      </c>
      <c r="E1526" t="s">
        <v>705</v>
      </c>
      <c r="F1526">
        <v>79.989999999999995</v>
      </c>
      <c r="G1526">
        <v>4</v>
      </c>
      <c r="H1526">
        <v>0</v>
      </c>
      <c r="I1526">
        <v>79.989999999999995</v>
      </c>
      <c r="J1526">
        <v>319.95999999999998</v>
      </c>
      <c r="K1526" t="s">
        <v>675</v>
      </c>
      <c r="L1526" t="s">
        <v>656</v>
      </c>
    </row>
    <row r="1527" spans="1:13" x14ac:dyDescent="0.25">
      <c r="A1527" t="s">
        <v>2941</v>
      </c>
      <c r="B1527" t="s">
        <v>594</v>
      </c>
      <c r="C1527" t="s">
        <v>2034</v>
      </c>
      <c r="D1527" t="s">
        <v>680</v>
      </c>
      <c r="E1527" t="s">
        <v>749</v>
      </c>
      <c r="F1527">
        <v>14.99</v>
      </c>
      <c r="G1527">
        <v>3</v>
      </c>
      <c r="H1527">
        <v>5</v>
      </c>
      <c r="I1527">
        <v>14.24</v>
      </c>
      <c r="J1527">
        <v>42.72</v>
      </c>
      <c r="K1527" t="s">
        <v>669</v>
      </c>
      <c r="L1527" t="s">
        <v>656</v>
      </c>
      <c r="M1527">
        <v>4</v>
      </c>
    </row>
    <row r="1528" spans="1:13" x14ac:dyDescent="0.25">
      <c r="A1528" t="s">
        <v>2942</v>
      </c>
      <c r="B1528" t="s">
        <v>594</v>
      </c>
      <c r="C1528" t="s">
        <v>1717</v>
      </c>
      <c r="D1528" t="s">
        <v>653</v>
      </c>
      <c r="E1528" t="s">
        <v>827</v>
      </c>
      <c r="F1528">
        <v>29.99</v>
      </c>
      <c r="G1528">
        <v>4</v>
      </c>
      <c r="H1528">
        <v>5</v>
      </c>
      <c r="I1528">
        <v>28.49</v>
      </c>
      <c r="J1528">
        <v>113.96</v>
      </c>
      <c r="K1528" t="s">
        <v>675</v>
      </c>
      <c r="L1528" t="s">
        <v>656</v>
      </c>
      <c r="M1528">
        <v>4</v>
      </c>
    </row>
    <row r="1529" spans="1:13" x14ac:dyDescent="0.25">
      <c r="A1529" t="s">
        <v>2943</v>
      </c>
      <c r="B1529" t="s">
        <v>594</v>
      </c>
      <c r="C1529" t="s">
        <v>448</v>
      </c>
      <c r="D1529" t="s">
        <v>659</v>
      </c>
      <c r="E1529" t="s">
        <v>820</v>
      </c>
      <c r="F1529">
        <v>39.99</v>
      </c>
      <c r="G1529">
        <v>2</v>
      </c>
      <c r="H1529">
        <v>20</v>
      </c>
      <c r="I1529">
        <v>31.99</v>
      </c>
      <c r="J1529">
        <v>63.98</v>
      </c>
      <c r="K1529" t="s">
        <v>661</v>
      </c>
      <c r="L1529" t="s">
        <v>656</v>
      </c>
      <c r="M1529">
        <v>5</v>
      </c>
    </row>
    <row r="1530" spans="1:13" x14ac:dyDescent="0.25">
      <c r="A1530" t="s">
        <v>2944</v>
      </c>
      <c r="B1530" t="s">
        <v>594</v>
      </c>
      <c r="C1530" t="s">
        <v>1994</v>
      </c>
      <c r="D1530" t="s">
        <v>667</v>
      </c>
      <c r="E1530" t="s">
        <v>668</v>
      </c>
      <c r="F1530">
        <v>64.989999999999995</v>
      </c>
      <c r="G1530">
        <v>1</v>
      </c>
      <c r="H1530">
        <v>10</v>
      </c>
      <c r="I1530">
        <v>58.49</v>
      </c>
      <c r="J1530">
        <v>58.49</v>
      </c>
      <c r="K1530" t="s">
        <v>661</v>
      </c>
      <c r="L1530" t="s">
        <v>656</v>
      </c>
    </row>
    <row r="1531" spans="1:13" x14ac:dyDescent="0.25">
      <c r="A1531" t="s">
        <v>2945</v>
      </c>
      <c r="B1531" t="s">
        <v>594</v>
      </c>
      <c r="C1531" t="s">
        <v>2946</v>
      </c>
      <c r="D1531" t="s">
        <v>680</v>
      </c>
      <c r="E1531" t="s">
        <v>688</v>
      </c>
      <c r="F1531">
        <v>29.99</v>
      </c>
      <c r="G1531">
        <v>4</v>
      </c>
      <c r="H1531">
        <v>0</v>
      </c>
      <c r="I1531">
        <v>29.99</v>
      </c>
      <c r="J1531">
        <v>119.96</v>
      </c>
      <c r="K1531" t="s">
        <v>682</v>
      </c>
      <c r="L1531" t="s">
        <v>788</v>
      </c>
      <c r="M1531">
        <v>4</v>
      </c>
    </row>
    <row r="1532" spans="1:13" x14ac:dyDescent="0.25">
      <c r="A1532" t="s">
        <v>2947</v>
      </c>
      <c r="B1532" t="s">
        <v>594</v>
      </c>
      <c r="C1532" t="s">
        <v>1238</v>
      </c>
      <c r="D1532" t="s">
        <v>680</v>
      </c>
      <c r="E1532" t="s">
        <v>749</v>
      </c>
      <c r="F1532">
        <v>14.99</v>
      </c>
      <c r="G1532">
        <v>2</v>
      </c>
      <c r="H1532">
        <v>5</v>
      </c>
      <c r="I1532">
        <v>14.24</v>
      </c>
      <c r="J1532">
        <v>28.48</v>
      </c>
      <c r="K1532" t="s">
        <v>669</v>
      </c>
      <c r="L1532" t="s">
        <v>656</v>
      </c>
      <c r="M1532">
        <v>5</v>
      </c>
    </row>
    <row r="1533" spans="1:13" x14ac:dyDescent="0.25">
      <c r="A1533" t="s">
        <v>2948</v>
      </c>
      <c r="B1533" t="s">
        <v>594</v>
      </c>
      <c r="C1533" t="s">
        <v>173</v>
      </c>
      <c r="D1533" t="s">
        <v>667</v>
      </c>
      <c r="E1533" t="s">
        <v>668</v>
      </c>
      <c r="F1533">
        <v>64.989999999999995</v>
      </c>
      <c r="G1533">
        <v>1</v>
      </c>
      <c r="H1533">
        <v>0</v>
      </c>
      <c r="I1533">
        <v>64.989999999999995</v>
      </c>
      <c r="J1533">
        <v>64.989999999999995</v>
      </c>
      <c r="K1533" t="s">
        <v>682</v>
      </c>
      <c r="L1533" t="s">
        <v>656</v>
      </c>
      <c r="M1533">
        <v>3</v>
      </c>
    </row>
    <row r="1534" spans="1:13" x14ac:dyDescent="0.25">
      <c r="A1534" t="s">
        <v>2949</v>
      </c>
      <c r="B1534" t="s">
        <v>594</v>
      </c>
      <c r="C1534" t="s">
        <v>679</v>
      </c>
      <c r="D1534" t="s">
        <v>672</v>
      </c>
      <c r="E1534" t="s">
        <v>724</v>
      </c>
      <c r="F1534">
        <v>89.99</v>
      </c>
      <c r="G1534">
        <v>4</v>
      </c>
      <c r="H1534">
        <v>10</v>
      </c>
      <c r="I1534">
        <v>80.989999999999995</v>
      </c>
      <c r="J1534">
        <v>323.95999999999998</v>
      </c>
      <c r="K1534" t="s">
        <v>675</v>
      </c>
      <c r="L1534" t="s">
        <v>656</v>
      </c>
    </row>
    <row r="1535" spans="1:13" x14ac:dyDescent="0.25">
      <c r="A1535" t="s">
        <v>2950</v>
      </c>
      <c r="B1535" t="s">
        <v>597</v>
      </c>
      <c r="C1535" t="s">
        <v>2951</v>
      </c>
      <c r="D1535" t="s">
        <v>653</v>
      </c>
      <c r="E1535" t="s">
        <v>769</v>
      </c>
      <c r="F1535">
        <v>49.99</v>
      </c>
      <c r="G1535">
        <v>3</v>
      </c>
      <c r="H1535">
        <v>0</v>
      </c>
      <c r="I1535">
        <v>49.99</v>
      </c>
      <c r="J1535">
        <v>149.97</v>
      </c>
      <c r="K1535" t="s">
        <v>661</v>
      </c>
      <c r="L1535" t="s">
        <v>739</v>
      </c>
      <c r="M1535">
        <v>5</v>
      </c>
    </row>
    <row r="1536" spans="1:13" x14ac:dyDescent="0.25">
      <c r="A1536" t="s">
        <v>2952</v>
      </c>
      <c r="B1536" t="s">
        <v>597</v>
      </c>
      <c r="C1536" t="s">
        <v>2953</v>
      </c>
      <c r="D1536" t="s">
        <v>653</v>
      </c>
      <c r="E1536" t="s">
        <v>827</v>
      </c>
      <c r="F1536">
        <v>29.99</v>
      </c>
      <c r="G1536">
        <v>2</v>
      </c>
      <c r="H1536">
        <v>0</v>
      </c>
      <c r="I1536">
        <v>29.99</v>
      </c>
      <c r="J1536">
        <v>59.98</v>
      </c>
      <c r="K1536" t="s">
        <v>655</v>
      </c>
      <c r="L1536" t="s">
        <v>656</v>
      </c>
      <c r="M1536">
        <v>5</v>
      </c>
    </row>
    <row r="1537" spans="1:13" x14ac:dyDescent="0.25">
      <c r="A1537" t="s">
        <v>2954</v>
      </c>
      <c r="B1537" t="s">
        <v>597</v>
      </c>
      <c r="C1537" t="s">
        <v>295</v>
      </c>
      <c r="D1537" t="s">
        <v>667</v>
      </c>
      <c r="E1537" t="s">
        <v>714</v>
      </c>
      <c r="F1537">
        <v>44.99</v>
      </c>
      <c r="G1537">
        <v>1</v>
      </c>
      <c r="H1537">
        <v>5</v>
      </c>
      <c r="I1537">
        <v>42.74</v>
      </c>
      <c r="J1537">
        <v>42.74</v>
      </c>
      <c r="K1537" t="s">
        <v>669</v>
      </c>
      <c r="L1537" t="s">
        <v>656</v>
      </c>
      <c r="M1537">
        <v>4</v>
      </c>
    </row>
    <row r="1538" spans="1:13" x14ac:dyDescent="0.25">
      <c r="A1538" t="s">
        <v>2955</v>
      </c>
      <c r="B1538" t="s">
        <v>597</v>
      </c>
      <c r="C1538" t="s">
        <v>2156</v>
      </c>
      <c r="D1538" t="s">
        <v>659</v>
      </c>
      <c r="E1538" t="s">
        <v>660</v>
      </c>
      <c r="F1538">
        <v>19.989999999999998</v>
      </c>
      <c r="G1538">
        <v>2</v>
      </c>
      <c r="H1538">
        <v>0</v>
      </c>
      <c r="I1538">
        <v>19.989999999999998</v>
      </c>
      <c r="J1538">
        <v>39.979999999999997</v>
      </c>
      <c r="K1538" t="s">
        <v>655</v>
      </c>
      <c r="L1538" t="s">
        <v>656</v>
      </c>
      <c r="M1538">
        <v>5</v>
      </c>
    </row>
    <row r="1539" spans="1:13" x14ac:dyDescent="0.25">
      <c r="A1539" t="s">
        <v>2956</v>
      </c>
      <c r="B1539" t="s">
        <v>597</v>
      </c>
      <c r="C1539" t="s">
        <v>2811</v>
      </c>
      <c r="D1539" t="s">
        <v>653</v>
      </c>
      <c r="E1539" t="s">
        <v>827</v>
      </c>
      <c r="F1539">
        <v>29.99</v>
      </c>
      <c r="G1539">
        <v>4</v>
      </c>
      <c r="H1539">
        <v>10</v>
      </c>
      <c r="I1539">
        <v>26.99</v>
      </c>
      <c r="J1539">
        <v>107.96</v>
      </c>
      <c r="K1539" t="s">
        <v>655</v>
      </c>
      <c r="L1539" t="s">
        <v>656</v>
      </c>
    </row>
    <row r="1540" spans="1:13" x14ac:dyDescent="0.25">
      <c r="A1540" t="s">
        <v>2957</v>
      </c>
      <c r="B1540" t="s">
        <v>597</v>
      </c>
      <c r="C1540" t="s">
        <v>966</v>
      </c>
      <c r="D1540" t="s">
        <v>653</v>
      </c>
      <c r="E1540" t="s">
        <v>727</v>
      </c>
      <c r="F1540">
        <v>14.99</v>
      </c>
      <c r="G1540">
        <v>3</v>
      </c>
      <c r="H1540">
        <v>20</v>
      </c>
      <c r="I1540">
        <v>11.99</v>
      </c>
      <c r="J1540">
        <v>35.97</v>
      </c>
      <c r="K1540" t="s">
        <v>669</v>
      </c>
      <c r="L1540" t="s">
        <v>656</v>
      </c>
      <c r="M1540">
        <v>4</v>
      </c>
    </row>
    <row r="1541" spans="1:13" x14ac:dyDescent="0.25">
      <c r="A1541" t="s">
        <v>2958</v>
      </c>
      <c r="B1541" t="s">
        <v>600</v>
      </c>
      <c r="C1541" t="s">
        <v>794</v>
      </c>
      <c r="D1541" t="s">
        <v>672</v>
      </c>
      <c r="E1541" t="s">
        <v>673</v>
      </c>
      <c r="F1541">
        <v>24.99</v>
      </c>
      <c r="G1541">
        <v>4</v>
      </c>
      <c r="H1541">
        <v>0</v>
      </c>
      <c r="I1541">
        <v>24.99</v>
      </c>
      <c r="J1541">
        <v>99.96</v>
      </c>
      <c r="K1541" t="s">
        <v>661</v>
      </c>
      <c r="L1541" t="s">
        <v>656</v>
      </c>
      <c r="M1541">
        <v>4</v>
      </c>
    </row>
    <row r="1542" spans="1:13" x14ac:dyDescent="0.25">
      <c r="A1542" t="s">
        <v>2959</v>
      </c>
      <c r="B1542" t="s">
        <v>600</v>
      </c>
      <c r="C1542" t="s">
        <v>2960</v>
      </c>
      <c r="D1542" t="s">
        <v>667</v>
      </c>
      <c r="E1542" t="s">
        <v>714</v>
      </c>
      <c r="F1542">
        <v>44.99</v>
      </c>
      <c r="G1542">
        <v>2</v>
      </c>
      <c r="H1542">
        <v>20</v>
      </c>
      <c r="I1542">
        <v>35.99</v>
      </c>
      <c r="J1542">
        <v>71.98</v>
      </c>
      <c r="K1542" t="s">
        <v>655</v>
      </c>
      <c r="L1542" t="s">
        <v>656</v>
      </c>
    </row>
    <row r="1543" spans="1:13" x14ac:dyDescent="0.25">
      <c r="A1543" t="s">
        <v>2961</v>
      </c>
      <c r="B1543" t="s">
        <v>600</v>
      </c>
      <c r="C1543" t="s">
        <v>2268</v>
      </c>
      <c r="D1543" t="s">
        <v>684</v>
      </c>
      <c r="E1543" t="s">
        <v>685</v>
      </c>
      <c r="F1543">
        <v>49.99</v>
      </c>
      <c r="G1543">
        <v>4</v>
      </c>
      <c r="H1543">
        <v>20</v>
      </c>
      <c r="I1543">
        <v>39.99</v>
      </c>
      <c r="J1543">
        <v>159.96</v>
      </c>
      <c r="K1543" t="s">
        <v>661</v>
      </c>
      <c r="L1543" t="s">
        <v>656</v>
      </c>
      <c r="M1543">
        <v>3</v>
      </c>
    </row>
    <row r="1544" spans="1:13" x14ac:dyDescent="0.25">
      <c r="A1544" t="s">
        <v>2962</v>
      </c>
      <c r="B1544" t="s">
        <v>600</v>
      </c>
      <c r="C1544" t="s">
        <v>896</v>
      </c>
      <c r="D1544" t="s">
        <v>710</v>
      </c>
      <c r="E1544" t="s">
        <v>730</v>
      </c>
      <c r="F1544">
        <v>39.99</v>
      </c>
      <c r="G1544">
        <v>2</v>
      </c>
      <c r="H1544">
        <v>15</v>
      </c>
      <c r="I1544">
        <v>33.99</v>
      </c>
      <c r="J1544">
        <v>67.98</v>
      </c>
      <c r="K1544" t="s">
        <v>655</v>
      </c>
      <c r="L1544" t="s">
        <v>656</v>
      </c>
    </row>
    <row r="1545" spans="1:13" x14ac:dyDescent="0.25">
      <c r="A1545" t="s">
        <v>2963</v>
      </c>
      <c r="B1545" t="s">
        <v>600</v>
      </c>
      <c r="C1545" t="s">
        <v>1256</v>
      </c>
      <c r="D1545" t="s">
        <v>667</v>
      </c>
      <c r="E1545" t="s">
        <v>714</v>
      </c>
      <c r="F1545">
        <v>44.99</v>
      </c>
      <c r="G1545">
        <v>4</v>
      </c>
      <c r="H1545">
        <v>0</v>
      </c>
      <c r="I1545">
        <v>44.99</v>
      </c>
      <c r="J1545">
        <v>179.96</v>
      </c>
      <c r="K1545" t="s">
        <v>675</v>
      </c>
      <c r="L1545" t="s">
        <v>739</v>
      </c>
    </row>
    <row r="1546" spans="1:13" x14ac:dyDescent="0.25">
      <c r="A1546" t="s">
        <v>2964</v>
      </c>
      <c r="B1546" t="s">
        <v>600</v>
      </c>
      <c r="C1546" t="s">
        <v>766</v>
      </c>
      <c r="D1546" t="s">
        <v>659</v>
      </c>
      <c r="E1546" t="s">
        <v>664</v>
      </c>
      <c r="F1546">
        <v>24.99</v>
      </c>
      <c r="G1546">
        <v>1</v>
      </c>
      <c r="H1546">
        <v>5</v>
      </c>
      <c r="I1546">
        <v>23.74</v>
      </c>
      <c r="J1546">
        <v>23.74</v>
      </c>
      <c r="K1546" t="s">
        <v>682</v>
      </c>
      <c r="L1546" t="s">
        <v>656</v>
      </c>
      <c r="M1546">
        <v>5</v>
      </c>
    </row>
    <row r="1547" spans="1:13" x14ac:dyDescent="0.25">
      <c r="A1547" t="s">
        <v>2965</v>
      </c>
      <c r="B1547" t="s">
        <v>600</v>
      </c>
      <c r="C1547" t="s">
        <v>1602</v>
      </c>
      <c r="D1547" t="s">
        <v>653</v>
      </c>
      <c r="E1547" t="s">
        <v>727</v>
      </c>
      <c r="F1547">
        <v>14.99</v>
      </c>
      <c r="G1547">
        <v>3</v>
      </c>
      <c r="H1547">
        <v>0</v>
      </c>
      <c r="I1547">
        <v>14.99</v>
      </c>
      <c r="J1547">
        <v>44.97</v>
      </c>
      <c r="K1547" t="s">
        <v>675</v>
      </c>
      <c r="L1547" t="s">
        <v>656</v>
      </c>
      <c r="M1547">
        <v>5</v>
      </c>
    </row>
    <row r="1548" spans="1:13" x14ac:dyDescent="0.25">
      <c r="A1548" t="s">
        <v>2966</v>
      </c>
      <c r="B1548" t="s">
        <v>600</v>
      </c>
      <c r="C1548" t="s">
        <v>1007</v>
      </c>
      <c r="D1548" t="s">
        <v>684</v>
      </c>
      <c r="E1548" t="s">
        <v>815</v>
      </c>
      <c r="F1548">
        <v>34.99</v>
      </c>
      <c r="G1548">
        <v>3</v>
      </c>
      <c r="H1548">
        <v>20</v>
      </c>
      <c r="I1548">
        <v>27.99</v>
      </c>
      <c r="J1548">
        <v>83.97</v>
      </c>
      <c r="K1548" t="s">
        <v>661</v>
      </c>
      <c r="L1548" t="s">
        <v>656</v>
      </c>
      <c r="M1548">
        <v>5</v>
      </c>
    </row>
    <row r="1549" spans="1:13" x14ac:dyDescent="0.25">
      <c r="A1549" t="s">
        <v>2967</v>
      </c>
      <c r="B1549" t="s">
        <v>600</v>
      </c>
      <c r="C1549" t="s">
        <v>1155</v>
      </c>
      <c r="D1549" t="s">
        <v>684</v>
      </c>
      <c r="E1549" t="s">
        <v>702</v>
      </c>
      <c r="F1549">
        <v>199.99</v>
      </c>
      <c r="G1549">
        <v>3</v>
      </c>
      <c r="H1549">
        <v>10</v>
      </c>
      <c r="I1549">
        <v>179.99</v>
      </c>
      <c r="J1549">
        <v>539.97</v>
      </c>
      <c r="K1549" t="s">
        <v>669</v>
      </c>
      <c r="L1549" t="s">
        <v>656</v>
      </c>
    </row>
    <row r="1550" spans="1:13" x14ac:dyDescent="0.25">
      <c r="A1550" t="s">
        <v>2968</v>
      </c>
      <c r="B1550" t="s">
        <v>600</v>
      </c>
      <c r="C1550" t="s">
        <v>2969</v>
      </c>
      <c r="D1550" t="s">
        <v>667</v>
      </c>
      <c r="E1550" t="s">
        <v>668</v>
      </c>
      <c r="F1550">
        <v>64.989999999999995</v>
      </c>
      <c r="G1550">
        <v>3</v>
      </c>
      <c r="H1550">
        <v>10</v>
      </c>
      <c r="I1550">
        <v>58.49</v>
      </c>
      <c r="J1550">
        <v>175.47</v>
      </c>
      <c r="K1550" t="s">
        <v>655</v>
      </c>
      <c r="L1550" t="s">
        <v>656</v>
      </c>
      <c r="M1550">
        <v>5</v>
      </c>
    </row>
    <row r="1551" spans="1:13" x14ac:dyDescent="0.25">
      <c r="A1551" t="s">
        <v>2970</v>
      </c>
      <c r="B1551" t="s">
        <v>600</v>
      </c>
      <c r="C1551" t="s">
        <v>1092</v>
      </c>
      <c r="D1551" t="s">
        <v>680</v>
      </c>
      <c r="E1551" t="s">
        <v>688</v>
      </c>
      <c r="F1551">
        <v>29.99</v>
      </c>
      <c r="G1551">
        <v>4</v>
      </c>
      <c r="H1551">
        <v>10</v>
      </c>
      <c r="I1551">
        <v>26.99</v>
      </c>
      <c r="J1551">
        <v>107.96</v>
      </c>
      <c r="K1551" t="s">
        <v>675</v>
      </c>
      <c r="L1551" t="s">
        <v>656</v>
      </c>
    </row>
    <row r="1552" spans="1:13" x14ac:dyDescent="0.25">
      <c r="A1552" t="s">
        <v>2971</v>
      </c>
      <c r="B1552" t="s">
        <v>600</v>
      </c>
      <c r="C1552" t="s">
        <v>1496</v>
      </c>
      <c r="D1552" t="s">
        <v>710</v>
      </c>
      <c r="E1552" t="s">
        <v>730</v>
      </c>
      <c r="F1552">
        <v>39.99</v>
      </c>
      <c r="G1552">
        <v>4</v>
      </c>
      <c r="H1552">
        <v>0</v>
      </c>
      <c r="I1552">
        <v>39.99</v>
      </c>
      <c r="J1552">
        <v>159.96</v>
      </c>
      <c r="K1552" t="s">
        <v>661</v>
      </c>
      <c r="L1552" t="s">
        <v>656</v>
      </c>
    </row>
    <row r="1553" spans="1:13" x14ac:dyDescent="0.25">
      <c r="A1553" t="s">
        <v>2972</v>
      </c>
      <c r="B1553" t="s">
        <v>600</v>
      </c>
      <c r="C1553" t="s">
        <v>1308</v>
      </c>
      <c r="D1553" t="s">
        <v>680</v>
      </c>
      <c r="E1553" t="s">
        <v>688</v>
      </c>
      <c r="F1553">
        <v>29.99</v>
      </c>
      <c r="G1553">
        <v>4</v>
      </c>
      <c r="H1553">
        <v>0</v>
      </c>
      <c r="I1553">
        <v>29.99</v>
      </c>
      <c r="J1553">
        <v>119.96</v>
      </c>
      <c r="K1553" t="s">
        <v>669</v>
      </c>
      <c r="L1553" t="s">
        <v>656</v>
      </c>
      <c r="M1553">
        <v>5</v>
      </c>
    </row>
    <row r="1554" spans="1:13" x14ac:dyDescent="0.25">
      <c r="A1554" t="s">
        <v>2973</v>
      </c>
      <c r="B1554" t="s">
        <v>600</v>
      </c>
      <c r="C1554" t="s">
        <v>88</v>
      </c>
      <c r="D1554" t="s">
        <v>680</v>
      </c>
      <c r="E1554" t="s">
        <v>749</v>
      </c>
      <c r="F1554">
        <v>14.99</v>
      </c>
      <c r="G1554">
        <v>4</v>
      </c>
      <c r="H1554">
        <v>0</v>
      </c>
      <c r="I1554">
        <v>14.99</v>
      </c>
      <c r="J1554">
        <v>59.96</v>
      </c>
      <c r="K1554" t="s">
        <v>669</v>
      </c>
      <c r="L1554" t="s">
        <v>656</v>
      </c>
      <c r="M1554">
        <v>5</v>
      </c>
    </row>
    <row r="1555" spans="1:13" x14ac:dyDescent="0.25">
      <c r="A1555" t="s">
        <v>2974</v>
      </c>
      <c r="B1555" t="s">
        <v>603</v>
      </c>
      <c r="C1555" t="s">
        <v>392</v>
      </c>
      <c r="D1555" t="s">
        <v>653</v>
      </c>
      <c r="E1555" t="s">
        <v>827</v>
      </c>
      <c r="F1555">
        <v>29.99</v>
      </c>
      <c r="G1555">
        <v>1</v>
      </c>
      <c r="H1555">
        <v>20</v>
      </c>
      <c r="I1555">
        <v>23.99</v>
      </c>
      <c r="J1555">
        <v>23.99</v>
      </c>
      <c r="K1555" t="s">
        <v>661</v>
      </c>
      <c r="L1555" t="s">
        <v>656</v>
      </c>
    </row>
    <row r="1556" spans="1:13" x14ac:dyDescent="0.25">
      <c r="A1556" t="s">
        <v>2975</v>
      </c>
      <c r="B1556" t="s">
        <v>603</v>
      </c>
      <c r="C1556" t="s">
        <v>2268</v>
      </c>
      <c r="D1556" t="s">
        <v>710</v>
      </c>
      <c r="E1556" t="s">
        <v>744</v>
      </c>
      <c r="F1556">
        <v>29.99</v>
      </c>
      <c r="G1556">
        <v>2</v>
      </c>
      <c r="H1556">
        <v>5</v>
      </c>
      <c r="I1556">
        <v>28.49</v>
      </c>
      <c r="J1556">
        <v>56.98</v>
      </c>
      <c r="K1556" t="s">
        <v>655</v>
      </c>
      <c r="L1556" t="s">
        <v>656</v>
      </c>
      <c r="M1556">
        <v>5</v>
      </c>
    </row>
    <row r="1557" spans="1:13" x14ac:dyDescent="0.25">
      <c r="A1557" t="s">
        <v>2976</v>
      </c>
      <c r="B1557" t="s">
        <v>603</v>
      </c>
      <c r="C1557" t="s">
        <v>2857</v>
      </c>
      <c r="D1557" t="s">
        <v>653</v>
      </c>
      <c r="E1557" t="s">
        <v>654</v>
      </c>
      <c r="F1557">
        <v>39.99</v>
      </c>
      <c r="G1557">
        <v>2</v>
      </c>
      <c r="H1557">
        <v>20</v>
      </c>
      <c r="I1557">
        <v>31.99</v>
      </c>
      <c r="J1557">
        <v>63.98</v>
      </c>
      <c r="K1557" t="s">
        <v>655</v>
      </c>
      <c r="L1557" t="s">
        <v>656</v>
      </c>
      <c r="M1557">
        <v>4</v>
      </c>
    </row>
    <row r="1558" spans="1:13" x14ac:dyDescent="0.25">
      <c r="A1558" t="s">
        <v>2977</v>
      </c>
      <c r="B1558" t="s">
        <v>603</v>
      </c>
      <c r="C1558" t="s">
        <v>2978</v>
      </c>
      <c r="D1558" t="s">
        <v>653</v>
      </c>
      <c r="E1558" t="s">
        <v>727</v>
      </c>
      <c r="F1558">
        <v>14.99</v>
      </c>
      <c r="G1558">
        <v>3</v>
      </c>
      <c r="H1558">
        <v>0</v>
      </c>
      <c r="I1558">
        <v>14.99</v>
      </c>
      <c r="J1558">
        <v>44.97</v>
      </c>
      <c r="K1558" t="s">
        <v>682</v>
      </c>
      <c r="L1558" t="s">
        <v>656</v>
      </c>
      <c r="M1558">
        <v>4</v>
      </c>
    </row>
    <row r="1559" spans="1:13" x14ac:dyDescent="0.25">
      <c r="A1559" t="s">
        <v>2979</v>
      </c>
      <c r="B1559" t="s">
        <v>603</v>
      </c>
      <c r="C1559" t="s">
        <v>2715</v>
      </c>
      <c r="D1559" t="s">
        <v>659</v>
      </c>
      <c r="E1559" t="s">
        <v>762</v>
      </c>
      <c r="F1559">
        <v>49.99</v>
      </c>
      <c r="G1559">
        <v>2</v>
      </c>
      <c r="H1559">
        <v>20</v>
      </c>
      <c r="I1559">
        <v>39.99</v>
      </c>
      <c r="J1559">
        <v>79.98</v>
      </c>
      <c r="K1559" t="s">
        <v>661</v>
      </c>
      <c r="L1559" t="s">
        <v>656</v>
      </c>
    </row>
    <row r="1560" spans="1:13" x14ac:dyDescent="0.25">
      <c r="A1560" t="s">
        <v>2980</v>
      </c>
      <c r="B1560" t="s">
        <v>603</v>
      </c>
      <c r="C1560" t="s">
        <v>2981</v>
      </c>
      <c r="D1560" t="s">
        <v>710</v>
      </c>
      <c r="E1560" t="s">
        <v>730</v>
      </c>
      <c r="F1560">
        <v>39.99</v>
      </c>
      <c r="G1560">
        <v>4</v>
      </c>
      <c r="H1560">
        <v>0</v>
      </c>
      <c r="I1560">
        <v>39.99</v>
      </c>
      <c r="J1560">
        <v>159.96</v>
      </c>
      <c r="K1560" t="s">
        <v>669</v>
      </c>
      <c r="L1560" t="s">
        <v>656</v>
      </c>
      <c r="M1560">
        <v>5</v>
      </c>
    </row>
    <row r="1561" spans="1:13" x14ac:dyDescent="0.25">
      <c r="A1561" t="s">
        <v>2982</v>
      </c>
      <c r="B1561" t="s">
        <v>603</v>
      </c>
      <c r="C1561" t="s">
        <v>2206</v>
      </c>
      <c r="D1561" t="s">
        <v>667</v>
      </c>
      <c r="E1561" t="s">
        <v>668</v>
      </c>
      <c r="F1561">
        <v>64.989999999999995</v>
      </c>
      <c r="G1561">
        <v>3</v>
      </c>
      <c r="H1561">
        <v>20</v>
      </c>
      <c r="I1561">
        <v>51.99</v>
      </c>
      <c r="J1561">
        <v>155.97</v>
      </c>
      <c r="K1561" t="s">
        <v>661</v>
      </c>
      <c r="L1561" t="s">
        <v>656</v>
      </c>
      <c r="M1561">
        <v>5</v>
      </c>
    </row>
    <row r="1562" spans="1:13" x14ac:dyDescent="0.25">
      <c r="A1562" t="s">
        <v>2983</v>
      </c>
      <c r="B1562" t="s">
        <v>603</v>
      </c>
      <c r="C1562" t="s">
        <v>1085</v>
      </c>
      <c r="D1562" t="s">
        <v>653</v>
      </c>
      <c r="E1562" t="s">
        <v>827</v>
      </c>
      <c r="F1562">
        <v>29.99</v>
      </c>
      <c r="G1562">
        <v>2</v>
      </c>
      <c r="H1562">
        <v>10</v>
      </c>
      <c r="I1562">
        <v>26.99</v>
      </c>
      <c r="J1562">
        <v>53.98</v>
      </c>
      <c r="K1562" t="s">
        <v>661</v>
      </c>
      <c r="L1562" t="s">
        <v>656</v>
      </c>
      <c r="M1562">
        <v>2</v>
      </c>
    </row>
    <row r="1563" spans="1:13" x14ac:dyDescent="0.25">
      <c r="A1563" t="s">
        <v>2984</v>
      </c>
      <c r="B1563" t="s">
        <v>603</v>
      </c>
      <c r="C1563" t="s">
        <v>2985</v>
      </c>
      <c r="D1563" t="s">
        <v>680</v>
      </c>
      <c r="E1563" t="s">
        <v>688</v>
      </c>
      <c r="F1563">
        <v>29.99</v>
      </c>
      <c r="G1563">
        <v>3</v>
      </c>
      <c r="H1563">
        <v>0</v>
      </c>
      <c r="I1563">
        <v>29.99</v>
      </c>
      <c r="J1563">
        <v>89.97</v>
      </c>
      <c r="K1563" t="s">
        <v>675</v>
      </c>
      <c r="L1563" t="s">
        <v>656</v>
      </c>
      <c r="M1563">
        <v>5</v>
      </c>
    </row>
    <row r="1564" spans="1:13" x14ac:dyDescent="0.25">
      <c r="A1564" t="s">
        <v>2986</v>
      </c>
      <c r="B1564" t="s">
        <v>603</v>
      </c>
      <c r="C1564" t="s">
        <v>333</v>
      </c>
      <c r="D1564" t="s">
        <v>653</v>
      </c>
      <c r="E1564" t="s">
        <v>654</v>
      </c>
      <c r="F1564">
        <v>39.99</v>
      </c>
      <c r="G1564">
        <v>4</v>
      </c>
      <c r="H1564">
        <v>20</v>
      </c>
      <c r="I1564">
        <v>31.99</v>
      </c>
      <c r="J1564">
        <v>127.96</v>
      </c>
      <c r="K1564" t="s">
        <v>661</v>
      </c>
      <c r="L1564" t="s">
        <v>656</v>
      </c>
      <c r="M1564">
        <v>4</v>
      </c>
    </row>
    <row r="1565" spans="1:13" x14ac:dyDescent="0.25">
      <c r="A1565" t="s">
        <v>2987</v>
      </c>
      <c r="B1565" t="s">
        <v>605</v>
      </c>
      <c r="C1565" t="s">
        <v>1238</v>
      </c>
      <c r="D1565" t="s">
        <v>672</v>
      </c>
      <c r="E1565" t="s">
        <v>735</v>
      </c>
      <c r="F1565">
        <v>44.99</v>
      </c>
      <c r="G1565">
        <v>2</v>
      </c>
      <c r="H1565">
        <v>10</v>
      </c>
      <c r="I1565">
        <v>40.49</v>
      </c>
      <c r="J1565">
        <v>80.98</v>
      </c>
      <c r="K1565" t="s">
        <v>655</v>
      </c>
      <c r="L1565" t="s">
        <v>656</v>
      </c>
      <c r="M1565">
        <v>3</v>
      </c>
    </row>
    <row r="1566" spans="1:13" x14ac:dyDescent="0.25">
      <c r="A1566" t="s">
        <v>2988</v>
      </c>
      <c r="B1566" t="s">
        <v>605</v>
      </c>
      <c r="C1566" t="s">
        <v>2989</v>
      </c>
      <c r="D1566" t="s">
        <v>667</v>
      </c>
      <c r="E1566" t="s">
        <v>699</v>
      </c>
      <c r="F1566">
        <v>89.99</v>
      </c>
      <c r="G1566">
        <v>4</v>
      </c>
      <c r="H1566">
        <v>15</v>
      </c>
      <c r="I1566">
        <v>76.489999999999995</v>
      </c>
      <c r="J1566">
        <v>305.95999999999998</v>
      </c>
      <c r="K1566" t="s">
        <v>669</v>
      </c>
      <c r="L1566" t="s">
        <v>656</v>
      </c>
      <c r="M1566">
        <v>4</v>
      </c>
    </row>
    <row r="1567" spans="1:13" x14ac:dyDescent="0.25">
      <c r="A1567" t="s">
        <v>2990</v>
      </c>
      <c r="B1567" t="s">
        <v>605</v>
      </c>
      <c r="C1567" t="s">
        <v>1531</v>
      </c>
      <c r="D1567" t="s">
        <v>659</v>
      </c>
      <c r="E1567" t="s">
        <v>820</v>
      </c>
      <c r="F1567">
        <v>39.99</v>
      </c>
      <c r="G1567">
        <v>2</v>
      </c>
      <c r="H1567">
        <v>10</v>
      </c>
      <c r="I1567">
        <v>35.99</v>
      </c>
      <c r="J1567">
        <v>71.98</v>
      </c>
      <c r="K1567" t="s">
        <v>669</v>
      </c>
      <c r="L1567" t="s">
        <v>656</v>
      </c>
    </row>
    <row r="1568" spans="1:13" x14ac:dyDescent="0.25">
      <c r="A1568" t="s">
        <v>2991</v>
      </c>
      <c r="B1568" t="s">
        <v>605</v>
      </c>
      <c r="C1568" t="s">
        <v>2992</v>
      </c>
      <c r="D1568" t="s">
        <v>653</v>
      </c>
      <c r="E1568" t="s">
        <v>827</v>
      </c>
      <c r="F1568">
        <v>29.99</v>
      </c>
      <c r="G1568">
        <v>2</v>
      </c>
      <c r="H1568">
        <v>0</v>
      </c>
      <c r="I1568">
        <v>29.99</v>
      </c>
      <c r="J1568">
        <v>59.98</v>
      </c>
      <c r="K1568" t="s">
        <v>682</v>
      </c>
      <c r="L1568" t="s">
        <v>656</v>
      </c>
      <c r="M1568">
        <v>4</v>
      </c>
    </row>
    <row r="1569" spans="1:13" x14ac:dyDescent="0.25">
      <c r="A1569" t="s">
        <v>2993</v>
      </c>
      <c r="B1569" t="s">
        <v>605</v>
      </c>
      <c r="C1569" t="s">
        <v>1023</v>
      </c>
      <c r="D1569" t="s">
        <v>684</v>
      </c>
      <c r="E1569" t="s">
        <v>702</v>
      </c>
      <c r="F1569">
        <v>199.99</v>
      </c>
      <c r="G1569">
        <v>2</v>
      </c>
      <c r="H1569">
        <v>0</v>
      </c>
      <c r="I1569">
        <v>199.99</v>
      </c>
      <c r="J1569">
        <v>399.98</v>
      </c>
      <c r="K1569" t="s">
        <v>682</v>
      </c>
      <c r="L1569" t="s">
        <v>656</v>
      </c>
      <c r="M1569">
        <v>5</v>
      </c>
    </row>
    <row r="1570" spans="1:13" x14ac:dyDescent="0.25">
      <c r="A1570" t="s">
        <v>2994</v>
      </c>
      <c r="B1570" t="s">
        <v>605</v>
      </c>
      <c r="C1570" t="s">
        <v>1416</v>
      </c>
      <c r="D1570" t="s">
        <v>710</v>
      </c>
      <c r="E1570" t="s">
        <v>744</v>
      </c>
      <c r="F1570">
        <v>29.99</v>
      </c>
      <c r="G1570">
        <v>3</v>
      </c>
      <c r="H1570">
        <v>10</v>
      </c>
      <c r="I1570">
        <v>26.99</v>
      </c>
      <c r="J1570">
        <v>80.97</v>
      </c>
      <c r="K1570" t="s">
        <v>675</v>
      </c>
      <c r="L1570" t="s">
        <v>656</v>
      </c>
      <c r="M1570">
        <v>4</v>
      </c>
    </row>
    <row r="1571" spans="1:13" x14ac:dyDescent="0.25">
      <c r="A1571" t="s">
        <v>2995</v>
      </c>
      <c r="B1571" t="s">
        <v>605</v>
      </c>
      <c r="C1571" t="s">
        <v>1531</v>
      </c>
      <c r="D1571" t="s">
        <v>680</v>
      </c>
      <c r="E1571" t="s">
        <v>681</v>
      </c>
      <c r="F1571">
        <v>19.989999999999998</v>
      </c>
      <c r="G1571">
        <v>1</v>
      </c>
      <c r="H1571">
        <v>0</v>
      </c>
      <c r="I1571">
        <v>19.989999999999998</v>
      </c>
      <c r="J1571">
        <v>19.989999999999998</v>
      </c>
      <c r="K1571" t="s">
        <v>682</v>
      </c>
      <c r="L1571" t="s">
        <v>656</v>
      </c>
      <c r="M1571">
        <v>5</v>
      </c>
    </row>
    <row r="1572" spans="1:13" x14ac:dyDescent="0.25">
      <c r="A1572" t="s">
        <v>2996</v>
      </c>
      <c r="B1572" t="s">
        <v>605</v>
      </c>
      <c r="C1572" t="s">
        <v>1375</v>
      </c>
      <c r="D1572" t="s">
        <v>680</v>
      </c>
      <c r="E1572" t="s">
        <v>708</v>
      </c>
      <c r="F1572">
        <v>24.99</v>
      </c>
      <c r="G1572">
        <v>2</v>
      </c>
      <c r="H1572">
        <v>20</v>
      </c>
      <c r="I1572">
        <v>19.989999999999998</v>
      </c>
      <c r="J1572">
        <v>39.979999999999997</v>
      </c>
      <c r="K1572" t="s">
        <v>669</v>
      </c>
      <c r="L1572" t="s">
        <v>656</v>
      </c>
    </row>
    <row r="1573" spans="1:13" x14ac:dyDescent="0.25">
      <c r="A1573" t="s">
        <v>2997</v>
      </c>
      <c r="B1573" t="s">
        <v>605</v>
      </c>
      <c r="C1573" t="s">
        <v>2998</v>
      </c>
      <c r="D1573" t="s">
        <v>710</v>
      </c>
      <c r="E1573" t="s">
        <v>721</v>
      </c>
      <c r="F1573">
        <v>24.99</v>
      </c>
      <c r="G1573">
        <v>2</v>
      </c>
      <c r="H1573">
        <v>0</v>
      </c>
      <c r="I1573">
        <v>24.99</v>
      </c>
      <c r="J1573">
        <v>49.98</v>
      </c>
      <c r="K1573" t="s">
        <v>682</v>
      </c>
      <c r="L1573" t="s">
        <v>788</v>
      </c>
      <c r="M1573">
        <v>4</v>
      </c>
    </row>
    <row r="1574" spans="1:13" x14ac:dyDescent="0.25">
      <c r="A1574" t="s">
        <v>2999</v>
      </c>
      <c r="B1574" t="s">
        <v>608</v>
      </c>
      <c r="C1574" t="s">
        <v>663</v>
      </c>
      <c r="D1574" t="s">
        <v>684</v>
      </c>
      <c r="E1574" t="s">
        <v>705</v>
      </c>
      <c r="F1574">
        <v>79.989999999999995</v>
      </c>
      <c r="G1574">
        <v>1</v>
      </c>
      <c r="H1574">
        <v>10</v>
      </c>
      <c r="I1574">
        <v>71.989999999999995</v>
      </c>
      <c r="J1574">
        <v>71.989999999999995</v>
      </c>
      <c r="K1574" t="s">
        <v>661</v>
      </c>
      <c r="L1574" t="s">
        <v>656</v>
      </c>
      <c r="M1574">
        <v>5</v>
      </c>
    </row>
    <row r="1575" spans="1:13" x14ac:dyDescent="0.25">
      <c r="A1575" t="s">
        <v>3000</v>
      </c>
      <c r="B1575" t="s">
        <v>608</v>
      </c>
      <c r="C1575" t="s">
        <v>1860</v>
      </c>
      <c r="D1575" t="s">
        <v>659</v>
      </c>
      <c r="E1575" t="s">
        <v>664</v>
      </c>
      <c r="F1575">
        <v>24.99</v>
      </c>
      <c r="G1575">
        <v>3</v>
      </c>
      <c r="H1575">
        <v>20</v>
      </c>
      <c r="I1575">
        <v>19.989999999999998</v>
      </c>
      <c r="J1575">
        <v>59.97</v>
      </c>
      <c r="K1575" t="s">
        <v>669</v>
      </c>
      <c r="L1575" t="s">
        <v>788</v>
      </c>
      <c r="M1575">
        <v>5</v>
      </c>
    </row>
    <row r="1576" spans="1:13" x14ac:dyDescent="0.25">
      <c r="A1576" t="s">
        <v>3001</v>
      </c>
      <c r="B1576" t="s">
        <v>608</v>
      </c>
      <c r="C1576" t="s">
        <v>3002</v>
      </c>
      <c r="D1576" t="s">
        <v>672</v>
      </c>
      <c r="E1576" t="s">
        <v>735</v>
      </c>
      <c r="F1576">
        <v>44.99</v>
      </c>
      <c r="G1576">
        <v>3</v>
      </c>
      <c r="H1576">
        <v>10</v>
      </c>
      <c r="I1576">
        <v>40.49</v>
      </c>
      <c r="J1576">
        <v>121.47</v>
      </c>
      <c r="K1576" t="s">
        <v>661</v>
      </c>
      <c r="L1576" t="s">
        <v>656</v>
      </c>
    </row>
    <row r="1577" spans="1:13" x14ac:dyDescent="0.25">
      <c r="A1577" t="s">
        <v>3003</v>
      </c>
      <c r="B1577" t="s">
        <v>608</v>
      </c>
      <c r="C1577" t="s">
        <v>834</v>
      </c>
      <c r="D1577" t="s">
        <v>684</v>
      </c>
      <c r="E1577" t="s">
        <v>815</v>
      </c>
      <c r="F1577">
        <v>34.99</v>
      </c>
      <c r="G1577">
        <v>3</v>
      </c>
      <c r="H1577">
        <v>10</v>
      </c>
      <c r="I1577">
        <v>31.49</v>
      </c>
      <c r="J1577">
        <v>94.47</v>
      </c>
      <c r="K1577" t="s">
        <v>682</v>
      </c>
      <c r="L1577" t="s">
        <v>656</v>
      </c>
    </row>
    <row r="1578" spans="1:13" x14ac:dyDescent="0.25">
      <c r="A1578" t="s">
        <v>3004</v>
      </c>
      <c r="B1578" t="s">
        <v>608</v>
      </c>
      <c r="C1578" t="s">
        <v>983</v>
      </c>
      <c r="D1578" t="s">
        <v>659</v>
      </c>
      <c r="E1578" t="s">
        <v>660</v>
      </c>
      <c r="F1578">
        <v>19.989999999999998</v>
      </c>
      <c r="G1578">
        <v>4</v>
      </c>
      <c r="H1578">
        <v>5</v>
      </c>
      <c r="I1578">
        <v>18.989999999999998</v>
      </c>
      <c r="J1578">
        <v>75.959999999999994</v>
      </c>
      <c r="K1578" t="s">
        <v>669</v>
      </c>
      <c r="L1578" t="s">
        <v>656</v>
      </c>
      <c r="M1578">
        <v>5</v>
      </c>
    </row>
    <row r="1579" spans="1:13" x14ac:dyDescent="0.25">
      <c r="A1579" t="s">
        <v>3005</v>
      </c>
      <c r="B1579" t="s">
        <v>608</v>
      </c>
      <c r="C1579" t="s">
        <v>1961</v>
      </c>
      <c r="D1579" t="s">
        <v>710</v>
      </c>
      <c r="E1579" t="s">
        <v>721</v>
      </c>
      <c r="F1579">
        <v>24.99</v>
      </c>
      <c r="G1579">
        <v>4</v>
      </c>
      <c r="H1579">
        <v>15</v>
      </c>
      <c r="I1579">
        <v>21.24</v>
      </c>
      <c r="J1579">
        <v>84.96</v>
      </c>
      <c r="K1579" t="s">
        <v>661</v>
      </c>
      <c r="L1579" t="s">
        <v>656</v>
      </c>
      <c r="M1579">
        <v>5</v>
      </c>
    </row>
    <row r="1580" spans="1:13" x14ac:dyDescent="0.25">
      <c r="A1580" t="s">
        <v>3006</v>
      </c>
      <c r="B1580" t="s">
        <v>608</v>
      </c>
      <c r="C1580" t="s">
        <v>2418</v>
      </c>
      <c r="D1580" t="s">
        <v>710</v>
      </c>
      <c r="E1580" t="s">
        <v>721</v>
      </c>
      <c r="F1580">
        <v>24.99</v>
      </c>
      <c r="G1580">
        <v>4</v>
      </c>
      <c r="H1580">
        <v>5</v>
      </c>
      <c r="I1580">
        <v>23.74</v>
      </c>
      <c r="J1580">
        <v>94.96</v>
      </c>
      <c r="K1580" t="s">
        <v>655</v>
      </c>
      <c r="L1580" t="s">
        <v>656</v>
      </c>
      <c r="M1580">
        <v>4</v>
      </c>
    </row>
    <row r="1581" spans="1:13" x14ac:dyDescent="0.25">
      <c r="A1581" t="s">
        <v>3007</v>
      </c>
      <c r="B1581" t="s">
        <v>608</v>
      </c>
      <c r="C1581" t="s">
        <v>826</v>
      </c>
      <c r="D1581" t="s">
        <v>684</v>
      </c>
      <c r="E1581" t="s">
        <v>685</v>
      </c>
      <c r="F1581">
        <v>49.99</v>
      </c>
      <c r="G1581">
        <v>3</v>
      </c>
      <c r="H1581">
        <v>20</v>
      </c>
      <c r="I1581">
        <v>39.99</v>
      </c>
      <c r="J1581">
        <v>119.97</v>
      </c>
      <c r="K1581" t="s">
        <v>675</v>
      </c>
      <c r="L1581" t="s">
        <v>656</v>
      </c>
    </row>
    <row r="1582" spans="1:13" x14ac:dyDescent="0.25">
      <c r="A1582" t="s">
        <v>3008</v>
      </c>
      <c r="B1582" t="s">
        <v>608</v>
      </c>
      <c r="C1582" t="s">
        <v>2851</v>
      </c>
      <c r="D1582" t="s">
        <v>680</v>
      </c>
      <c r="E1582" t="s">
        <v>681</v>
      </c>
      <c r="F1582">
        <v>19.989999999999998</v>
      </c>
      <c r="G1582">
        <v>3</v>
      </c>
      <c r="H1582">
        <v>0</v>
      </c>
      <c r="I1582">
        <v>19.989999999999998</v>
      </c>
      <c r="J1582">
        <v>59.97</v>
      </c>
      <c r="K1582" t="s">
        <v>669</v>
      </c>
      <c r="L1582" t="s">
        <v>785</v>
      </c>
    </row>
    <row r="1583" spans="1:13" x14ac:dyDescent="0.25">
      <c r="A1583" t="s">
        <v>3009</v>
      </c>
      <c r="B1583" t="s">
        <v>608</v>
      </c>
      <c r="C1583" t="s">
        <v>2638</v>
      </c>
      <c r="D1583" t="s">
        <v>653</v>
      </c>
      <c r="E1583" t="s">
        <v>827</v>
      </c>
      <c r="F1583">
        <v>29.99</v>
      </c>
      <c r="G1583">
        <v>4</v>
      </c>
      <c r="H1583">
        <v>20</v>
      </c>
      <c r="I1583">
        <v>23.99</v>
      </c>
      <c r="J1583">
        <v>95.96</v>
      </c>
      <c r="K1583" t="s">
        <v>669</v>
      </c>
      <c r="L1583" t="s">
        <v>656</v>
      </c>
      <c r="M1583">
        <v>4</v>
      </c>
    </row>
    <row r="1584" spans="1:13" x14ac:dyDescent="0.25">
      <c r="A1584" t="s">
        <v>3010</v>
      </c>
      <c r="B1584" t="s">
        <v>608</v>
      </c>
      <c r="C1584" t="s">
        <v>3011</v>
      </c>
      <c r="D1584" t="s">
        <v>653</v>
      </c>
      <c r="E1584" t="s">
        <v>654</v>
      </c>
      <c r="F1584">
        <v>39.99</v>
      </c>
      <c r="G1584">
        <v>2</v>
      </c>
      <c r="H1584">
        <v>0</v>
      </c>
      <c r="I1584">
        <v>39.99</v>
      </c>
      <c r="J1584">
        <v>79.98</v>
      </c>
      <c r="K1584" t="s">
        <v>661</v>
      </c>
      <c r="L1584" t="s">
        <v>693</v>
      </c>
    </row>
    <row r="1585" spans="1:13" x14ac:dyDescent="0.25">
      <c r="A1585" t="s">
        <v>3012</v>
      </c>
      <c r="B1585" t="s">
        <v>611</v>
      </c>
      <c r="C1585" t="s">
        <v>1085</v>
      </c>
      <c r="D1585" t="s">
        <v>653</v>
      </c>
      <c r="E1585" t="s">
        <v>727</v>
      </c>
      <c r="F1585">
        <v>14.99</v>
      </c>
      <c r="G1585">
        <v>1</v>
      </c>
      <c r="H1585">
        <v>10</v>
      </c>
      <c r="I1585">
        <v>13.49</v>
      </c>
      <c r="J1585">
        <v>13.49</v>
      </c>
      <c r="K1585" t="s">
        <v>661</v>
      </c>
      <c r="L1585" t="s">
        <v>656</v>
      </c>
      <c r="M1585">
        <v>5</v>
      </c>
    </row>
    <row r="1586" spans="1:13" x14ac:dyDescent="0.25">
      <c r="A1586" t="s">
        <v>3013</v>
      </c>
      <c r="B1586" t="s">
        <v>611</v>
      </c>
      <c r="C1586" t="s">
        <v>3014</v>
      </c>
      <c r="D1586" t="s">
        <v>684</v>
      </c>
      <c r="E1586" t="s">
        <v>702</v>
      </c>
      <c r="F1586">
        <v>199.99</v>
      </c>
      <c r="G1586">
        <v>4</v>
      </c>
      <c r="H1586">
        <v>20</v>
      </c>
      <c r="I1586">
        <v>159.99</v>
      </c>
      <c r="J1586">
        <v>639.96</v>
      </c>
      <c r="K1586" t="s">
        <v>675</v>
      </c>
      <c r="L1586" t="s">
        <v>656</v>
      </c>
      <c r="M1586">
        <v>4</v>
      </c>
    </row>
    <row r="1587" spans="1:13" x14ac:dyDescent="0.25">
      <c r="A1587" t="s">
        <v>3015</v>
      </c>
      <c r="B1587" t="s">
        <v>611</v>
      </c>
      <c r="C1587" t="s">
        <v>1263</v>
      </c>
      <c r="D1587" t="s">
        <v>659</v>
      </c>
      <c r="E1587" t="s">
        <v>820</v>
      </c>
      <c r="F1587">
        <v>39.99</v>
      </c>
      <c r="G1587">
        <v>3</v>
      </c>
      <c r="H1587">
        <v>0</v>
      </c>
      <c r="I1587">
        <v>39.99</v>
      </c>
      <c r="J1587">
        <v>119.97</v>
      </c>
      <c r="K1587" t="s">
        <v>669</v>
      </c>
      <c r="L1587" t="s">
        <v>656</v>
      </c>
      <c r="M1587">
        <v>5</v>
      </c>
    </row>
    <row r="1588" spans="1:13" x14ac:dyDescent="0.25">
      <c r="A1588" t="s">
        <v>3016</v>
      </c>
      <c r="B1588" t="s">
        <v>611</v>
      </c>
      <c r="C1588" t="s">
        <v>1565</v>
      </c>
      <c r="D1588" t="s">
        <v>684</v>
      </c>
      <c r="E1588" t="s">
        <v>815</v>
      </c>
      <c r="F1588">
        <v>34.99</v>
      </c>
      <c r="G1588">
        <v>2</v>
      </c>
      <c r="H1588">
        <v>0</v>
      </c>
      <c r="I1588">
        <v>34.99</v>
      </c>
      <c r="J1588">
        <v>69.98</v>
      </c>
      <c r="K1588" t="s">
        <v>675</v>
      </c>
      <c r="L1588" t="s">
        <v>656</v>
      </c>
    </row>
    <row r="1589" spans="1:13" x14ac:dyDescent="0.25">
      <c r="A1589" t="s">
        <v>3017</v>
      </c>
      <c r="B1589" t="s">
        <v>614</v>
      </c>
      <c r="C1589" t="s">
        <v>3018</v>
      </c>
      <c r="D1589" t="s">
        <v>710</v>
      </c>
      <c r="E1589" t="s">
        <v>721</v>
      </c>
      <c r="F1589">
        <v>24.99</v>
      </c>
      <c r="G1589">
        <v>4</v>
      </c>
      <c r="H1589">
        <v>0</v>
      </c>
      <c r="I1589">
        <v>24.99</v>
      </c>
      <c r="J1589">
        <v>99.96</v>
      </c>
      <c r="K1589" t="s">
        <v>661</v>
      </c>
      <c r="L1589" t="s">
        <v>656</v>
      </c>
      <c r="M1589">
        <v>4</v>
      </c>
    </row>
    <row r="1590" spans="1:13" x14ac:dyDescent="0.25">
      <c r="A1590" t="s">
        <v>3019</v>
      </c>
      <c r="B1590" t="s">
        <v>614</v>
      </c>
      <c r="C1590" t="s">
        <v>2104</v>
      </c>
      <c r="D1590" t="s">
        <v>684</v>
      </c>
      <c r="E1590" t="s">
        <v>685</v>
      </c>
      <c r="F1590">
        <v>49.99</v>
      </c>
      <c r="G1590">
        <v>1</v>
      </c>
      <c r="H1590">
        <v>20</v>
      </c>
      <c r="I1590">
        <v>39.99</v>
      </c>
      <c r="J1590">
        <v>39.99</v>
      </c>
      <c r="K1590" t="s">
        <v>675</v>
      </c>
      <c r="L1590" t="s">
        <v>656</v>
      </c>
      <c r="M1590">
        <v>3</v>
      </c>
    </row>
    <row r="1591" spans="1:13" x14ac:dyDescent="0.25">
      <c r="A1591" t="s">
        <v>3020</v>
      </c>
      <c r="B1591" t="s">
        <v>614</v>
      </c>
      <c r="C1591" t="s">
        <v>2444</v>
      </c>
      <c r="D1591" t="s">
        <v>680</v>
      </c>
      <c r="E1591" t="s">
        <v>688</v>
      </c>
      <c r="F1591">
        <v>29.99</v>
      </c>
      <c r="G1591">
        <v>2</v>
      </c>
      <c r="H1591">
        <v>5</v>
      </c>
      <c r="I1591">
        <v>28.49</v>
      </c>
      <c r="J1591">
        <v>56.98</v>
      </c>
      <c r="K1591" t="s">
        <v>655</v>
      </c>
      <c r="L1591" t="s">
        <v>656</v>
      </c>
      <c r="M1591">
        <v>2</v>
      </c>
    </row>
    <row r="1592" spans="1:13" x14ac:dyDescent="0.25">
      <c r="A1592" t="s">
        <v>3021</v>
      </c>
      <c r="B1592" t="s">
        <v>614</v>
      </c>
      <c r="C1592" t="s">
        <v>2557</v>
      </c>
      <c r="D1592" t="s">
        <v>672</v>
      </c>
      <c r="E1592" t="s">
        <v>735</v>
      </c>
      <c r="F1592">
        <v>44.99</v>
      </c>
      <c r="G1592">
        <v>2</v>
      </c>
      <c r="H1592">
        <v>0</v>
      </c>
      <c r="I1592">
        <v>44.99</v>
      </c>
      <c r="J1592">
        <v>89.98</v>
      </c>
      <c r="K1592" t="s">
        <v>682</v>
      </c>
      <c r="L1592" t="s">
        <v>656</v>
      </c>
      <c r="M1592">
        <v>4</v>
      </c>
    </row>
    <row r="1593" spans="1:13" x14ac:dyDescent="0.25">
      <c r="A1593" t="s">
        <v>3022</v>
      </c>
      <c r="B1593" t="s">
        <v>614</v>
      </c>
      <c r="C1593" t="s">
        <v>2085</v>
      </c>
      <c r="D1593" t="s">
        <v>659</v>
      </c>
      <c r="E1593" t="s">
        <v>820</v>
      </c>
      <c r="F1593">
        <v>39.99</v>
      </c>
      <c r="G1593">
        <v>4</v>
      </c>
      <c r="H1593">
        <v>5</v>
      </c>
      <c r="I1593">
        <v>37.99</v>
      </c>
      <c r="J1593">
        <v>151.96</v>
      </c>
      <c r="K1593" t="s">
        <v>675</v>
      </c>
      <c r="L1593" t="s">
        <v>656</v>
      </c>
      <c r="M1593">
        <v>1</v>
      </c>
    </row>
    <row r="1594" spans="1:13" x14ac:dyDescent="0.25">
      <c r="A1594" t="s">
        <v>3023</v>
      </c>
      <c r="B1594" t="s">
        <v>614</v>
      </c>
      <c r="C1594" t="s">
        <v>2702</v>
      </c>
      <c r="D1594" t="s">
        <v>710</v>
      </c>
      <c r="E1594" t="s">
        <v>711</v>
      </c>
      <c r="F1594">
        <v>14.99</v>
      </c>
      <c r="G1594">
        <v>4</v>
      </c>
      <c r="H1594">
        <v>10</v>
      </c>
      <c r="I1594">
        <v>13.49</v>
      </c>
      <c r="J1594">
        <v>53.96</v>
      </c>
      <c r="K1594" t="s">
        <v>669</v>
      </c>
      <c r="L1594" t="s">
        <v>656</v>
      </c>
      <c r="M1594">
        <v>5</v>
      </c>
    </row>
    <row r="1595" spans="1:13" x14ac:dyDescent="0.25">
      <c r="A1595" t="s">
        <v>3024</v>
      </c>
      <c r="B1595" t="s">
        <v>614</v>
      </c>
      <c r="C1595" t="s">
        <v>1416</v>
      </c>
      <c r="D1595" t="s">
        <v>684</v>
      </c>
      <c r="E1595" t="s">
        <v>702</v>
      </c>
      <c r="F1595">
        <v>199.99</v>
      </c>
      <c r="G1595">
        <v>1</v>
      </c>
      <c r="H1595">
        <v>10</v>
      </c>
      <c r="I1595">
        <v>179.99</v>
      </c>
      <c r="J1595">
        <v>179.99</v>
      </c>
      <c r="K1595" t="s">
        <v>669</v>
      </c>
      <c r="L1595" t="s">
        <v>739</v>
      </c>
      <c r="M1595">
        <v>5</v>
      </c>
    </row>
    <row r="1596" spans="1:13" x14ac:dyDescent="0.25">
      <c r="A1596" t="s">
        <v>3025</v>
      </c>
      <c r="B1596" t="s">
        <v>614</v>
      </c>
      <c r="C1596" t="s">
        <v>389</v>
      </c>
      <c r="D1596" t="s">
        <v>659</v>
      </c>
      <c r="E1596" t="s">
        <v>820</v>
      </c>
      <c r="F1596">
        <v>39.99</v>
      </c>
      <c r="G1596">
        <v>3</v>
      </c>
      <c r="H1596">
        <v>15</v>
      </c>
      <c r="I1596">
        <v>33.99</v>
      </c>
      <c r="J1596">
        <v>101.97</v>
      </c>
      <c r="K1596" t="s">
        <v>675</v>
      </c>
      <c r="L1596" t="s">
        <v>656</v>
      </c>
      <c r="M1596">
        <v>4</v>
      </c>
    </row>
    <row r="1597" spans="1:13" x14ac:dyDescent="0.25">
      <c r="A1597" t="s">
        <v>3026</v>
      </c>
      <c r="B1597" t="s">
        <v>617</v>
      </c>
      <c r="C1597" t="s">
        <v>3027</v>
      </c>
      <c r="D1597" t="s">
        <v>710</v>
      </c>
      <c r="E1597" t="s">
        <v>744</v>
      </c>
      <c r="F1597">
        <v>29.99</v>
      </c>
      <c r="G1597">
        <v>2</v>
      </c>
      <c r="H1597">
        <v>0</v>
      </c>
      <c r="I1597">
        <v>29.99</v>
      </c>
      <c r="J1597">
        <v>59.98</v>
      </c>
      <c r="K1597" t="s">
        <v>655</v>
      </c>
      <c r="L1597" t="s">
        <v>656</v>
      </c>
    </row>
    <row r="1598" spans="1:13" x14ac:dyDescent="0.25">
      <c r="A1598" t="s">
        <v>3028</v>
      </c>
      <c r="B1598" t="s">
        <v>617</v>
      </c>
      <c r="C1598" t="s">
        <v>3029</v>
      </c>
      <c r="D1598" t="s">
        <v>680</v>
      </c>
      <c r="E1598" t="s">
        <v>708</v>
      </c>
      <c r="F1598">
        <v>24.99</v>
      </c>
      <c r="G1598">
        <v>4</v>
      </c>
      <c r="H1598">
        <v>5</v>
      </c>
      <c r="I1598">
        <v>23.74</v>
      </c>
      <c r="J1598">
        <v>94.96</v>
      </c>
      <c r="K1598" t="s">
        <v>655</v>
      </c>
      <c r="L1598" t="s">
        <v>656</v>
      </c>
    </row>
    <row r="1599" spans="1:13" x14ac:dyDescent="0.25">
      <c r="A1599" t="s">
        <v>3030</v>
      </c>
      <c r="B1599" t="s">
        <v>617</v>
      </c>
      <c r="C1599" t="s">
        <v>1680</v>
      </c>
      <c r="D1599" t="s">
        <v>672</v>
      </c>
      <c r="E1599" t="s">
        <v>724</v>
      </c>
      <c r="F1599">
        <v>89.99</v>
      </c>
      <c r="G1599">
        <v>2</v>
      </c>
      <c r="H1599">
        <v>10</v>
      </c>
      <c r="I1599">
        <v>80.989999999999995</v>
      </c>
      <c r="J1599">
        <v>161.97999999999999</v>
      </c>
      <c r="K1599" t="s">
        <v>655</v>
      </c>
      <c r="L1599" t="s">
        <v>656</v>
      </c>
    </row>
    <row r="1600" spans="1:13" x14ac:dyDescent="0.25">
      <c r="A1600" t="s">
        <v>3031</v>
      </c>
      <c r="B1600" t="s">
        <v>617</v>
      </c>
      <c r="C1600" t="s">
        <v>1126</v>
      </c>
      <c r="D1600" t="s">
        <v>684</v>
      </c>
      <c r="E1600" t="s">
        <v>702</v>
      </c>
      <c r="F1600">
        <v>199.99</v>
      </c>
      <c r="G1600">
        <v>1</v>
      </c>
      <c r="H1600">
        <v>0</v>
      </c>
      <c r="I1600">
        <v>199.99</v>
      </c>
      <c r="J1600">
        <v>199.99</v>
      </c>
      <c r="K1600" t="s">
        <v>661</v>
      </c>
      <c r="L1600" t="s">
        <v>788</v>
      </c>
    </row>
    <row r="1601" spans="1:13" x14ac:dyDescent="0.25">
      <c r="A1601" t="s">
        <v>3032</v>
      </c>
      <c r="B1601" t="s">
        <v>617</v>
      </c>
      <c r="C1601" t="s">
        <v>3033</v>
      </c>
      <c r="D1601" t="s">
        <v>653</v>
      </c>
      <c r="E1601" t="s">
        <v>827</v>
      </c>
      <c r="F1601">
        <v>29.99</v>
      </c>
      <c r="G1601">
        <v>4</v>
      </c>
      <c r="H1601">
        <v>0</v>
      </c>
      <c r="I1601">
        <v>29.99</v>
      </c>
      <c r="J1601">
        <v>119.96</v>
      </c>
      <c r="K1601" t="s">
        <v>669</v>
      </c>
      <c r="L1601" t="s">
        <v>656</v>
      </c>
      <c r="M1601">
        <v>5</v>
      </c>
    </row>
    <row r="1602" spans="1:13" x14ac:dyDescent="0.25">
      <c r="A1602" t="s">
        <v>3034</v>
      </c>
      <c r="B1602" t="s">
        <v>617</v>
      </c>
      <c r="C1602" t="s">
        <v>1301</v>
      </c>
      <c r="D1602" t="s">
        <v>653</v>
      </c>
      <c r="E1602" t="s">
        <v>827</v>
      </c>
      <c r="F1602">
        <v>29.99</v>
      </c>
      <c r="G1602">
        <v>3</v>
      </c>
      <c r="H1602">
        <v>0</v>
      </c>
      <c r="I1602">
        <v>29.99</v>
      </c>
      <c r="J1602">
        <v>89.97</v>
      </c>
      <c r="K1602" t="s">
        <v>675</v>
      </c>
      <c r="L1602" t="s">
        <v>656</v>
      </c>
    </row>
    <row r="1603" spans="1:13" x14ac:dyDescent="0.25">
      <c r="A1603" t="s">
        <v>3035</v>
      </c>
      <c r="B1603" t="s">
        <v>617</v>
      </c>
      <c r="C1603" t="s">
        <v>1389</v>
      </c>
      <c r="D1603" t="s">
        <v>667</v>
      </c>
      <c r="E1603" t="s">
        <v>699</v>
      </c>
      <c r="F1603">
        <v>89.99</v>
      </c>
      <c r="G1603">
        <v>3</v>
      </c>
      <c r="H1603">
        <v>5</v>
      </c>
      <c r="I1603">
        <v>85.49</v>
      </c>
      <c r="J1603">
        <v>256.47000000000003</v>
      </c>
      <c r="K1603" t="s">
        <v>669</v>
      </c>
      <c r="L1603" t="s">
        <v>656</v>
      </c>
      <c r="M1603">
        <v>3</v>
      </c>
    </row>
    <row r="1604" spans="1:13" x14ac:dyDescent="0.25">
      <c r="A1604" t="s">
        <v>3036</v>
      </c>
      <c r="B1604" t="s">
        <v>617</v>
      </c>
      <c r="C1604" t="s">
        <v>2123</v>
      </c>
      <c r="D1604" t="s">
        <v>667</v>
      </c>
      <c r="E1604" t="s">
        <v>668</v>
      </c>
      <c r="F1604">
        <v>64.989999999999995</v>
      </c>
      <c r="G1604">
        <v>3</v>
      </c>
      <c r="H1604">
        <v>0</v>
      </c>
      <c r="I1604">
        <v>64.989999999999995</v>
      </c>
      <c r="J1604">
        <v>194.97</v>
      </c>
      <c r="K1604" t="s">
        <v>669</v>
      </c>
      <c r="L1604" t="s">
        <v>656</v>
      </c>
      <c r="M1604">
        <v>4</v>
      </c>
    </row>
    <row r="1605" spans="1:13" x14ac:dyDescent="0.25">
      <c r="A1605" t="s">
        <v>3037</v>
      </c>
      <c r="B1605" t="s">
        <v>617</v>
      </c>
      <c r="C1605" t="s">
        <v>1229</v>
      </c>
      <c r="D1605" t="s">
        <v>659</v>
      </c>
      <c r="E1605" t="s">
        <v>664</v>
      </c>
      <c r="F1605">
        <v>24.99</v>
      </c>
      <c r="G1605">
        <v>1</v>
      </c>
      <c r="H1605">
        <v>0</v>
      </c>
      <c r="I1605">
        <v>24.99</v>
      </c>
      <c r="J1605">
        <v>24.99</v>
      </c>
      <c r="K1605" t="s">
        <v>669</v>
      </c>
      <c r="L1605" t="s">
        <v>788</v>
      </c>
    </row>
    <row r="1606" spans="1:13" x14ac:dyDescent="0.25">
      <c r="A1606" t="s">
        <v>3038</v>
      </c>
      <c r="B1606" t="s">
        <v>617</v>
      </c>
      <c r="C1606" t="s">
        <v>790</v>
      </c>
      <c r="D1606" t="s">
        <v>710</v>
      </c>
      <c r="E1606" t="s">
        <v>721</v>
      </c>
      <c r="F1606">
        <v>24.99</v>
      </c>
      <c r="G1606">
        <v>4</v>
      </c>
      <c r="H1606">
        <v>10</v>
      </c>
      <c r="I1606">
        <v>22.49</v>
      </c>
      <c r="J1606">
        <v>89.96</v>
      </c>
      <c r="K1606" t="s">
        <v>661</v>
      </c>
      <c r="L1606" t="s">
        <v>656</v>
      </c>
      <c r="M1606">
        <v>5</v>
      </c>
    </row>
    <row r="1607" spans="1:13" x14ac:dyDescent="0.25">
      <c r="A1607" t="s">
        <v>3039</v>
      </c>
      <c r="B1607" t="s">
        <v>617</v>
      </c>
      <c r="C1607" t="s">
        <v>713</v>
      </c>
      <c r="D1607" t="s">
        <v>684</v>
      </c>
      <c r="E1607" t="s">
        <v>815</v>
      </c>
      <c r="F1607">
        <v>34.99</v>
      </c>
      <c r="G1607">
        <v>2</v>
      </c>
      <c r="H1607">
        <v>20</v>
      </c>
      <c r="I1607">
        <v>27.99</v>
      </c>
      <c r="J1607">
        <v>55.98</v>
      </c>
      <c r="K1607" t="s">
        <v>669</v>
      </c>
      <c r="L1607" t="s">
        <v>656</v>
      </c>
    </row>
    <row r="1608" spans="1:13" x14ac:dyDescent="0.25">
      <c r="A1608" t="s">
        <v>3040</v>
      </c>
      <c r="B1608" t="s">
        <v>617</v>
      </c>
      <c r="C1608" t="s">
        <v>3041</v>
      </c>
      <c r="D1608" t="s">
        <v>653</v>
      </c>
      <c r="E1608" t="s">
        <v>769</v>
      </c>
      <c r="F1608">
        <v>49.99</v>
      </c>
      <c r="G1608">
        <v>4</v>
      </c>
      <c r="H1608">
        <v>0</v>
      </c>
      <c r="I1608">
        <v>49.99</v>
      </c>
      <c r="J1608">
        <v>199.96</v>
      </c>
      <c r="K1608" t="s">
        <v>661</v>
      </c>
      <c r="L1608" t="s">
        <v>656</v>
      </c>
      <c r="M1608">
        <v>5</v>
      </c>
    </row>
    <row r="1609" spans="1:13" x14ac:dyDescent="0.25">
      <c r="A1609" t="s">
        <v>3042</v>
      </c>
      <c r="B1609" t="s">
        <v>617</v>
      </c>
      <c r="C1609" t="s">
        <v>2060</v>
      </c>
      <c r="D1609" t="s">
        <v>710</v>
      </c>
      <c r="E1609" t="s">
        <v>730</v>
      </c>
      <c r="F1609">
        <v>39.99</v>
      </c>
      <c r="G1609">
        <v>4</v>
      </c>
      <c r="H1609">
        <v>5</v>
      </c>
      <c r="I1609">
        <v>37.99</v>
      </c>
      <c r="J1609">
        <v>151.96</v>
      </c>
      <c r="K1609" t="s">
        <v>682</v>
      </c>
      <c r="L1609" t="s">
        <v>656</v>
      </c>
      <c r="M1609">
        <v>5</v>
      </c>
    </row>
    <row r="1610" spans="1:13" x14ac:dyDescent="0.25">
      <c r="A1610" t="s">
        <v>3043</v>
      </c>
      <c r="B1610" t="s">
        <v>617</v>
      </c>
      <c r="C1610" t="s">
        <v>1110</v>
      </c>
      <c r="D1610" t="s">
        <v>672</v>
      </c>
      <c r="E1610" t="s">
        <v>673</v>
      </c>
      <c r="F1610">
        <v>24.99</v>
      </c>
      <c r="G1610">
        <v>4</v>
      </c>
      <c r="H1610">
        <v>10</v>
      </c>
      <c r="I1610">
        <v>22.49</v>
      </c>
      <c r="J1610">
        <v>89.96</v>
      </c>
      <c r="K1610" t="s">
        <v>655</v>
      </c>
      <c r="L1610" t="s">
        <v>656</v>
      </c>
      <c r="M1610">
        <v>5</v>
      </c>
    </row>
    <row r="1611" spans="1:13" x14ac:dyDescent="0.25">
      <c r="A1611" t="s">
        <v>3044</v>
      </c>
      <c r="B1611" t="s">
        <v>617</v>
      </c>
      <c r="C1611" t="s">
        <v>948</v>
      </c>
      <c r="D1611" t="s">
        <v>667</v>
      </c>
      <c r="E1611" t="s">
        <v>696</v>
      </c>
      <c r="F1611">
        <v>59.99</v>
      </c>
      <c r="G1611">
        <v>3</v>
      </c>
      <c r="H1611">
        <v>5</v>
      </c>
      <c r="I1611">
        <v>56.99</v>
      </c>
      <c r="J1611">
        <v>170.97</v>
      </c>
      <c r="K1611" t="s">
        <v>675</v>
      </c>
      <c r="L1611" t="s">
        <v>656</v>
      </c>
      <c r="M1611">
        <v>3</v>
      </c>
    </row>
    <row r="1612" spans="1:13" x14ac:dyDescent="0.25">
      <c r="A1612" t="s">
        <v>3045</v>
      </c>
      <c r="B1612" t="s">
        <v>620</v>
      </c>
      <c r="C1612" t="s">
        <v>1625</v>
      </c>
      <c r="D1612" t="s">
        <v>680</v>
      </c>
      <c r="E1612" t="s">
        <v>749</v>
      </c>
      <c r="F1612">
        <v>14.99</v>
      </c>
      <c r="G1612">
        <v>3</v>
      </c>
      <c r="H1612">
        <v>15</v>
      </c>
      <c r="I1612">
        <v>12.74</v>
      </c>
      <c r="J1612">
        <v>38.22</v>
      </c>
      <c r="K1612" t="s">
        <v>675</v>
      </c>
      <c r="L1612" t="s">
        <v>656</v>
      </c>
      <c r="M1612">
        <v>4</v>
      </c>
    </row>
    <row r="1613" spans="1:13" x14ac:dyDescent="0.25">
      <c r="A1613" t="s">
        <v>3046</v>
      </c>
      <c r="B1613" t="s">
        <v>620</v>
      </c>
      <c r="C1613" t="s">
        <v>819</v>
      </c>
      <c r="D1613" t="s">
        <v>667</v>
      </c>
      <c r="E1613" t="s">
        <v>714</v>
      </c>
      <c r="F1613">
        <v>44.99</v>
      </c>
      <c r="G1613">
        <v>1</v>
      </c>
      <c r="H1613">
        <v>5</v>
      </c>
      <c r="I1613">
        <v>42.74</v>
      </c>
      <c r="J1613">
        <v>42.74</v>
      </c>
      <c r="K1613" t="s">
        <v>682</v>
      </c>
      <c r="L1613" t="s">
        <v>656</v>
      </c>
      <c r="M1613">
        <v>5</v>
      </c>
    </row>
    <row r="1614" spans="1:13" x14ac:dyDescent="0.25">
      <c r="A1614" t="s">
        <v>3047</v>
      </c>
      <c r="B1614" t="s">
        <v>620</v>
      </c>
      <c r="C1614" t="s">
        <v>1661</v>
      </c>
      <c r="D1614" t="s">
        <v>659</v>
      </c>
      <c r="E1614" t="s">
        <v>820</v>
      </c>
      <c r="F1614">
        <v>39.99</v>
      </c>
      <c r="G1614">
        <v>4</v>
      </c>
      <c r="H1614">
        <v>5</v>
      </c>
      <c r="I1614">
        <v>37.99</v>
      </c>
      <c r="J1614">
        <v>151.96</v>
      </c>
      <c r="K1614" t="s">
        <v>682</v>
      </c>
      <c r="L1614" t="s">
        <v>656</v>
      </c>
    </row>
    <row r="1615" spans="1:13" x14ac:dyDescent="0.25">
      <c r="A1615" t="s">
        <v>3048</v>
      </c>
      <c r="B1615" t="s">
        <v>620</v>
      </c>
      <c r="C1615" t="s">
        <v>2092</v>
      </c>
      <c r="D1615" t="s">
        <v>680</v>
      </c>
      <c r="E1615" t="s">
        <v>681</v>
      </c>
      <c r="F1615">
        <v>19.989999999999998</v>
      </c>
      <c r="G1615">
        <v>1</v>
      </c>
      <c r="H1615">
        <v>15</v>
      </c>
      <c r="I1615">
        <v>16.989999999999998</v>
      </c>
      <c r="J1615">
        <v>16.989999999999998</v>
      </c>
      <c r="K1615" t="s">
        <v>675</v>
      </c>
      <c r="L1615" t="s">
        <v>656</v>
      </c>
      <c r="M1615">
        <v>5</v>
      </c>
    </row>
    <row r="1616" spans="1:13" x14ac:dyDescent="0.25">
      <c r="A1616" t="s">
        <v>3049</v>
      </c>
      <c r="B1616" t="s">
        <v>620</v>
      </c>
      <c r="C1616" t="s">
        <v>3050</v>
      </c>
      <c r="D1616" t="s">
        <v>659</v>
      </c>
      <c r="E1616" t="s">
        <v>664</v>
      </c>
      <c r="F1616">
        <v>24.99</v>
      </c>
      <c r="G1616">
        <v>4</v>
      </c>
      <c r="H1616">
        <v>15</v>
      </c>
      <c r="I1616">
        <v>21.24</v>
      </c>
      <c r="J1616">
        <v>84.96</v>
      </c>
      <c r="K1616" t="s">
        <v>655</v>
      </c>
      <c r="L1616" t="s">
        <v>656</v>
      </c>
      <c r="M1616">
        <v>4</v>
      </c>
    </row>
    <row r="1617" spans="1:13" x14ac:dyDescent="0.25">
      <c r="A1617" t="s">
        <v>3051</v>
      </c>
      <c r="B1617" t="s">
        <v>620</v>
      </c>
      <c r="C1617" t="s">
        <v>2042</v>
      </c>
      <c r="D1617" t="s">
        <v>680</v>
      </c>
      <c r="E1617" t="s">
        <v>749</v>
      </c>
      <c r="F1617">
        <v>14.99</v>
      </c>
      <c r="G1617">
        <v>2</v>
      </c>
      <c r="H1617">
        <v>5</v>
      </c>
      <c r="I1617">
        <v>14.24</v>
      </c>
      <c r="J1617">
        <v>28.48</v>
      </c>
      <c r="K1617" t="s">
        <v>682</v>
      </c>
      <c r="L1617" t="s">
        <v>656</v>
      </c>
      <c r="M1617">
        <v>5</v>
      </c>
    </row>
    <row r="1618" spans="1:13" x14ac:dyDescent="0.25">
      <c r="A1618" t="s">
        <v>3052</v>
      </c>
      <c r="B1618" t="s">
        <v>620</v>
      </c>
      <c r="C1618" t="s">
        <v>211</v>
      </c>
      <c r="D1618" t="s">
        <v>653</v>
      </c>
      <c r="E1618" t="s">
        <v>654</v>
      </c>
      <c r="F1618">
        <v>39.99</v>
      </c>
      <c r="G1618">
        <v>1</v>
      </c>
      <c r="H1618">
        <v>5</v>
      </c>
      <c r="I1618">
        <v>37.99</v>
      </c>
      <c r="J1618">
        <v>37.99</v>
      </c>
      <c r="K1618" t="s">
        <v>682</v>
      </c>
      <c r="L1618" t="s">
        <v>656</v>
      </c>
    </row>
    <row r="1619" spans="1:13" x14ac:dyDescent="0.25">
      <c r="A1619" t="s">
        <v>3053</v>
      </c>
      <c r="B1619" t="s">
        <v>620</v>
      </c>
      <c r="C1619" t="s">
        <v>202</v>
      </c>
      <c r="D1619" t="s">
        <v>659</v>
      </c>
      <c r="E1619" t="s">
        <v>820</v>
      </c>
      <c r="F1619">
        <v>39.99</v>
      </c>
      <c r="G1619">
        <v>2</v>
      </c>
      <c r="H1619">
        <v>15</v>
      </c>
      <c r="I1619">
        <v>33.99</v>
      </c>
      <c r="J1619">
        <v>67.98</v>
      </c>
      <c r="K1619" t="s">
        <v>682</v>
      </c>
      <c r="L1619" t="s">
        <v>656</v>
      </c>
      <c r="M1619">
        <v>5</v>
      </c>
    </row>
    <row r="1620" spans="1:13" x14ac:dyDescent="0.25">
      <c r="A1620" t="s">
        <v>3054</v>
      </c>
      <c r="B1620" t="s">
        <v>620</v>
      </c>
      <c r="C1620" t="s">
        <v>1321</v>
      </c>
      <c r="D1620" t="s">
        <v>672</v>
      </c>
      <c r="E1620" t="s">
        <v>724</v>
      </c>
      <c r="F1620">
        <v>89.99</v>
      </c>
      <c r="G1620">
        <v>1</v>
      </c>
      <c r="H1620">
        <v>15</v>
      </c>
      <c r="I1620">
        <v>76.489999999999995</v>
      </c>
      <c r="J1620">
        <v>76.489999999999995</v>
      </c>
      <c r="K1620" t="s">
        <v>655</v>
      </c>
      <c r="L1620" t="s">
        <v>656</v>
      </c>
      <c r="M1620">
        <v>3</v>
      </c>
    </row>
    <row r="1621" spans="1:13" x14ac:dyDescent="0.25">
      <c r="A1621" t="s">
        <v>3055</v>
      </c>
      <c r="B1621" t="s">
        <v>620</v>
      </c>
      <c r="C1621" t="s">
        <v>775</v>
      </c>
      <c r="D1621" t="s">
        <v>710</v>
      </c>
      <c r="E1621" t="s">
        <v>711</v>
      </c>
      <c r="F1621">
        <v>14.99</v>
      </c>
      <c r="G1621">
        <v>2</v>
      </c>
      <c r="H1621">
        <v>0</v>
      </c>
      <c r="I1621">
        <v>14.99</v>
      </c>
      <c r="J1621">
        <v>29.98</v>
      </c>
      <c r="K1621" t="s">
        <v>669</v>
      </c>
      <c r="L1621" t="s">
        <v>788</v>
      </c>
      <c r="M1621">
        <v>4</v>
      </c>
    </row>
    <row r="1622" spans="1:13" x14ac:dyDescent="0.25">
      <c r="A1622" t="s">
        <v>3056</v>
      </c>
      <c r="B1622" t="s">
        <v>623</v>
      </c>
      <c r="C1622" t="s">
        <v>753</v>
      </c>
      <c r="D1622" t="s">
        <v>667</v>
      </c>
      <c r="E1622" t="s">
        <v>699</v>
      </c>
      <c r="F1622">
        <v>89.99</v>
      </c>
      <c r="G1622">
        <v>1</v>
      </c>
      <c r="H1622">
        <v>0</v>
      </c>
      <c r="I1622">
        <v>89.99</v>
      </c>
      <c r="J1622">
        <v>89.99</v>
      </c>
      <c r="K1622" t="s">
        <v>655</v>
      </c>
      <c r="L1622" t="s">
        <v>656</v>
      </c>
      <c r="M1622">
        <v>3</v>
      </c>
    </row>
    <row r="1623" spans="1:13" x14ac:dyDescent="0.25">
      <c r="A1623" t="s">
        <v>3057</v>
      </c>
      <c r="B1623" t="s">
        <v>623</v>
      </c>
      <c r="C1623" t="s">
        <v>1169</v>
      </c>
      <c r="D1623" t="s">
        <v>672</v>
      </c>
      <c r="E1623" t="s">
        <v>724</v>
      </c>
      <c r="F1623">
        <v>89.99</v>
      </c>
      <c r="G1623">
        <v>3</v>
      </c>
      <c r="H1623">
        <v>0</v>
      </c>
      <c r="I1623">
        <v>89.99</v>
      </c>
      <c r="J1623">
        <v>269.97000000000003</v>
      </c>
      <c r="K1623" t="s">
        <v>669</v>
      </c>
      <c r="L1623" t="s">
        <v>656</v>
      </c>
      <c r="M1623">
        <v>5</v>
      </c>
    </row>
    <row r="1624" spans="1:13" x14ac:dyDescent="0.25">
      <c r="A1624" t="s">
        <v>3058</v>
      </c>
      <c r="B1624" t="s">
        <v>623</v>
      </c>
      <c r="C1624" t="s">
        <v>1303</v>
      </c>
      <c r="D1624" t="s">
        <v>684</v>
      </c>
      <c r="E1624" t="s">
        <v>685</v>
      </c>
      <c r="F1624">
        <v>49.99</v>
      </c>
      <c r="G1624">
        <v>4</v>
      </c>
      <c r="H1624">
        <v>0</v>
      </c>
      <c r="I1624">
        <v>49.99</v>
      </c>
      <c r="J1624">
        <v>199.96</v>
      </c>
      <c r="K1624" t="s">
        <v>669</v>
      </c>
      <c r="L1624" t="s">
        <v>656</v>
      </c>
      <c r="M1624">
        <v>5</v>
      </c>
    </row>
    <row r="1625" spans="1:13" x14ac:dyDescent="0.25">
      <c r="A1625" t="s">
        <v>3059</v>
      </c>
      <c r="B1625" t="s">
        <v>623</v>
      </c>
      <c r="C1625" t="s">
        <v>1273</v>
      </c>
      <c r="D1625" t="s">
        <v>659</v>
      </c>
      <c r="E1625" t="s">
        <v>820</v>
      </c>
      <c r="F1625">
        <v>39.99</v>
      </c>
      <c r="G1625">
        <v>2</v>
      </c>
      <c r="H1625">
        <v>10</v>
      </c>
      <c r="I1625">
        <v>35.99</v>
      </c>
      <c r="J1625">
        <v>71.98</v>
      </c>
      <c r="K1625" t="s">
        <v>682</v>
      </c>
      <c r="L1625" t="s">
        <v>656</v>
      </c>
    </row>
    <row r="1626" spans="1:13" x14ac:dyDescent="0.25">
      <c r="A1626" t="s">
        <v>3060</v>
      </c>
      <c r="B1626" t="s">
        <v>623</v>
      </c>
      <c r="C1626" t="s">
        <v>1897</v>
      </c>
      <c r="D1626" t="s">
        <v>653</v>
      </c>
      <c r="E1626" t="s">
        <v>654</v>
      </c>
      <c r="F1626">
        <v>39.99</v>
      </c>
      <c r="G1626">
        <v>2</v>
      </c>
      <c r="H1626">
        <v>0</v>
      </c>
      <c r="I1626">
        <v>39.99</v>
      </c>
      <c r="J1626">
        <v>79.98</v>
      </c>
      <c r="K1626" t="s">
        <v>669</v>
      </c>
      <c r="L1626" t="s">
        <v>656</v>
      </c>
      <c r="M1626">
        <v>5</v>
      </c>
    </row>
    <row r="1627" spans="1:13" x14ac:dyDescent="0.25">
      <c r="A1627" t="s">
        <v>3061</v>
      </c>
      <c r="B1627" t="s">
        <v>623</v>
      </c>
      <c r="C1627" t="s">
        <v>1964</v>
      </c>
      <c r="D1627" t="s">
        <v>710</v>
      </c>
      <c r="E1627" t="s">
        <v>730</v>
      </c>
      <c r="F1627">
        <v>39.99</v>
      </c>
      <c r="G1627">
        <v>1</v>
      </c>
      <c r="H1627">
        <v>0</v>
      </c>
      <c r="I1627">
        <v>39.99</v>
      </c>
      <c r="J1627">
        <v>39.99</v>
      </c>
      <c r="K1627" t="s">
        <v>661</v>
      </c>
      <c r="L1627" t="s">
        <v>693</v>
      </c>
      <c r="M1627">
        <v>4</v>
      </c>
    </row>
    <row r="1628" spans="1:13" x14ac:dyDescent="0.25">
      <c r="A1628" t="s">
        <v>3062</v>
      </c>
      <c r="B1628" t="s">
        <v>623</v>
      </c>
      <c r="C1628" t="s">
        <v>2729</v>
      </c>
      <c r="D1628" t="s">
        <v>672</v>
      </c>
      <c r="E1628" t="s">
        <v>803</v>
      </c>
      <c r="F1628">
        <v>69.989999999999995</v>
      </c>
      <c r="G1628">
        <v>4</v>
      </c>
      <c r="H1628">
        <v>15</v>
      </c>
      <c r="I1628">
        <v>59.49</v>
      </c>
      <c r="J1628">
        <v>237.96</v>
      </c>
      <c r="K1628" t="s">
        <v>675</v>
      </c>
      <c r="L1628" t="s">
        <v>656</v>
      </c>
      <c r="M1628">
        <v>3</v>
      </c>
    </row>
    <row r="1629" spans="1:13" x14ac:dyDescent="0.25">
      <c r="A1629" t="s">
        <v>3063</v>
      </c>
      <c r="B1629" t="s">
        <v>626</v>
      </c>
      <c r="C1629" t="s">
        <v>1911</v>
      </c>
      <c r="D1629" t="s">
        <v>672</v>
      </c>
      <c r="E1629" t="s">
        <v>735</v>
      </c>
      <c r="F1629">
        <v>44.99</v>
      </c>
      <c r="G1629">
        <v>1</v>
      </c>
      <c r="H1629">
        <v>15</v>
      </c>
      <c r="I1629">
        <v>38.24</v>
      </c>
      <c r="J1629">
        <v>38.24</v>
      </c>
      <c r="K1629" t="s">
        <v>682</v>
      </c>
      <c r="L1629" t="s">
        <v>785</v>
      </c>
      <c r="M1629">
        <v>4</v>
      </c>
    </row>
    <row r="1630" spans="1:13" x14ac:dyDescent="0.25">
      <c r="A1630" t="s">
        <v>3064</v>
      </c>
      <c r="B1630" t="s">
        <v>629</v>
      </c>
      <c r="C1630" t="s">
        <v>3065</v>
      </c>
      <c r="D1630" t="s">
        <v>653</v>
      </c>
      <c r="E1630" t="s">
        <v>769</v>
      </c>
      <c r="F1630">
        <v>49.99</v>
      </c>
      <c r="G1630">
        <v>1</v>
      </c>
      <c r="H1630">
        <v>10</v>
      </c>
      <c r="I1630">
        <v>44.99</v>
      </c>
      <c r="J1630">
        <v>44.99</v>
      </c>
      <c r="K1630" t="s">
        <v>655</v>
      </c>
      <c r="L1630" t="s">
        <v>656</v>
      </c>
      <c r="M1630">
        <v>5</v>
      </c>
    </row>
    <row r="1631" spans="1:13" x14ac:dyDescent="0.25">
      <c r="A1631" t="s">
        <v>3066</v>
      </c>
      <c r="B1631" t="s">
        <v>629</v>
      </c>
      <c r="C1631" t="s">
        <v>1655</v>
      </c>
      <c r="D1631" t="s">
        <v>672</v>
      </c>
      <c r="E1631" t="s">
        <v>673</v>
      </c>
      <c r="F1631">
        <v>24.99</v>
      </c>
      <c r="G1631">
        <v>1</v>
      </c>
      <c r="H1631">
        <v>20</v>
      </c>
      <c r="I1631">
        <v>19.989999999999998</v>
      </c>
      <c r="J1631">
        <v>19.989999999999998</v>
      </c>
      <c r="K1631" t="s">
        <v>669</v>
      </c>
      <c r="L1631" t="s">
        <v>656</v>
      </c>
      <c r="M1631">
        <v>5</v>
      </c>
    </row>
    <row r="1632" spans="1:13" x14ac:dyDescent="0.25">
      <c r="A1632" t="s">
        <v>3067</v>
      </c>
      <c r="B1632" t="s">
        <v>631</v>
      </c>
      <c r="C1632" t="s">
        <v>1830</v>
      </c>
      <c r="D1632" t="s">
        <v>710</v>
      </c>
      <c r="E1632" t="s">
        <v>744</v>
      </c>
      <c r="F1632">
        <v>29.99</v>
      </c>
      <c r="G1632">
        <v>1</v>
      </c>
      <c r="H1632">
        <v>10</v>
      </c>
      <c r="I1632">
        <v>26.99</v>
      </c>
      <c r="J1632">
        <v>26.99</v>
      </c>
      <c r="K1632" t="s">
        <v>661</v>
      </c>
      <c r="L1632" t="s">
        <v>788</v>
      </c>
      <c r="M1632">
        <v>3</v>
      </c>
    </row>
    <row r="1633" spans="1:13" x14ac:dyDescent="0.25">
      <c r="A1633" t="s">
        <v>3068</v>
      </c>
      <c r="B1633" t="s">
        <v>631</v>
      </c>
      <c r="C1633" t="s">
        <v>2869</v>
      </c>
      <c r="D1633" t="s">
        <v>680</v>
      </c>
      <c r="E1633" t="s">
        <v>688</v>
      </c>
      <c r="F1633">
        <v>29.99</v>
      </c>
      <c r="G1633">
        <v>1</v>
      </c>
      <c r="H1633">
        <v>0</v>
      </c>
      <c r="I1633">
        <v>29.99</v>
      </c>
      <c r="J1633">
        <v>29.99</v>
      </c>
      <c r="K1633" t="s">
        <v>675</v>
      </c>
      <c r="L1633" t="s">
        <v>656</v>
      </c>
      <c r="M1633">
        <v>4</v>
      </c>
    </row>
    <row r="1634" spans="1:13" x14ac:dyDescent="0.25">
      <c r="A1634" t="s">
        <v>3069</v>
      </c>
      <c r="B1634" t="s">
        <v>631</v>
      </c>
      <c r="C1634" t="s">
        <v>2321</v>
      </c>
      <c r="D1634" t="s">
        <v>653</v>
      </c>
      <c r="E1634" t="s">
        <v>769</v>
      </c>
      <c r="F1634">
        <v>49.99</v>
      </c>
      <c r="G1634">
        <v>4</v>
      </c>
      <c r="H1634">
        <v>0</v>
      </c>
      <c r="I1634">
        <v>49.99</v>
      </c>
      <c r="J1634">
        <v>199.96</v>
      </c>
      <c r="K1634" t="s">
        <v>675</v>
      </c>
      <c r="L1634" t="s">
        <v>656</v>
      </c>
      <c r="M1634">
        <v>5</v>
      </c>
    </row>
    <row r="1635" spans="1:13" x14ac:dyDescent="0.25">
      <c r="A1635" t="s">
        <v>3070</v>
      </c>
      <c r="B1635" t="s">
        <v>631</v>
      </c>
      <c r="C1635" t="s">
        <v>3071</v>
      </c>
      <c r="D1635" t="s">
        <v>710</v>
      </c>
      <c r="E1635" t="s">
        <v>744</v>
      </c>
      <c r="F1635">
        <v>29.99</v>
      </c>
      <c r="G1635">
        <v>4</v>
      </c>
      <c r="H1635">
        <v>5</v>
      </c>
      <c r="I1635">
        <v>28.49</v>
      </c>
      <c r="J1635">
        <v>113.96</v>
      </c>
      <c r="K1635" t="s">
        <v>661</v>
      </c>
      <c r="L1635" t="s">
        <v>788</v>
      </c>
      <c r="M1635">
        <v>4</v>
      </c>
    </row>
    <row r="1636" spans="1:13" x14ac:dyDescent="0.25">
      <c r="A1636" t="s">
        <v>3072</v>
      </c>
      <c r="B1636" t="s">
        <v>631</v>
      </c>
      <c r="C1636" t="s">
        <v>1549</v>
      </c>
      <c r="D1636" t="s">
        <v>684</v>
      </c>
      <c r="E1636" t="s">
        <v>685</v>
      </c>
      <c r="F1636">
        <v>49.99</v>
      </c>
      <c r="G1636">
        <v>4</v>
      </c>
      <c r="H1636">
        <v>10</v>
      </c>
      <c r="I1636">
        <v>44.99</v>
      </c>
      <c r="J1636">
        <v>179.96</v>
      </c>
      <c r="K1636" t="s">
        <v>655</v>
      </c>
      <c r="L1636" t="s">
        <v>656</v>
      </c>
      <c r="M1636">
        <v>1</v>
      </c>
    </row>
    <row r="1637" spans="1:13" x14ac:dyDescent="0.25">
      <c r="A1637" t="s">
        <v>3073</v>
      </c>
      <c r="B1637" t="s">
        <v>631</v>
      </c>
      <c r="C1637" t="s">
        <v>1281</v>
      </c>
      <c r="D1637" t="s">
        <v>653</v>
      </c>
      <c r="E1637" t="s">
        <v>769</v>
      </c>
      <c r="F1637">
        <v>49.99</v>
      </c>
      <c r="G1637">
        <v>2</v>
      </c>
      <c r="H1637">
        <v>20</v>
      </c>
      <c r="I1637">
        <v>39.99</v>
      </c>
      <c r="J1637">
        <v>79.98</v>
      </c>
      <c r="K1637" t="s">
        <v>682</v>
      </c>
      <c r="L1637" t="s">
        <v>656</v>
      </c>
      <c r="M1637">
        <v>3</v>
      </c>
    </row>
    <row r="1638" spans="1:13" x14ac:dyDescent="0.25">
      <c r="A1638" t="s">
        <v>3074</v>
      </c>
      <c r="B1638" t="s">
        <v>631</v>
      </c>
      <c r="C1638" t="s">
        <v>2209</v>
      </c>
      <c r="D1638" t="s">
        <v>684</v>
      </c>
      <c r="E1638" t="s">
        <v>705</v>
      </c>
      <c r="F1638">
        <v>79.989999999999995</v>
      </c>
      <c r="G1638">
        <v>3</v>
      </c>
      <c r="H1638">
        <v>0</v>
      </c>
      <c r="I1638">
        <v>79.989999999999995</v>
      </c>
      <c r="J1638">
        <v>239.97</v>
      </c>
      <c r="K1638" t="s">
        <v>655</v>
      </c>
      <c r="L1638" t="s">
        <v>739</v>
      </c>
      <c r="M1638">
        <v>5</v>
      </c>
    </row>
    <row r="1639" spans="1:13" x14ac:dyDescent="0.25">
      <c r="A1639" t="s">
        <v>3075</v>
      </c>
      <c r="B1639" t="s">
        <v>631</v>
      </c>
      <c r="C1639" t="s">
        <v>513</v>
      </c>
      <c r="D1639" t="s">
        <v>653</v>
      </c>
      <c r="E1639" t="s">
        <v>654</v>
      </c>
      <c r="F1639">
        <v>39.99</v>
      </c>
      <c r="G1639">
        <v>2</v>
      </c>
      <c r="H1639">
        <v>0</v>
      </c>
      <c r="I1639">
        <v>39.99</v>
      </c>
      <c r="J1639">
        <v>79.98</v>
      </c>
      <c r="K1639" t="s">
        <v>669</v>
      </c>
      <c r="L1639" t="s">
        <v>656</v>
      </c>
      <c r="M1639">
        <v>5</v>
      </c>
    </row>
    <row r="1640" spans="1:13" x14ac:dyDescent="0.25">
      <c r="A1640" t="s">
        <v>3076</v>
      </c>
      <c r="B1640" t="s">
        <v>631</v>
      </c>
      <c r="C1640" t="s">
        <v>1253</v>
      </c>
      <c r="D1640" t="s">
        <v>672</v>
      </c>
      <c r="E1640" t="s">
        <v>803</v>
      </c>
      <c r="F1640">
        <v>69.989999999999995</v>
      </c>
      <c r="G1640">
        <v>4</v>
      </c>
      <c r="H1640">
        <v>0</v>
      </c>
      <c r="I1640">
        <v>69.989999999999995</v>
      </c>
      <c r="J1640">
        <v>279.95999999999998</v>
      </c>
      <c r="K1640" t="s">
        <v>682</v>
      </c>
      <c r="L1640" t="s">
        <v>656</v>
      </c>
    </row>
    <row r="1641" spans="1:13" x14ac:dyDescent="0.25">
      <c r="A1641" t="s">
        <v>3077</v>
      </c>
      <c r="B1641" t="s">
        <v>631</v>
      </c>
      <c r="C1641" t="s">
        <v>3078</v>
      </c>
      <c r="D1641" t="s">
        <v>653</v>
      </c>
      <c r="E1641" t="s">
        <v>827</v>
      </c>
      <c r="F1641">
        <v>29.99</v>
      </c>
      <c r="G1641">
        <v>1</v>
      </c>
      <c r="H1641">
        <v>5</v>
      </c>
      <c r="I1641">
        <v>28.49</v>
      </c>
      <c r="J1641">
        <v>28.49</v>
      </c>
      <c r="K1641" t="s">
        <v>669</v>
      </c>
      <c r="L1641" t="s">
        <v>656</v>
      </c>
      <c r="M1641">
        <v>2</v>
      </c>
    </row>
    <row r="1642" spans="1:13" x14ac:dyDescent="0.25">
      <c r="A1642" t="s">
        <v>3079</v>
      </c>
      <c r="B1642" t="s">
        <v>631</v>
      </c>
      <c r="C1642" t="s">
        <v>3080</v>
      </c>
      <c r="D1642" t="s">
        <v>684</v>
      </c>
      <c r="E1642" t="s">
        <v>685</v>
      </c>
      <c r="F1642">
        <v>49.99</v>
      </c>
      <c r="G1642">
        <v>2</v>
      </c>
      <c r="H1642">
        <v>10</v>
      </c>
      <c r="I1642">
        <v>44.99</v>
      </c>
      <c r="J1642">
        <v>89.98</v>
      </c>
      <c r="K1642" t="s">
        <v>661</v>
      </c>
      <c r="L1642" t="s">
        <v>656</v>
      </c>
    </row>
    <row r="1643" spans="1:13" x14ac:dyDescent="0.25">
      <c r="A1643" t="s">
        <v>3081</v>
      </c>
      <c r="B1643" t="s">
        <v>634</v>
      </c>
      <c r="C1643" t="s">
        <v>3082</v>
      </c>
      <c r="D1643" t="s">
        <v>710</v>
      </c>
      <c r="E1643" t="s">
        <v>721</v>
      </c>
      <c r="F1643">
        <v>24.99</v>
      </c>
      <c r="G1643">
        <v>4</v>
      </c>
      <c r="H1643">
        <v>15</v>
      </c>
      <c r="I1643">
        <v>21.24</v>
      </c>
      <c r="J1643">
        <v>84.96</v>
      </c>
      <c r="K1643" t="s">
        <v>675</v>
      </c>
      <c r="L1643" t="s">
        <v>656</v>
      </c>
      <c r="M1643">
        <v>3</v>
      </c>
    </row>
    <row r="1644" spans="1:13" x14ac:dyDescent="0.25">
      <c r="A1644" t="s">
        <v>3083</v>
      </c>
      <c r="B1644" t="s">
        <v>634</v>
      </c>
      <c r="C1644" t="s">
        <v>2206</v>
      </c>
      <c r="D1644" t="s">
        <v>680</v>
      </c>
      <c r="E1644" t="s">
        <v>681</v>
      </c>
      <c r="F1644">
        <v>19.989999999999998</v>
      </c>
      <c r="G1644">
        <v>3</v>
      </c>
      <c r="H1644">
        <v>15</v>
      </c>
      <c r="I1644">
        <v>16.989999999999998</v>
      </c>
      <c r="J1644">
        <v>50.97</v>
      </c>
      <c r="K1644" t="s">
        <v>682</v>
      </c>
      <c r="L1644" t="s">
        <v>656</v>
      </c>
    </row>
    <row r="1645" spans="1:13" x14ac:dyDescent="0.25">
      <c r="A1645" t="s">
        <v>3084</v>
      </c>
      <c r="B1645" t="s">
        <v>634</v>
      </c>
      <c r="C1645" t="s">
        <v>448</v>
      </c>
      <c r="D1645" t="s">
        <v>684</v>
      </c>
      <c r="E1645" t="s">
        <v>705</v>
      </c>
      <c r="F1645">
        <v>79.989999999999995</v>
      </c>
      <c r="G1645">
        <v>2</v>
      </c>
      <c r="H1645">
        <v>0</v>
      </c>
      <c r="I1645">
        <v>79.989999999999995</v>
      </c>
      <c r="J1645">
        <v>159.97999999999999</v>
      </c>
      <c r="K1645" t="s">
        <v>661</v>
      </c>
      <c r="L1645" t="s">
        <v>656</v>
      </c>
      <c r="M1645">
        <v>2</v>
      </c>
    </row>
    <row r="1646" spans="1:13" x14ac:dyDescent="0.25">
      <c r="A1646" t="s">
        <v>3085</v>
      </c>
      <c r="B1646" t="s">
        <v>634</v>
      </c>
      <c r="C1646" t="s">
        <v>2372</v>
      </c>
      <c r="D1646" t="s">
        <v>684</v>
      </c>
      <c r="E1646" t="s">
        <v>815</v>
      </c>
      <c r="F1646">
        <v>34.99</v>
      </c>
      <c r="G1646">
        <v>4</v>
      </c>
      <c r="H1646">
        <v>15</v>
      </c>
      <c r="I1646">
        <v>29.74</v>
      </c>
      <c r="J1646">
        <v>118.96</v>
      </c>
      <c r="K1646" t="s">
        <v>669</v>
      </c>
      <c r="L1646" t="s">
        <v>656</v>
      </c>
    </row>
    <row r="1647" spans="1:13" x14ac:dyDescent="0.25">
      <c r="A1647" t="s">
        <v>3086</v>
      </c>
      <c r="B1647" t="s">
        <v>637</v>
      </c>
      <c r="C1647" t="s">
        <v>1044</v>
      </c>
      <c r="D1647" t="s">
        <v>667</v>
      </c>
      <c r="E1647" t="s">
        <v>668</v>
      </c>
      <c r="F1647">
        <v>64.989999999999995</v>
      </c>
      <c r="G1647">
        <v>1</v>
      </c>
      <c r="H1647">
        <v>0</v>
      </c>
      <c r="I1647">
        <v>64.989999999999995</v>
      </c>
      <c r="J1647">
        <v>64.989999999999995</v>
      </c>
      <c r="K1647" t="s">
        <v>669</v>
      </c>
      <c r="L1647" t="s">
        <v>656</v>
      </c>
      <c r="M1647">
        <v>5</v>
      </c>
    </row>
    <row r="1648" spans="1:13" x14ac:dyDescent="0.25">
      <c r="A1648" t="s">
        <v>3087</v>
      </c>
      <c r="B1648" t="s">
        <v>637</v>
      </c>
      <c r="C1648" t="s">
        <v>2951</v>
      </c>
      <c r="D1648" t="s">
        <v>653</v>
      </c>
      <c r="E1648" t="s">
        <v>769</v>
      </c>
      <c r="F1648">
        <v>49.99</v>
      </c>
      <c r="G1648">
        <v>1</v>
      </c>
      <c r="H1648">
        <v>20</v>
      </c>
      <c r="I1648">
        <v>39.99</v>
      </c>
      <c r="J1648">
        <v>39.99</v>
      </c>
      <c r="K1648" t="s">
        <v>655</v>
      </c>
      <c r="L1648" t="s">
        <v>656</v>
      </c>
    </row>
    <row r="1649" spans="1:13" x14ac:dyDescent="0.25">
      <c r="A1649" t="s">
        <v>3088</v>
      </c>
      <c r="B1649" t="s">
        <v>637</v>
      </c>
      <c r="C1649" t="s">
        <v>2350</v>
      </c>
      <c r="D1649" t="s">
        <v>672</v>
      </c>
      <c r="E1649" t="s">
        <v>735</v>
      </c>
      <c r="F1649">
        <v>44.99</v>
      </c>
      <c r="G1649">
        <v>4</v>
      </c>
      <c r="H1649">
        <v>10</v>
      </c>
      <c r="I1649">
        <v>40.49</v>
      </c>
      <c r="J1649">
        <v>161.96</v>
      </c>
      <c r="K1649" t="s">
        <v>682</v>
      </c>
      <c r="L1649" t="s">
        <v>656</v>
      </c>
    </row>
    <row r="1650" spans="1:13" x14ac:dyDescent="0.25">
      <c r="A1650" t="s">
        <v>3089</v>
      </c>
      <c r="B1650" t="s">
        <v>637</v>
      </c>
      <c r="C1650" t="s">
        <v>2753</v>
      </c>
      <c r="D1650" t="s">
        <v>710</v>
      </c>
      <c r="E1650" t="s">
        <v>711</v>
      </c>
      <c r="F1650">
        <v>14.99</v>
      </c>
      <c r="G1650">
        <v>4</v>
      </c>
      <c r="H1650">
        <v>10</v>
      </c>
      <c r="I1650">
        <v>13.49</v>
      </c>
      <c r="J1650">
        <v>53.96</v>
      </c>
      <c r="K1650" t="s">
        <v>682</v>
      </c>
      <c r="L1650" t="s">
        <v>656</v>
      </c>
      <c r="M1650">
        <v>4</v>
      </c>
    </row>
    <row r="1651" spans="1:13" x14ac:dyDescent="0.25">
      <c r="A1651" t="s">
        <v>3090</v>
      </c>
      <c r="B1651" t="s">
        <v>637</v>
      </c>
      <c r="C1651" t="s">
        <v>695</v>
      </c>
      <c r="D1651" t="s">
        <v>672</v>
      </c>
      <c r="E1651" t="s">
        <v>735</v>
      </c>
      <c r="F1651">
        <v>44.99</v>
      </c>
      <c r="G1651">
        <v>4</v>
      </c>
      <c r="H1651">
        <v>0</v>
      </c>
      <c r="I1651">
        <v>44.99</v>
      </c>
      <c r="J1651">
        <v>179.96</v>
      </c>
      <c r="K1651" t="s">
        <v>669</v>
      </c>
      <c r="L1651" t="s">
        <v>656</v>
      </c>
      <c r="M1651">
        <v>3</v>
      </c>
    </row>
    <row r="1652" spans="1:13" x14ac:dyDescent="0.25">
      <c r="A1652" t="s">
        <v>3091</v>
      </c>
      <c r="B1652" t="s">
        <v>637</v>
      </c>
      <c r="C1652" t="s">
        <v>1565</v>
      </c>
      <c r="D1652" t="s">
        <v>684</v>
      </c>
      <c r="E1652" t="s">
        <v>705</v>
      </c>
      <c r="F1652">
        <v>79.989999999999995</v>
      </c>
      <c r="G1652">
        <v>4</v>
      </c>
      <c r="H1652">
        <v>0</v>
      </c>
      <c r="I1652">
        <v>79.989999999999995</v>
      </c>
      <c r="J1652">
        <v>319.95999999999998</v>
      </c>
      <c r="K1652" t="s">
        <v>682</v>
      </c>
      <c r="L1652" t="s">
        <v>656</v>
      </c>
      <c r="M1652">
        <v>5</v>
      </c>
    </row>
    <row r="1653" spans="1:13" x14ac:dyDescent="0.25">
      <c r="A1653" t="s">
        <v>3092</v>
      </c>
      <c r="B1653" t="s">
        <v>637</v>
      </c>
      <c r="C1653" t="s">
        <v>896</v>
      </c>
      <c r="D1653" t="s">
        <v>667</v>
      </c>
      <c r="E1653" t="s">
        <v>696</v>
      </c>
      <c r="F1653">
        <v>59.99</v>
      </c>
      <c r="G1653">
        <v>4</v>
      </c>
      <c r="H1653">
        <v>0</v>
      </c>
      <c r="I1653">
        <v>59.99</v>
      </c>
      <c r="J1653">
        <v>239.96</v>
      </c>
      <c r="K1653" t="s">
        <v>669</v>
      </c>
      <c r="L1653" t="s">
        <v>656</v>
      </c>
      <c r="M1653">
        <v>5</v>
      </c>
    </row>
    <row r="1654" spans="1:13" x14ac:dyDescent="0.25">
      <c r="A1654" t="s">
        <v>3093</v>
      </c>
      <c r="B1654" t="s">
        <v>637</v>
      </c>
      <c r="C1654" t="s">
        <v>3094</v>
      </c>
      <c r="D1654" t="s">
        <v>667</v>
      </c>
      <c r="E1654" t="s">
        <v>668</v>
      </c>
      <c r="F1654">
        <v>64.989999999999995</v>
      </c>
      <c r="G1654">
        <v>4</v>
      </c>
      <c r="H1654">
        <v>5</v>
      </c>
      <c r="I1654">
        <v>61.74</v>
      </c>
      <c r="J1654">
        <v>246.96</v>
      </c>
      <c r="K1654" t="s">
        <v>661</v>
      </c>
      <c r="L1654" t="s">
        <v>656</v>
      </c>
    </row>
    <row r="1655" spans="1:13" x14ac:dyDescent="0.25">
      <c r="A1655" t="s">
        <v>3095</v>
      </c>
      <c r="B1655" t="s">
        <v>637</v>
      </c>
      <c r="C1655" t="s">
        <v>2321</v>
      </c>
      <c r="D1655" t="s">
        <v>684</v>
      </c>
      <c r="E1655" t="s">
        <v>685</v>
      </c>
      <c r="F1655">
        <v>49.99</v>
      </c>
      <c r="G1655">
        <v>2</v>
      </c>
      <c r="H1655">
        <v>20</v>
      </c>
      <c r="I1655">
        <v>39.99</v>
      </c>
      <c r="J1655">
        <v>79.98</v>
      </c>
      <c r="K1655" t="s">
        <v>661</v>
      </c>
      <c r="L1655" t="s">
        <v>656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792-5AD5-4F97-8774-6820BC2C11DB}">
  <dimension ref="A1:S1655"/>
  <sheetViews>
    <sheetView topLeftCell="D1" workbookViewId="0">
      <selection activeCell="L2" sqref="L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12.140625" bestFit="1" customWidth="1"/>
    <col min="4" max="4" width="15.42578125" bestFit="1" customWidth="1"/>
    <col min="5" max="5" width="22" bestFit="1" customWidth="1"/>
    <col min="6" max="6" width="11.140625" bestFit="1" customWidth="1"/>
    <col min="7" max="7" width="9" bestFit="1" customWidth="1"/>
    <col min="8" max="8" width="14.140625" bestFit="1" customWidth="1"/>
    <col min="9" max="9" width="11.5703125" bestFit="1" customWidth="1"/>
    <col min="10" max="10" width="12.140625" bestFit="1" customWidth="1"/>
    <col min="11" max="11" width="18.42578125" bestFit="1" customWidth="1"/>
    <col min="12" max="12" width="14" bestFit="1" customWidth="1"/>
    <col min="13" max="13" width="6.85546875" bestFit="1" customWidth="1"/>
    <col min="14" max="15" width="15.42578125" bestFit="1" customWidth="1"/>
    <col min="16" max="16" width="13.7109375" bestFit="1" customWidth="1"/>
    <col min="18" max="18" width="13.42578125" bestFit="1" customWidth="1"/>
    <col min="19" max="19" width="13.42578125" style="18" bestFit="1" customWidth="1"/>
  </cols>
  <sheetData>
    <row r="1" spans="1:19" x14ac:dyDescent="0.25">
      <c r="A1" s="11" t="s">
        <v>639</v>
      </c>
      <c r="B1" s="9" t="s">
        <v>0</v>
      </c>
      <c r="C1" s="9" t="s">
        <v>640</v>
      </c>
      <c r="D1" s="9" t="s">
        <v>641</v>
      </c>
      <c r="E1" s="9" t="s">
        <v>642</v>
      </c>
      <c r="F1" s="9" t="s">
        <v>643</v>
      </c>
      <c r="G1" s="9" t="s">
        <v>644</v>
      </c>
      <c r="H1" s="9" t="s">
        <v>645</v>
      </c>
      <c r="I1" s="9" t="s">
        <v>646</v>
      </c>
      <c r="J1" s="9" t="s">
        <v>647</v>
      </c>
      <c r="K1" s="9" t="s">
        <v>648</v>
      </c>
      <c r="L1" s="9" t="s">
        <v>649</v>
      </c>
      <c r="M1" s="10" t="s">
        <v>650</v>
      </c>
      <c r="N1" s="1" t="s">
        <v>3111</v>
      </c>
      <c r="O1" s="1" t="s">
        <v>3112</v>
      </c>
      <c r="P1" s="1" t="s">
        <v>3113</v>
      </c>
      <c r="Q1" s="1" t="s">
        <v>3114</v>
      </c>
      <c r="R1" s="16" t="s">
        <v>3122</v>
      </c>
      <c r="S1" s="17" t="s">
        <v>3123</v>
      </c>
    </row>
    <row r="2" spans="1:19" x14ac:dyDescent="0.25">
      <c r="A2" s="3" t="s">
        <v>651</v>
      </c>
      <c r="B2" s="4" t="s">
        <v>10</v>
      </c>
      <c r="C2" s="14">
        <v>45349</v>
      </c>
      <c r="D2" s="4" t="s">
        <v>653</v>
      </c>
      <c r="E2" s="4" t="s">
        <v>654</v>
      </c>
      <c r="F2" s="4">
        <v>39.99</v>
      </c>
      <c r="G2" s="4">
        <v>1</v>
      </c>
      <c r="H2" s="4">
        <v>0</v>
      </c>
      <c r="I2" s="4">
        <v>39.99</v>
      </c>
      <c r="J2" s="4">
        <v>39.99</v>
      </c>
      <c r="K2" s="4" t="s">
        <v>655</v>
      </c>
      <c r="L2" s="4" t="s">
        <v>656</v>
      </c>
      <c r="M2" s="5">
        <v>4</v>
      </c>
      <c r="N2">
        <f>VLOOKUP(B2,Customers!A:J,7,0)</f>
        <v>25</v>
      </c>
      <c r="O2" t="str">
        <f>VLOOKUP(B2,Customers!A:J,5,0)</f>
        <v>Phoenix</v>
      </c>
      <c r="P2" t="str">
        <f>VLOOKUP(B2,Customers!A:J,10,0)</f>
        <v>Platinum</v>
      </c>
      <c r="Q2" t="str">
        <f>VLOOKUP(B2,Customers!A:J,8,0)</f>
        <v>Female</v>
      </c>
      <c r="R2" t="b">
        <f>ISNUMBER(C2)</f>
        <v>1</v>
      </c>
      <c r="S2" s="18">
        <f>DATE(YEAR(C2),MONTH(C2),1)</f>
        <v>45323</v>
      </c>
    </row>
    <row r="3" spans="1:19" x14ac:dyDescent="0.25">
      <c r="A3" s="6" t="s">
        <v>657</v>
      </c>
      <c r="B3" s="7" t="s">
        <v>10</v>
      </c>
      <c r="C3" s="15">
        <v>45370</v>
      </c>
      <c r="D3" s="7" t="s">
        <v>659</v>
      </c>
      <c r="E3" s="7" t="s">
        <v>660</v>
      </c>
      <c r="F3" s="7">
        <v>19.989999999999998</v>
      </c>
      <c r="G3" s="7">
        <v>2</v>
      </c>
      <c r="H3" s="7">
        <v>0</v>
      </c>
      <c r="I3" s="7">
        <v>19.989999999999998</v>
      </c>
      <c r="J3" s="7">
        <v>39.979999999999997</v>
      </c>
      <c r="K3" s="7" t="s">
        <v>661</v>
      </c>
      <c r="L3" s="7" t="s">
        <v>656</v>
      </c>
      <c r="M3" s="8">
        <v>5</v>
      </c>
      <c r="N3">
        <f>VLOOKUP(B3,Customers!A:J,7,0)</f>
        <v>25</v>
      </c>
      <c r="O3" t="str">
        <f>VLOOKUP(B3,Customers!A:J,5,0)</f>
        <v>Phoenix</v>
      </c>
      <c r="P3" t="str">
        <f>VLOOKUP(B3,Customers!A:J,10,0)</f>
        <v>Platinum</v>
      </c>
      <c r="Q3" t="str">
        <f>VLOOKUP(B3,Customers!A:J,8,0)</f>
        <v>Female</v>
      </c>
      <c r="R3" t="b">
        <f t="shared" ref="R3:R66" si="0">ISNUMBER(C3)</f>
        <v>1</v>
      </c>
      <c r="S3" s="18">
        <f t="shared" ref="S3:S66" si="1">DATE(YEAR(C3),MONTH(C3),1)</f>
        <v>45352</v>
      </c>
    </row>
    <row r="4" spans="1:19" x14ac:dyDescent="0.25">
      <c r="A4" s="3" t="s">
        <v>662</v>
      </c>
      <c r="B4" s="4" t="s">
        <v>10</v>
      </c>
      <c r="C4" s="14">
        <v>44566</v>
      </c>
      <c r="D4" s="4" t="s">
        <v>659</v>
      </c>
      <c r="E4" s="4" t="s">
        <v>664</v>
      </c>
      <c r="F4" s="4">
        <v>24.99</v>
      </c>
      <c r="G4" s="4">
        <v>2</v>
      </c>
      <c r="H4" s="4">
        <v>15</v>
      </c>
      <c r="I4" s="4">
        <v>21.24</v>
      </c>
      <c r="J4" s="4">
        <v>42.48</v>
      </c>
      <c r="K4" s="4" t="s">
        <v>661</v>
      </c>
      <c r="L4" s="4" t="s">
        <v>656</v>
      </c>
      <c r="M4" s="5">
        <v>5</v>
      </c>
      <c r="N4">
        <f>VLOOKUP(B4,Customers!A:J,7,0)</f>
        <v>25</v>
      </c>
      <c r="O4" t="str">
        <f>VLOOKUP(B4,Customers!A:J,5,0)</f>
        <v>Phoenix</v>
      </c>
      <c r="P4" t="str">
        <f>VLOOKUP(B4,Customers!A:J,10,0)</f>
        <v>Platinum</v>
      </c>
      <c r="Q4" t="str">
        <f>VLOOKUP(B4,Customers!A:J,8,0)</f>
        <v>Female</v>
      </c>
      <c r="R4" t="b">
        <f t="shared" si="0"/>
        <v>1</v>
      </c>
      <c r="S4" s="18">
        <f t="shared" si="1"/>
        <v>44562</v>
      </c>
    </row>
    <row r="5" spans="1:19" x14ac:dyDescent="0.25">
      <c r="A5" s="6" t="s">
        <v>665</v>
      </c>
      <c r="B5" s="7" t="s">
        <v>10</v>
      </c>
      <c r="C5" s="15">
        <v>44879</v>
      </c>
      <c r="D5" s="7" t="s">
        <v>667</v>
      </c>
      <c r="E5" s="7" t="s">
        <v>668</v>
      </c>
      <c r="F5" s="7">
        <v>64.989999999999995</v>
      </c>
      <c r="G5" s="7">
        <v>3</v>
      </c>
      <c r="H5" s="7">
        <v>0</v>
      </c>
      <c r="I5" s="7">
        <v>64.989999999999995</v>
      </c>
      <c r="J5" s="7">
        <v>194.97</v>
      </c>
      <c r="K5" s="7" t="s">
        <v>669</v>
      </c>
      <c r="L5" s="7" t="s">
        <v>656</v>
      </c>
      <c r="M5" s="8"/>
      <c r="N5">
        <f>VLOOKUP(B5,Customers!A:J,7,0)</f>
        <v>25</v>
      </c>
      <c r="O5" t="str">
        <f>VLOOKUP(B5,Customers!A:J,5,0)</f>
        <v>Phoenix</v>
      </c>
      <c r="P5" t="str">
        <f>VLOOKUP(B5,Customers!A:J,10,0)</f>
        <v>Platinum</v>
      </c>
      <c r="Q5" t="str">
        <f>VLOOKUP(B5,Customers!A:J,8,0)</f>
        <v>Female</v>
      </c>
      <c r="R5" t="b">
        <f t="shared" si="0"/>
        <v>1</v>
      </c>
      <c r="S5" s="18">
        <f t="shared" si="1"/>
        <v>44866</v>
      </c>
    </row>
    <row r="6" spans="1:19" x14ac:dyDescent="0.25">
      <c r="A6" s="3" t="s">
        <v>670</v>
      </c>
      <c r="B6" s="4" t="s">
        <v>10</v>
      </c>
      <c r="C6" s="14">
        <v>45474</v>
      </c>
      <c r="D6" s="4" t="s">
        <v>672</v>
      </c>
      <c r="E6" s="4" t="s">
        <v>673</v>
      </c>
      <c r="F6" s="4">
        <v>24.99</v>
      </c>
      <c r="G6" s="4">
        <v>4</v>
      </c>
      <c r="H6" s="4">
        <v>0</v>
      </c>
      <c r="I6" s="4">
        <v>24.99</v>
      </c>
      <c r="J6" s="4">
        <v>99.96</v>
      </c>
      <c r="K6" s="4" t="s">
        <v>669</v>
      </c>
      <c r="L6" s="4" t="s">
        <v>656</v>
      </c>
      <c r="M6" s="5">
        <v>4</v>
      </c>
      <c r="N6">
        <f>VLOOKUP(B6,Customers!A:J,7,0)</f>
        <v>25</v>
      </c>
      <c r="O6" t="str">
        <f>VLOOKUP(B6,Customers!A:J,5,0)</f>
        <v>Phoenix</v>
      </c>
      <c r="P6" t="str">
        <f>VLOOKUP(B6,Customers!A:J,10,0)</f>
        <v>Platinum</v>
      </c>
      <c r="Q6" t="str">
        <f>VLOOKUP(B6,Customers!A:J,8,0)</f>
        <v>Female</v>
      </c>
      <c r="R6" t="b">
        <f t="shared" si="0"/>
        <v>1</v>
      </c>
      <c r="S6" s="18">
        <f t="shared" si="1"/>
        <v>45474</v>
      </c>
    </row>
    <row r="7" spans="1:19" x14ac:dyDescent="0.25">
      <c r="A7" s="6" t="s">
        <v>674</v>
      </c>
      <c r="B7" s="7" t="s">
        <v>10</v>
      </c>
      <c r="C7" s="15">
        <v>45057</v>
      </c>
      <c r="D7" s="7" t="s">
        <v>667</v>
      </c>
      <c r="E7" s="7" t="s">
        <v>668</v>
      </c>
      <c r="F7" s="7">
        <v>64.989999999999995</v>
      </c>
      <c r="G7" s="7">
        <v>2</v>
      </c>
      <c r="H7" s="7">
        <v>5</v>
      </c>
      <c r="I7" s="7">
        <v>61.74</v>
      </c>
      <c r="J7" s="7">
        <v>123.48</v>
      </c>
      <c r="K7" s="7" t="s">
        <v>675</v>
      </c>
      <c r="L7" s="7" t="s">
        <v>656</v>
      </c>
      <c r="M7" s="8">
        <v>5</v>
      </c>
      <c r="N7">
        <f>VLOOKUP(B7,Customers!A:J,7,0)</f>
        <v>25</v>
      </c>
      <c r="O7" t="str">
        <f>VLOOKUP(B7,Customers!A:J,5,0)</f>
        <v>Phoenix</v>
      </c>
      <c r="P7" t="str">
        <f>VLOOKUP(B7,Customers!A:J,10,0)</f>
        <v>Platinum</v>
      </c>
      <c r="Q7" t="str">
        <f>VLOOKUP(B7,Customers!A:J,8,0)</f>
        <v>Female</v>
      </c>
      <c r="R7" t="b">
        <f t="shared" si="0"/>
        <v>1</v>
      </c>
      <c r="S7" s="18">
        <f t="shared" si="1"/>
        <v>45047</v>
      </c>
    </row>
    <row r="8" spans="1:19" x14ac:dyDescent="0.25">
      <c r="A8" s="3" t="s">
        <v>676</v>
      </c>
      <c r="B8" s="4" t="s">
        <v>19</v>
      </c>
      <c r="C8" s="14">
        <v>45179</v>
      </c>
      <c r="D8" s="4" t="s">
        <v>667</v>
      </c>
      <c r="E8" s="4" t="s">
        <v>668</v>
      </c>
      <c r="F8" s="4">
        <v>64.989999999999995</v>
      </c>
      <c r="G8" s="4">
        <v>1</v>
      </c>
      <c r="H8" s="4">
        <v>15</v>
      </c>
      <c r="I8" s="4">
        <v>55.24</v>
      </c>
      <c r="J8" s="4">
        <v>55.24</v>
      </c>
      <c r="K8" s="4" t="s">
        <v>655</v>
      </c>
      <c r="L8" s="4" t="s">
        <v>656</v>
      </c>
      <c r="M8" s="5"/>
      <c r="N8">
        <f>VLOOKUP(B8,Customers!A:J,7,0)</f>
        <v>18</v>
      </c>
      <c r="O8" t="str">
        <f>VLOOKUP(B8,Customers!A:J,5,0)</f>
        <v>San Jose</v>
      </c>
      <c r="P8" t="str">
        <f>VLOOKUP(B8,Customers!A:J,10,0)</f>
        <v>Gold</v>
      </c>
      <c r="Q8" t="str">
        <f>VLOOKUP(B8,Customers!A:J,8,0)</f>
        <v>Female</v>
      </c>
      <c r="R8" t="b">
        <f t="shared" si="0"/>
        <v>1</v>
      </c>
      <c r="S8" s="18">
        <f t="shared" si="1"/>
        <v>45170</v>
      </c>
    </row>
    <row r="9" spans="1:19" x14ac:dyDescent="0.25">
      <c r="A9" s="6" t="s">
        <v>678</v>
      </c>
      <c r="B9" s="7" t="s">
        <v>27</v>
      </c>
      <c r="C9" s="15">
        <v>44793</v>
      </c>
      <c r="D9" s="7" t="s">
        <v>680</v>
      </c>
      <c r="E9" s="7" t="s">
        <v>681</v>
      </c>
      <c r="F9" s="7">
        <v>19.989999999999998</v>
      </c>
      <c r="G9" s="7">
        <v>3</v>
      </c>
      <c r="H9" s="7">
        <v>0</v>
      </c>
      <c r="I9" s="7">
        <v>19.989999999999998</v>
      </c>
      <c r="J9" s="7">
        <v>59.97</v>
      </c>
      <c r="K9" s="7" t="s">
        <v>682</v>
      </c>
      <c r="L9" s="7" t="s">
        <v>656</v>
      </c>
      <c r="M9" s="8">
        <v>5</v>
      </c>
      <c r="N9">
        <f>VLOOKUP(B9,Customers!A:J,7,0)</f>
        <v>29</v>
      </c>
      <c r="O9" t="str">
        <f>VLOOKUP(B9,Customers!A:J,5,0)</f>
        <v>San Diego</v>
      </c>
      <c r="P9" t="str">
        <f>VLOOKUP(B9,Customers!A:J,10,0)</f>
        <v>Free</v>
      </c>
      <c r="Q9" t="str">
        <f>VLOOKUP(B9,Customers!A:J,8,0)</f>
        <v>Female</v>
      </c>
      <c r="R9" t="b">
        <f t="shared" si="0"/>
        <v>1</v>
      </c>
      <c r="S9" s="18">
        <f t="shared" si="1"/>
        <v>44774</v>
      </c>
    </row>
    <row r="10" spans="1:19" x14ac:dyDescent="0.25">
      <c r="A10" s="3" t="s">
        <v>683</v>
      </c>
      <c r="B10" s="4" t="s">
        <v>27</v>
      </c>
      <c r="C10" s="14">
        <v>44716</v>
      </c>
      <c r="D10" s="4" t="s">
        <v>684</v>
      </c>
      <c r="E10" s="4" t="s">
        <v>685</v>
      </c>
      <c r="F10" s="4">
        <v>49.99</v>
      </c>
      <c r="G10" s="4">
        <v>4</v>
      </c>
      <c r="H10" s="4">
        <v>5</v>
      </c>
      <c r="I10" s="4">
        <v>47.49</v>
      </c>
      <c r="J10" s="4">
        <v>189.96</v>
      </c>
      <c r="K10" s="4" t="s">
        <v>675</v>
      </c>
      <c r="L10" s="4" t="s">
        <v>656</v>
      </c>
      <c r="M10" s="5"/>
      <c r="N10">
        <f>VLOOKUP(B10,Customers!A:J,7,0)</f>
        <v>29</v>
      </c>
      <c r="O10" t="str">
        <f>VLOOKUP(B10,Customers!A:J,5,0)</f>
        <v>San Diego</v>
      </c>
      <c r="P10" t="str">
        <f>VLOOKUP(B10,Customers!A:J,10,0)</f>
        <v>Free</v>
      </c>
      <c r="Q10" t="str">
        <f>VLOOKUP(B10,Customers!A:J,8,0)</f>
        <v>Female</v>
      </c>
      <c r="R10" t="b">
        <f t="shared" si="0"/>
        <v>1</v>
      </c>
      <c r="S10" s="18">
        <f t="shared" si="1"/>
        <v>44713</v>
      </c>
    </row>
    <row r="11" spans="1:19" x14ac:dyDescent="0.25">
      <c r="A11" s="6" t="s">
        <v>686</v>
      </c>
      <c r="B11" s="7" t="s">
        <v>27</v>
      </c>
      <c r="C11" s="15">
        <v>45123</v>
      </c>
      <c r="D11" s="7" t="s">
        <v>680</v>
      </c>
      <c r="E11" s="7" t="s">
        <v>688</v>
      </c>
      <c r="F11" s="7">
        <v>29.99</v>
      </c>
      <c r="G11" s="7">
        <v>3</v>
      </c>
      <c r="H11" s="7">
        <v>15</v>
      </c>
      <c r="I11" s="7">
        <v>25.49</v>
      </c>
      <c r="J11" s="7">
        <v>76.47</v>
      </c>
      <c r="K11" s="7" t="s">
        <v>675</v>
      </c>
      <c r="L11" s="7" t="s">
        <v>656</v>
      </c>
      <c r="M11" s="8">
        <v>4</v>
      </c>
      <c r="N11">
        <f>VLOOKUP(B11,Customers!A:J,7,0)</f>
        <v>29</v>
      </c>
      <c r="O11" t="str">
        <f>VLOOKUP(B11,Customers!A:J,5,0)</f>
        <v>San Diego</v>
      </c>
      <c r="P11" t="str">
        <f>VLOOKUP(B11,Customers!A:J,10,0)</f>
        <v>Free</v>
      </c>
      <c r="Q11" t="str">
        <f>VLOOKUP(B11,Customers!A:J,8,0)</f>
        <v>Female</v>
      </c>
      <c r="R11" t="b">
        <f t="shared" si="0"/>
        <v>1</v>
      </c>
      <c r="S11" s="18">
        <f t="shared" si="1"/>
        <v>45108</v>
      </c>
    </row>
    <row r="12" spans="1:19" x14ac:dyDescent="0.25">
      <c r="A12" s="3" t="s">
        <v>689</v>
      </c>
      <c r="B12" s="4" t="s">
        <v>27</v>
      </c>
      <c r="C12" s="14">
        <v>45133</v>
      </c>
      <c r="D12" s="4" t="s">
        <v>680</v>
      </c>
      <c r="E12" s="4" t="s">
        <v>681</v>
      </c>
      <c r="F12" s="4">
        <v>19.989999999999998</v>
      </c>
      <c r="G12" s="4">
        <v>3</v>
      </c>
      <c r="H12" s="4">
        <v>0</v>
      </c>
      <c r="I12" s="4">
        <v>19.989999999999998</v>
      </c>
      <c r="J12" s="4">
        <v>59.97</v>
      </c>
      <c r="K12" s="4" t="s">
        <v>675</v>
      </c>
      <c r="L12" s="4" t="s">
        <v>656</v>
      </c>
      <c r="M12" s="5">
        <v>5</v>
      </c>
      <c r="N12">
        <f>VLOOKUP(B12,Customers!A:J,7,0)</f>
        <v>29</v>
      </c>
      <c r="O12" t="str">
        <f>VLOOKUP(B12,Customers!A:J,5,0)</f>
        <v>San Diego</v>
      </c>
      <c r="P12" t="str">
        <f>VLOOKUP(B12,Customers!A:J,10,0)</f>
        <v>Free</v>
      </c>
      <c r="Q12" t="str">
        <f>VLOOKUP(B12,Customers!A:J,8,0)</f>
        <v>Female</v>
      </c>
      <c r="R12" t="b">
        <f t="shared" si="0"/>
        <v>1</v>
      </c>
      <c r="S12" s="18">
        <f t="shared" si="1"/>
        <v>45108</v>
      </c>
    </row>
    <row r="13" spans="1:19" x14ac:dyDescent="0.25">
      <c r="A13" s="6" t="s">
        <v>691</v>
      </c>
      <c r="B13" s="7" t="s">
        <v>27</v>
      </c>
      <c r="C13" s="15">
        <v>44931</v>
      </c>
      <c r="D13" s="7" t="s">
        <v>659</v>
      </c>
      <c r="E13" s="7" t="s">
        <v>664</v>
      </c>
      <c r="F13" s="7">
        <v>24.99</v>
      </c>
      <c r="G13" s="7">
        <v>1</v>
      </c>
      <c r="H13" s="7">
        <v>10</v>
      </c>
      <c r="I13" s="7">
        <v>22.49</v>
      </c>
      <c r="J13" s="7">
        <v>22.49</v>
      </c>
      <c r="K13" s="7" t="s">
        <v>655</v>
      </c>
      <c r="L13" s="7" t="s">
        <v>693</v>
      </c>
      <c r="M13" s="8">
        <v>3</v>
      </c>
      <c r="N13">
        <f>VLOOKUP(B13,Customers!A:J,7,0)</f>
        <v>29</v>
      </c>
      <c r="O13" t="str">
        <f>VLOOKUP(B13,Customers!A:J,5,0)</f>
        <v>San Diego</v>
      </c>
      <c r="P13" t="str">
        <f>VLOOKUP(B13,Customers!A:J,10,0)</f>
        <v>Free</v>
      </c>
      <c r="Q13" t="str">
        <f>VLOOKUP(B13,Customers!A:J,8,0)</f>
        <v>Female</v>
      </c>
      <c r="R13" t="b">
        <f t="shared" si="0"/>
        <v>1</v>
      </c>
      <c r="S13" s="18">
        <f t="shared" si="1"/>
        <v>44927</v>
      </c>
    </row>
    <row r="14" spans="1:19" x14ac:dyDescent="0.25">
      <c r="A14" s="3" t="s">
        <v>694</v>
      </c>
      <c r="B14" s="4" t="s">
        <v>27</v>
      </c>
      <c r="C14" s="14">
        <v>44621</v>
      </c>
      <c r="D14" s="4" t="s">
        <v>667</v>
      </c>
      <c r="E14" s="4" t="s">
        <v>696</v>
      </c>
      <c r="F14" s="4">
        <v>59.99</v>
      </c>
      <c r="G14" s="4">
        <v>4</v>
      </c>
      <c r="H14" s="4">
        <v>0</v>
      </c>
      <c r="I14" s="4">
        <v>59.99</v>
      </c>
      <c r="J14" s="4">
        <v>239.96</v>
      </c>
      <c r="K14" s="4" t="s">
        <v>675</v>
      </c>
      <c r="L14" s="4" t="s">
        <v>656</v>
      </c>
      <c r="M14" s="5">
        <v>5</v>
      </c>
      <c r="N14">
        <f>VLOOKUP(B14,Customers!A:J,7,0)</f>
        <v>29</v>
      </c>
      <c r="O14" t="str">
        <f>VLOOKUP(B14,Customers!A:J,5,0)</f>
        <v>San Diego</v>
      </c>
      <c r="P14" t="str">
        <f>VLOOKUP(B14,Customers!A:J,10,0)</f>
        <v>Free</v>
      </c>
      <c r="Q14" t="str">
        <f>VLOOKUP(B14,Customers!A:J,8,0)</f>
        <v>Female</v>
      </c>
      <c r="R14" t="b">
        <f t="shared" si="0"/>
        <v>1</v>
      </c>
      <c r="S14" s="18">
        <f t="shared" si="1"/>
        <v>44621</v>
      </c>
    </row>
    <row r="15" spans="1:19" x14ac:dyDescent="0.25">
      <c r="A15" s="6" t="s">
        <v>697</v>
      </c>
      <c r="B15" s="7" t="s">
        <v>27</v>
      </c>
      <c r="C15" s="15">
        <v>44736</v>
      </c>
      <c r="D15" s="7" t="s">
        <v>667</v>
      </c>
      <c r="E15" s="7" t="s">
        <v>699</v>
      </c>
      <c r="F15" s="7">
        <v>89.99</v>
      </c>
      <c r="G15" s="7">
        <v>1</v>
      </c>
      <c r="H15" s="7">
        <v>5</v>
      </c>
      <c r="I15" s="7">
        <v>85.49</v>
      </c>
      <c r="J15" s="7">
        <v>85.49</v>
      </c>
      <c r="K15" s="7" t="s">
        <v>661</v>
      </c>
      <c r="L15" s="7" t="s">
        <v>656</v>
      </c>
      <c r="M15" s="8">
        <v>5</v>
      </c>
      <c r="N15">
        <f>VLOOKUP(B15,Customers!A:J,7,0)</f>
        <v>29</v>
      </c>
      <c r="O15" t="str">
        <f>VLOOKUP(B15,Customers!A:J,5,0)</f>
        <v>San Diego</v>
      </c>
      <c r="P15" t="str">
        <f>VLOOKUP(B15,Customers!A:J,10,0)</f>
        <v>Free</v>
      </c>
      <c r="Q15" t="str">
        <f>VLOOKUP(B15,Customers!A:J,8,0)</f>
        <v>Female</v>
      </c>
      <c r="R15" t="b">
        <f t="shared" si="0"/>
        <v>1</v>
      </c>
      <c r="S15" s="18">
        <f t="shared" si="1"/>
        <v>44713</v>
      </c>
    </row>
    <row r="16" spans="1:19" x14ac:dyDescent="0.25">
      <c r="A16" s="3" t="s">
        <v>700</v>
      </c>
      <c r="B16" s="4" t="s">
        <v>27</v>
      </c>
      <c r="C16" s="14">
        <v>44637</v>
      </c>
      <c r="D16" s="4" t="s">
        <v>684</v>
      </c>
      <c r="E16" s="4" t="s">
        <v>702</v>
      </c>
      <c r="F16" s="4">
        <v>199.99</v>
      </c>
      <c r="G16" s="4">
        <v>3</v>
      </c>
      <c r="H16" s="4">
        <v>10</v>
      </c>
      <c r="I16" s="4">
        <v>179.99</v>
      </c>
      <c r="J16" s="4">
        <v>539.97</v>
      </c>
      <c r="K16" s="4" t="s">
        <v>669</v>
      </c>
      <c r="L16" s="4" t="s">
        <v>656</v>
      </c>
      <c r="M16" s="5"/>
      <c r="N16">
        <f>VLOOKUP(B16,Customers!A:J,7,0)</f>
        <v>29</v>
      </c>
      <c r="O16" t="str">
        <f>VLOOKUP(B16,Customers!A:J,5,0)</f>
        <v>San Diego</v>
      </c>
      <c r="P16" t="str">
        <f>VLOOKUP(B16,Customers!A:J,10,0)</f>
        <v>Free</v>
      </c>
      <c r="Q16" t="str">
        <f>VLOOKUP(B16,Customers!A:J,8,0)</f>
        <v>Female</v>
      </c>
      <c r="R16" t="b">
        <f t="shared" si="0"/>
        <v>1</v>
      </c>
      <c r="S16" s="18">
        <f t="shared" si="1"/>
        <v>44621</v>
      </c>
    </row>
    <row r="17" spans="1:19" x14ac:dyDescent="0.25">
      <c r="A17" s="6" t="s">
        <v>703</v>
      </c>
      <c r="B17" s="7" t="s">
        <v>27</v>
      </c>
      <c r="C17" s="15">
        <v>44657</v>
      </c>
      <c r="D17" s="7" t="s">
        <v>684</v>
      </c>
      <c r="E17" s="7" t="s">
        <v>705</v>
      </c>
      <c r="F17" s="7">
        <v>79.989999999999995</v>
      </c>
      <c r="G17" s="7">
        <v>1</v>
      </c>
      <c r="H17" s="7">
        <v>5</v>
      </c>
      <c r="I17" s="7">
        <v>75.989999999999995</v>
      </c>
      <c r="J17" s="7">
        <v>75.989999999999995</v>
      </c>
      <c r="K17" s="7" t="s">
        <v>655</v>
      </c>
      <c r="L17" s="7" t="s">
        <v>656</v>
      </c>
      <c r="M17" s="8">
        <v>5</v>
      </c>
      <c r="N17">
        <f>VLOOKUP(B17,Customers!A:J,7,0)</f>
        <v>29</v>
      </c>
      <c r="O17" t="str">
        <f>VLOOKUP(B17,Customers!A:J,5,0)</f>
        <v>San Diego</v>
      </c>
      <c r="P17" t="str">
        <f>VLOOKUP(B17,Customers!A:J,10,0)</f>
        <v>Free</v>
      </c>
      <c r="Q17" t="str">
        <f>VLOOKUP(B17,Customers!A:J,8,0)</f>
        <v>Female</v>
      </c>
      <c r="R17" t="b">
        <f t="shared" si="0"/>
        <v>1</v>
      </c>
      <c r="S17" s="18">
        <f t="shared" si="1"/>
        <v>44652</v>
      </c>
    </row>
    <row r="18" spans="1:19" x14ac:dyDescent="0.25">
      <c r="A18" s="3" t="s">
        <v>706</v>
      </c>
      <c r="B18" s="4" t="s">
        <v>27</v>
      </c>
      <c r="C18" s="14">
        <v>45210</v>
      </c>
      <c r="D18" s="4" t="s">
        <v>680</v>
      </c>
      <c r="E18" s="4" t="s">
        <v>708</v>
      </c>
      <c r="F18" s="4">
        <v>24.99</v>
      </c>
      <c r="G18" s="4">
        <v>3</v>
      </c>
      <c r="H18" s="4">
        <v>20</v>
      </c>
      <c r="I18" s="4">
        <v>19.989999999999998</v>
      </c>
      <c r="J18" s="4">
        <v>59.97</v>
      </c>
      <c r="K18" s="4" t="s">
        <v>661</v>
      </c>
      <c r="L18" s="4" t="s">
        <v>656</v>
      </c>
      <c r="M18" s="5"/>
      <c r="N18">
        <f>VLOOKUP(B18,Customers!A:J,7,0)</f>
        <v>29</v>
      </c>
      <c r="O18" t="str">
        <f>VLOOKUP(B18,Customers!A:J,5,0)</f>
        <v>San Diego</v>
      </c>
      <c r="P18" t="str">
        <f>VLOOKUP(B18,Customers!A:J,10,0)</f>
        <v>Free</v>
      </c>
      <c r="Q18" t="str">
        <f>VLOOKUP(B18,Customers!A:J,8,0)</f>
        <v>Female</v>
      </c>
      <c r="R18" t="b">
        <f t="shared" si="0"/>
        <v>1</v>
      </c>
      <c r="S18" s="18">
        <f t="shared" si="1"/>
        <v>45200</v>
      </c>
    </row>
    <row r="19" spans="1:19" x14ac:dyDescent="0.25">
      <c r="A19" s="6" t="s">
        <v>709</v>
      </c>
      <c r="B19" s="7" t="s">
        <v>27</v>
      </c>
      <c r="C19" s="15">
        <v>45262</v>
      </c>
      <c r="D19" s="7" t="s">
        <v>710</v>
      </c>
      <c r="E19" s="7" t="s">
        <v>711</v>
      </c>
      <c r="F19" s="7">
        <v>14.99</v>
      </c>
      <c r="G19" s="7">
        <v>3</v>
      </c>
      <c r="H19" s="7">
        <v>5</v>
      </c>
      <c r="I19" s="7">
        <v>14.24</v>
      </c>
      <c r="J19" s="7">
        <v>42.72</v>
      </c>
      <c r="K19" s="7" t="s">
        <v>669</v>
      </c>
      <c r="L19" s="7" t="s">
        <v>656</v>
      </c>
      <c r="M19" s="8">
        <v>4</v>
      </c>
      <c r="N19">
        <f>VLOOKUP(B19,Customers!A:J,7,0)</f>
        <v>29</v>
      </c>
      <c r="O19" t="str">
        <f>VLOOKUP(B19,Customers!A:J,5,0)</f>
        <v>San Diego</v>
      </c>
      <c r="P19" t="str">
        <f>VLOOKUP(B19,Customers!A:J,10,0)</f>
        <v>Free</v>
      </c>
      <c r="Q19" t="str">
        <f>VLOOKUP(B19,Customers!A:J,8,0)</f>
        <v>Female</v>
      </c>
      <c r="R19" t="b">
        <f t="shared" si="0"/>
        <v>1</v>
      </c>
      <c r="S19" s="18">
        <f t="shared" si="1"/>
        <v>45261</v>
      </c>
    </row>
    <row r="20" spans="1:19" x14ac:dyDescent="0.25">
      <c r="A20" s="3" t="s">
        <v>712</v>
      </c>
      <c r="B20" s="4" t="s">
        <v>33</v>
      </c>
      <c r="C20" s="14">
        <v>45484</v>
      </c>
      <c r="D20" s="4" t="s">
        <v>667</v>
      </c>
      <c r="E20" s="4" t="s">
        <v>714</v>
      </c>
      <c r="F20" s="4">
        <v>44.99</v>
      </c>
      <c r="G20" s="4">
        <v>1</v>
      </c>
      <c r="H20" s="4">
        <v>20</v>
      </c>
      <c r="I20" s="4">
        <v>35.99</v>
      </c>
      <c r="J20" s="4">
        <v>35.99</v>
      </c>
      <c r="K20" s="4" t="s">
        <v>655</v>
      </c>
      <c r="L20" s="4" t="s">
        <v>656</v>
      </c>
      <c r="M20" s="5">
        <v>5</v>
      </c>
      <c r="N20">
        <f>VLOOKUP(B20,Customers!A:J,7,0)</f>
        <v>32</v>
      </c>
      <c r="O20" t="str">
        <f>VLOOKUP(B20,Customers!A:J,5,0)</f>
        <v>Dallas</v>
      </c>
      <c r="P20" t="str">
        <f>VLOOKUP(B20,Customers!A:J,10,0)</f>
        <v>Free</v>
      </c>
      <c r="Q20" t="str">
        <f>VLOOKUP(B20,Customers!A:J,8,0)</f>
        <v>Male</v>
      </c>
      <c r="R20" t="b">
        <f t="shared" si="0"/>
        <v>1</v>
      </c>
      <c r="S20" s="18">
        <f t="shared" si="1"/>
        <v>45474</v>
      </c>
    </row>
    <row r="21" spans="1:19" x14ac:dyDescent="0.25">
      <c r="A21" s="6" t="s">
        <v>715</v>
      </c>
      <c r="B21" s="7" t="s">
        <v>33</v>
      </c>
      <c r="C21" s="15">
        <v>44949</v>
      </c>
      <c r="D21" s="7" t="s">
        <v>667</v>
      </c>
      <c r="E21" s="7" t="s">
        <v>696</v>
      </c>
      <c r="F21" s="7">
        <v>59.99</v>
      </c>
      <c r="G21" s="7">
        <v>2</v>
      </c>
      <c r="H21" s="7">
        <v>0</v>
      </c>
      <c r="I21" s="7">
        <v>59.99</v>
      </c>
      <c r="J21" s="7">
        <v>119.98</v>
      </c>
      <c r="K21" s="7" t="s">
        <v>682</v>
      </c>
      <c r="L21" s="7" t="s">
        <v>656</v>
      </c>
      <c r="M21" s="8">
        <v>5</v>
      </c>
      <c r="N21">
        <f>VLOOKUP(B21,Customers!A:J,7,0)</f>
        <v>32</v>
      </c>
      <c r="O21" t="str">
        <f>VLOOKUP(B21,Customers!A:J,5,0)</f>
        <v>Dallas</v>
      </c>
      <c r="P21" t="str">
        <f>VLOOKUP(B21,Customers!A:J,10,0)</f>
        <v>Free</v>
      </c>
      <c r="Q21" t="str">
        <f>VLOOKUP(B21,Customers!A:J,8,0)</f>
        <v>Male</v>
      </c>
      <c r="R21" t="b">
        <f t="shared" si="0"/>
        <v>1</v>
      </c>
      <c r="S21" s="18">
        <f t="shared" si="1"/>
        <v>44927</v>
      </c>
    </row>
    <row r="22" spans="1:19" x14ac:dyDescent="0.25">
      <c r="A22" s="3" t="s">
        <v>717</v>
      </c>
      <c r="B22" s="4" t="s">
        <v>33</v>
      </c>
      <c r="C22" s="14">
        <v>44642</v>
      </c>
      <c r="D22" s="4" t="s">
        <v>667</v>
      </c>
      <c r="E22" s="4" t="s">
        <v>714</v>
      </c>
      <c r="F22" s="4">
        <v>44.99</v>
      </c>
      <c r="G22" s="4">
        <v>4</v>
      </c>
      <c r="H22" s="4">
        <v>15</v>
      </c>
      <c r="I22" s="4">
        <v>38.24</v>
      </c>
      <c r="J22" s="4">
        <v>152.96</v>
      </c>
      <c r="K22" s="4" t="s">
        <v>669</v>
      </c>
      <c r="L22" s="4" t="s">
        <v>656</v>
      </c>
      <c r="M22" s="5">
        <v>5</v>
      </c>
      <c r="N22">
        <f>VLOOKUP(B22,Customers!A:J,7,0)</f>
        <v>32</v>
      </c>
      <c r="O22" t="str">
        <f>VLOOKUP(B22,Customers!A:J,5,0)</f>
        <v>Dallas</v>
      </c>
      <c r="P22" t="str">
        <f>VLOOKUP(B22,Customers!A:J,10,0)</f>
        <v>Free</v>
      </c>
      <c r="Q22" t="str">
        <f>VLOOKUP(B22,Customers!A:J,8,0)</f>
        <v>Male</v>
      </c>
      <c r="R22" t="b">
        <f t="shared" si="0"/>
        <v>1</v>
      </c>
      <c r="S22" s="18">
        <f t="shared" si="1"/>
        <v>44621</v>
      </c>
    </row>
    <row r="23" spans="1:19" x14ac:dyDescent="0.25">
      <c r="A23" s="6" t="s">
        <v>719</v>
      </c>
      <c r="B23" s="7" t="s">
        <v>33</v>
      </c>
      <c r="C23" s="15">
        <v>45554</v>
      </c>
      <c r="D23" s="7" t="s">
        <v>710</v>
      </c>
      <c r="E23" s="7" t="s">
        <v>721</v>
      </c>
      <c r="F23" s="7">
        <v>24.99</v>
      </c>
      <c r="G23" s="7">
        <v>4</v>
      </c>
      <c r="H23" s="7">
        <v>0</v>
      </c>
      <c r="I23" s="7">
        <v>24.99</v>
      </c>
      <c r="J23" s="7">
        <v>99.96</v>
      </c>
      <c r="K23" s="7" t="s">
        <v>669</v>
      </c>
      <c r="L23" s="7" t="s">
        <v>656</v>
      </c>
      <c r="M23" s="8">
        <v>1</v>
      </c>
      <c r="N23">
        <f>VLOOKUP(B23,Customers!A:J,7,0)</f>
        <v>32</v>
      </c>
      <c r="O23" t="str">
        <f>VLOOKUP(B23,Customers!A:J,5,0)</f>
        <v>Dallas</v>
      </c>
      <c r="P23" t="str">
        <f>VLOOKUP(B23,Customers!A:J,10,0)</f>
        <v>Free</v>
      </c>
      <c r="Q23" t="str">
        <f>VLOOKUP(B23,Customers!A:J,8,0)</f>
        <v>Male</v>
      </c>
      <c r="R23" t="b">
        <f t="shared" si="0"/>
        <v>1</v>
      </c>
      <c r="S23" s="18">
        <f t="shared" si="1"/>
        <v>45536</v>
      </c>
    </row>
    <row r="24" spans="1:19" x14ac:dyDescent="0.25">
      <c r="A24" s="3" t="s">
        <v>722</v>
      </c>
      <c r="B24" s="4" t="s">
        <v>33</v>
      </c>
      <c r="C24" s="14">
        <v>45367</v>
      </c>
      <c r="D24" s="4" t="s">
        <v>672</v>
      </c>
      <c r="E24" s="4" t="s">
        <v>724</v>
      </c>
      <c r="F24" s="4">
        <v>89.99</v>
      </c>
      <c r="G24" s="4">
        <v>2</v>
      </c>
      <c r="H24" s="4">
        <v>10</v>
      </c>
      <c r="I24" s="4">
        <v>80.989999999999995</v>
      </c>
      <c r="J24" s="4">
        <v>161.97999999999999</v>
      </c>
      <c r="K24" s="4" t="s">
        <v>675</v>
      </c>
      <c r="L24" s="4" t="s">
        <v>656</v>
      </c>
      <c r="M24" s="5">
        <v>4</v>
      </c>
      <c r="N24">
        <f>VLOOKUP(B24,Customers!A:J,7,0)</f>
        <v>32</v>
      </c>
      <c r="O24" t="str">
        <f>VLOOKUP(B24,Customers!A:J,5,0)</f>
        <v>Dallas</v>
      </c>
      <c r="P24" t="str">
        <f>VLOOKUP(B24,Customers!A:J,10,0)</f>
        <v>Free</v>
      </c>
      <c r="Q24" t="str">
        <f>VLOOKUP(B24,Customers!A:J,8,0)</f>
        <v>Male</v>
      </c>
      <c r="R24" t="b">
        <f t="shared" si="0"/>
        <v>1</v>
      </c>
      <c r="S24" s="18">
        <f t="shared" si="1"/>
        <v>45352</v>
      </c>
    </row>
    <row r="25" spans="1:19" x14ac:dyDescent="0.25">
      <c r="A25" s="6" t="s">
        <v>725</v>
      </c>
      <c r="B25" s="7" t="s">
        <v>33</v>
      </c>
      <c r="C25" s="15">
        <v>45603</v>
      </c>
      <c r="D25" s="7" t="s">
        <v>653</v>
      </c>
      <c r="E25" s="7" t="s">
        <v>727</v>
      </c>
      <c r="F25" s="7">
        <v>14.99</v>
      </c>
      <c r="G25" s="7">
        <v>1</v>
      </c>
      <c r="H25" s="7">
        <v>10</v>
      </c>
      <c r="I25" s="7">
        <v>13.49</v>
      </c>
      <c r="J25" s="7">
        <v>13.49</v>
      </c>
      <c r="K25" s="7" t="s">
        <v>669</v>
      </c>
      <c r="L25" s="7" t="s">
        <v>656</v>
      </c>
      <c r="M25" s="8">
        <v>5</v>
      </c>
      <c r="N25">
        <f>VLOOKUP(B25,Customers!A:J,7,0)</f>
        <v>32</v>
      </c>
      <c r="O25" t="str">
        <f>VLOOKUP(B25,Customers!A:J,5,0)</f>
        <v>Dallas</v>
      </c>
      <c r="P25" t="str">
        <f>VLOOKUP(B25,Customers!A:J,10,0)</f>
        <v>Free</v>
      </c>
      <c r="Q25" t="str">
        <f>VLOOKUP(B25,Customers!A:J,8,0)</f>
        <v>Male</v>
      </c>
      <c r="R25" t="b">
        <f t="shared" si="0"/>
        <v>1</v>
      </c>
      <c r="S25" s="18">
        <f t="shared" si="1"/>
        <v>45597</v>
      </c>
    </row>
    <row r="26" spans="1:19" x14ac:dyDescent="0.25">
      <c r="A26" s="3" t="s">
        <v>728</v>
      </c>
      <c r="B26" s="4" t="s">
        <v>33</v>
      </c>
      <c r="C26" s="14">
        <v>44946</v>
      </c>
      <c r="D26" s="4" t="s">
        <v>710</v>
      </c>
      <c r="E26" s="4" t="s">
        <v>730</v>
      </c>
      <c r="F26" s="4">
        <v>39.99</v>
      </c>
      <c r="G26" s="4">
        <v>4</v>
      </c>
      <c r="H26" s="4">
        <v>10</v>
      </c>
      <c r="I26" s="4">
        <v>35.99</v>
      </c>
      <c r="J26" s="4">
        <v>143.96</v>
      </c>
      <c r="K26" s="4" t="s">
        <v>661</v>
      </c>
      <c r="L26" s="4" t="s">
        <v>656</v>
      </c>
      <c r="M26" s="5"/>
      <c r="N26">
        <f>VLOOKUP(B26,Customers!A:J,7,0)</f>
        <v>32</v>
      </c>
      <c r="O26" t="str">
        <f>VLOOKUP(B26,Customers!A:J,5,0)</f>
        <v>Dallas</v>
      </c>
      <c r="P26" t="str">
        <f>VLOOKUP(B26,Customers!A:J,10,0)</f>
        <v>Free</v>
      </c>
      <c r="Q26" t="str">
        <f>VLOOKUP(B26,Customers!A:J,8,0)</f>
        <v>Male</v>
      </c>
      <c r="R26" t="b">
        <f t="shared" si="0"/>
        <v>1</v>
      </c>
      <c r="S26" s="18">
        <f t="shared" si="1"/>
        <v>44927</v>
      </c>
    </row>
    <row r="27" spans="1:19" x14ac:dyDescent="0.25">
      <c r="A27" s="6" t="s">
        <v>731</v>
      </c>
      <c r="B27" s="7" t="s">
        <v>33</v>
      </c>
      <c r="C27" s="15">
        <v>45364</v>
      </c>
      <c r="D27" s="7" t="s">
        <v>710</v>
      </c>
      <c r="E27" s="7" t="s">
        <v>721</v>
      </c>
      <c r="F27" s="7">
        <v>24.99</v>
      </c>
      <c r="G27" s="7">
        <v>2</v>
      </c>
      <c r="H27" s="7">
        <v>15</v>
      </c>
      <c r="I27" s="7">
        <v>21.24</v>
      </c>
      <c r="J27" s="7">
        <v>42.48</v>
      </c>
      <c r="K27" s="7" t="s">
        <v>661</v>
      </c>
      <c r="L27" s="7" t="s">
        <v>656</v>
      </c>
      <c r="M27" s="8">
        <v>4</v>
      </c>
      <c r="N27">
        <f>VLOOKUP(B27,Customers!A:J,7,0)</f>
        <v>32</v>
      </c>
      <c r="O27" t="str">
        <f>VLOOKUP(B27,Customers!A:J,5,0)</f>
        <v>Dallas</v>
      </c>
      <c r="P27" t="str">
        <f>VLOOKUP(B27,Customers!A:J,10,0)</f>
        <v>Free</v>
      </c>
      <c r="Q27" t="str">
        <f>VLOOKUP(B27,Customers!A:J,8,0)</f>
        <v>Male</v>
      </c>
      <c r="R27" t="b">
        <f t="shared" si="0"/>
        <v>1</v>
      </c>
      <c r="S27" s="18">
        <f t="shared" si="1"/>
        <v>45352</v>
      </c>
    </row>
    <row r="28" spans="1:19" x14ac:dyDescent="0.25">
      <c r="A28" s="3" t="s">
        <v>733</v>
      </c>
      <c r="B28" s="4" t="s">
        <v>33</v>
      </c>
      <c r="C28" s="14">
        <v>44619</v>
      </c>
      <c r="D28" s="4" t="s">
        <v>672</v>
      </c>
      <c r="E28" s="4" t="s">
        <v>735</v>
      </c>
      <c r="F28" s="4">
        <v>44.99</v>
      </c>
      <c r="G28" s="4">
        <v>2</v>
      </c>
      <c r="H28" s="4">
        <v>5</v>
      </c>
      <c r="I28" s="4">
        <v>42.74</v>
      </c>
      <c r="J28" s="4">
        <v>85.48</v>
      </c>
      <c r="K28" s="4" t="s">
        <v>675</v>
      </c>
      <c r="L28" s="4" t="s">
        <v>656</v>
      </c>
      <c r="M28" s="5">
        <v>3</v>
      </c>
      <c r="N28">
        <f>VLOOKUP(B28,Customers!A:J,7,0)</f>
        <v>32</v>
      </c>
      <c r="O28" t="str">
        <f>VLOOKUP(B28,Customers!A:J,5,0)</f>
        <v>Dallas</v>
      </c>
      <c r="P28" t="str">
        <f>VLOOKUP(B28,Customers!A:J,10,0)</f>
        <v>Free</v>
      </c>
      <c r="Q28" t="str">
        <f>VLOOKUP(B28,Customers!A:J,8,0)</f>
        <v>Male</v>
      </c>
      <c r="R28" t="b">
        <f t="shared" si="0"/>
        <v>1</v>
      </c>
      <c r="S28" s="18">
        <f t="shared" si="1"/>
        <v>44593</v>
      </c>
    </row>
    <row r="29" spans="1:19" x14ac:dyDescent="0.25">
      <c r="A29" s="6" t="s">
        <v>736</v>
      </c>
      <c r="B29" s="7" t="s">
        <v>33</v>
      </c>
      <c r="C29" s="15">
        <v>44621</v>
      </c>
      <c r="D29" s="7" t="s">
        <v>672</v>
      </c>
      <c r="E29" s="7" t="s">
        <v>735</v>
      </c>
      <c r="F29" s="7">
        <v>44.99</v>
      </c>
      <c r="G29" s="7">
        <v>1</v>
      </c>
      <c r="H29" s="7">
        <v>0</v>
      </c>
      <c r="I29" s="7">
        <v>44.99</v>
      </c>
      <c r="J29" s="7">
        <v>44.99</v>
      </c>
      <c r="K29" s="7" t="s">
        <v>682</v>
      </c>
      <c r="L29" s="7" t="s">
        <v>656</v>
      </c>
      <c r="M29" s="8">
        <v>5</v>
      </c>
      <c r="N29">
        <f>VLOOKUP(B29,Customers!A:J,7,0)</f>
        <v>32</v>
      </c>
      <c r="O29" t="str">
        <f>VLOOKUP(B29,Customers!A:J,5,0)</f>
        <v>Dallas</v>
      </c>
      <c r="P29" t="str">
        <f>VLOOKUP(B29,Customers!A:J,10,0)</f>
        <v>Free</v>
      </c>
      <c r="Q29" t="str">
        <f>VLOOKUP(B29,Customers!A:J,8,0)</f>
        <v>Male</v>
      </c>
      <c r="R29" t="b">
        <f t="shared" si="0"/>
        <v>1</v>
      </c>
      <c r="S29" s="18">
        <f t="shared" si="1"/>
        <v>44621</v>
      </c>
    </row>
    <row r="30" spans="1:19" x14ac:dyDescent="0.25">
      <c r="A30" s="3" t="s">
        <v>737</v>
      </c>
      <c r="B30" s="4" t="s">
        <v>33</v>
      </c>
      <c r="C30" s="14">
        <v>45028</v>
      </c>
      <c r="D30" s="4" t="s">
        <v>710</v>
      </c>
      <c r="E30" s="4" t="s">
        <v>730</v>
      </c>
      <c r="F30" s="4">
        <v>39.99</v>
      </c>
      <c r="G30" s="4">
        <v>3</v>
      </c>
      <c r="H30" s="4">
        <v>20</v>
      </c>
      <c r="I30" s="4">
        <v>31.99</v>
      </c>
      <c r="J30" s="4">
        <v>95.97</v>
      </c>
      <c r="K30" s="4" t="s">
        <v>669</v>
      </c>
      <c r="L30" s="4" t="s">
        <v>739</v>
      </c>
      <c r="M30" s="5"/>
      <c r="N30">
        <f>VLOOKUP(B30,Customers!A:J,7,0)</f>
        <v>32</v>
      </c>
      <c r="O30" t="str">
        <f>VLOOKUP(B30,Customers!A:J,5,0)</f>
        <v>Dallas</v>
      </c>
      <c r="P30" t="str">
        <f>VLOOKUP(B30,Customers!A:J,10,0)</f>
        <v>Free</v>
      </c>
      <c r="Q30" t="str">
        <f>VLOOKUP(B30,Customers!A:J,8,0)</f>
        <v>Male</v>
      </c>
      <c r="R30" t="b">
        <f t="shared" si="0"/>
        <v>1</v>
      </c>
      <c r="S30" s="18">
        <f t="shared" si="1"/>
        <v>45017</v>
      </c>
    </row>
    <row r="31" spans="1:19" x14ac:dyDescent="0.25">
      <c r="A31" s="6" t="s">
        <v>740</v>
      </c>
      <c r="B31" s="7" t="s">
        <v>33</v>
      </c>
      <c r="C31" s="15">
        <v>45093</v>
      </c>
      <c r="D31" s="7" t="s">
        <v>684</v>
      </c>
      <c r="E31" s="7" t="s">
        <v>702</v>
      </c>
      <c r="F31" s="7">
        <v>199.99</v>
      </c>
      <c r="G31" s="7">
        <v>4</v>
      </c>
      <c r="H31" s="7">
        <v>20</v>
      </c>
      <c r="I31" s="7">
        <v>159.99</v>
      </c>
      <c r="J31" s="7">
        <v>639.96</v>
      </c>
      <c r="K31" s="7" t="s">
        <v>675</v>
      </c>
      <c r="L31" s="7" t="s">
        <v>656</v>
      </c>
      <c r="M31" s="8">
        <v>5</v>
      </c>
      <c r="N31">
        <f>VLOOKUP(B31,Customers!A:J,7,0)</f>
        <v>32</v>
      </c>
      <c r="O31" t="str">
        <f>VLOOKUP(B31,Customers!A:J,5,0)</f>
        <v>Dallas</v>
      </c>
      <c r="P31" t="str">
        <f>VLOOKUP(B31,Customers!A:J,10,0)</f>
        <v>Free</v>
      </c>
      <c r="Q31" t="str">
        <f>VLOOKUP(B31,Customers!A:J,8,0)</f>
        <v>Male</v>
      </c>
      <c r="R31" t="b">
        <f t="shared" si="0"/>
        <v>1</v>
      </c>
      <c r="S31" s="18">
        <f t="shared" si="1"/>
        <v>45078</v>
      </c>
    </row>
    <row r="32" spans="1:19" x14ac:dyDescent="0.25">
      <c r="A32" s="3" t="s">
        <v>742</v>
      </c>
      <c r="B32" s="4" t="s">
        <v>33</v>
      </c>
      <c r="C32" s="14">
        <v>44840</v>
      </c>
      <c r="D32" s="4" t="s">
        <v>659</v>
      </c>
      <c r="E32" s="4" t="s">
        <v>660</v>
      </c>
      <c r="F32" s="4">
        <v>19.989999999999998</v>
      </c>
      <c r="G32" s="4">
        <v>4</v>
      </c>
      <c r="H32" s="4">
        <v>0</v>
      </c>
      <c r="I32" s="4">
        <v>19.989999999999998</v>
      </c>
      <c r="J32" s="4">
        <v>79.959999999999994</v>
      </c>
      <c r="K32" s="4" t="s">
        <v>682</v>
      </c>
      <c r="L32" s="4" t="s">
        <v>656</v>
      </c>
      <c r="M32" s="5">
        <v>5</v>
      </c>
      <c r="N32">
        <f>VLOOKUP(B32,Customers!A:J,7,0)</f>
        <v>32</v>
      </c>
      <c r="O32" t="str">
        <f>VLOOKUP(B32,Customers!A:J,5,0)</f>
        <v>Dallas</v>
      </c>
      <c r="P32" t="str">
        <f>VLOOKUP(B32,Customers!A:J,10,0)</f>
        <v>Free</v>
      </c>
      <c r="Q32" t="str">
        <f>VLOOKUP(B32,Customers!A:J,8,0)</f>
        <v>Male</v>
      </c>
      <c r="R32" t="b">
        <f t="shared" si="0"/>
        <v>1</v>
      </c>
      <c r="S32" s="18">
        <f t="shared" si="1"/>
        <v>44835</v>
      </c>
    </row>
    <row r="33" spans="1:19" x14ac:dyDescent="0.25">
      <c r="A33" s="6" t="s">
        <v>743</v>
      </c>
      <c r="B33" s="7" t="s">
        <v>40</v>
      </c>
      <c r="C33" s="15">
        <v>45209</v>
      </c>
      <c r="D33" s="7" t="s">
        <v>710</v>
      </c>
      <c r="E33" s="7" t="s">
        <v>744</v>
      </c>
      <c r="F33" s="7">
        <v>29.99</v>
      </c>
      <c r="G33" s="7">
        <v>3</v>
      </c>
      <c r="H33" s="7">
        <v>20</v>
      </c>
      <c r="I33" s="7">
        <v>23.99</v>
      </c>
      <c r="J33" s="7">
        <v>71.97</v>
      </c>
      <c r="K33" s="7" t="s">
        <v>661</v>
      </c>
      <c r="L33" s="7" t="s">
        <v>656</v>
      </c>
      <c r="M33" s="8"/>
      <c r="N33">
        <f>VLOOKUP(B33,Customers!A:J,7,0)</f>
        <v>24</v>
      </c>
      <c r="O33" t="str">
        <f>VLOOKUP(B33,Customers!A:J,5,0)</f>
        <v>Houston</v>
      </c>
      <c r="P33" t="str">
        <f>VLOOKUP(B33,Customers!A:J,10,0)</f>
        <v>Free</v>
      </c>
      <c r="Q33" t="str">
        <f>VLOOKUP(B33,Customers!A:J,8,0)</f>
        <v>Male</v>
      </c>
      <c r="R33" t="b">
        <f t="shared" si="0"/>
        <v>1</v>
      </c>
      <c r="S33" s="18">
        <f t="shared" si="1"/>
        <v>45200</v>
      </c>
    </row>
    <row r="34" spans="1:19" x14ac:dyDescent="0.25">
      <c r="A34" s="3" t="s">
        <v>745</v>
      </c>
      <c r="B34" s="4" t="s">
        <v>40</v>
      </c>
      <c r="C34" s="14">
        <v>45575</v>
      </c>
      <c r="D34" s="4" t="s">
        <v>672</v>
      </c>
      <c r="E34" s="4" t="s">
        <v>724</v>
      </c>
      <c r="F34" s="4">
        <v>89.99</v>
      </c>
      <c r="G34" s="4">
        <v>1</v>
      </c>
      <c r="H34" s="4">
        <v>0</v>
      </c>
      <c r="I34" s="4">
        <v>89.99</v>
      </c>
      <c r="J34" s="4">
        <v>89.99</v>
      </c>
      <c r="K34" s="4" t="s">
        <v>675</v>
      </c>
      <c r="L34" s="4" t="s">
        <v>656</v>
      </c>
      <c r="M34" s="5">
        <v>5</v>
      </c>
      <c r="N34">
        <f>VLOOKUP(B34,Customers!A:J,7,0)</f>
        <v>24</v>
      </c>
      <c r="O34" t="str">
        <f>VLOOKUP(B34,Customers!A:J,5,0)</f>
        <v>Houston</v>
      </c>
      <c r="P34" t="str">
        <f>VLOOKUP(B34,Customers!A:J,10,0)</f>
        <v>Free</v>
      </c>
      <c r="Q34" t="str">
        <f>VLOOKUP(B34,Customers!A:J,8,0)</f>
        <v>Male</v>
      </c>
      <c r="R34" t="b">
        <f t="shared" si="0"/>
        <v>1</v>
      </c>
      <c r="S34" s="18">
        <f t="shared" si="1"/>
        <v>45566</v>
      </c>
    </row>
    <row r="35" spans="1:19" x14ac:dyDescent="0.25">
      <c r="A35" s="6" t="s">
        <v>747</v>
      </c>
      <c r="B35" s="7" t="s">
        <v>40</v>
      </c>
      <c r="C35" s="15">
        <v>44815</v>
      </c>
      <c r="D35" s="7" t="s">
        <v>680</v>
      </c>
      <c r="E35" s="7" t="s">
        <v>749</v>
      </c>
      <c r="F35" s="7">
        <v>14.99</v>
      </c>
      <c r="G35" s="7">
        <v>2</v>
      </c>
      <c r="H35" s="7">
        <v>0</v>
      </c>
      <c r="I35" s="7">
        <v>14.99</v>
      </c>
      <c r="J35" s="7">
        <v>29.98</v>
      </c>
      <c r="K35" s="7" t="s">
        <v>669</v>
      </c>
      <c r="L35" s="7" t="s">
        <v>656</v>
      </c>
      <c r="M35" s="8">
        <v>3</v>
      </c>
      <c r="N35">
        <f>VLOOKUP(B35,Customers!A:J,7,0)</f>
        <v>24</v>
      </c>
      <c r="O35" t="str">
        <f>VLOOKUP(B35,Customers!A:J,5,0)</f>
        <v>Houston</v>
      </c>
      <c r="P35" t="str">
        <f>VLOOKUP(B35,Customers!A:J,10,0)</f>
        <v>Free</v>
      </c>
      <c r="Q35" t="str">
        <f>VLOOKUP(B35,Customers!A:J,8,0)</f>
        <v>Male</v>
      </c>
      <c r="R35" t="b">
        <f t="shared" si="0"/>
        <v>1</v>
      </c>
      <c r="S35" s="18">
        <f t="shared" si="1"/>
        <v>44805</v>
      </c>
    </row>
    <row r="36" spans="1:19" x14ac:dyDescent="0.25">
      <c r="A36" s="3" t="s">
        <v>750</v>
      </c>
      <c r="B36" s="4" t="s">
        <v>40</v>
      </c>
      <c r="C36" s="14">
        <v>44878</v>
      </c>
      <c r="D36" s="4" t="s">
        <v>653</v>
      </c>
      <c r="E36" s="4" t="s">
        <v>727</v>
      </c>
      <c r="F36" s="4">
        <v>14.99</v>
      </c>
      <c r="G36" s="4">
        <v>1</v>
      </c>
      <c r="H36" s="4">
        <v>15</v>
      </c>
      <c r="I36" s="4">
        <v>12.74</v>
      </c>
      <c r="J36" s="4">
        <v>12.74</v>
      </c>
      <c r="K36" s="4" t="s">
        <v>675</v>
      </c>
      <c r="L36" s="4" t="s">
        <v>656</v>
      </c>
      <c r="M36" s="5">
        <v>5</v>
      </c>
      <c r="N36">
        <f>VLOOKUP(B36,Customers!A:J,7,0)</f>
        <v>24</v>
      </c>
      <c r="O36" t="str">
        <f>VLOOKUP(B36,Customers!A:J,5,0)</f>
        <v>Houston</v>
      </c>
      <c r="P36" t="str">
        <f>VLOOKUP(B36,Customers!A:J,10,0)</f>
        <v>Free</v>
      </c>
      <c r="Q36" t="str">
        <f>VLOOKUP(B36,Customers!A:J,8,0)</f>
        <v>Male</v>
      </c>
      <c r="R36" t="b">
        <f t="shared" si="0"/>
        <v>1</v>
      </c>
      <c r="S36" s="18">
        <f t="shared" si="1"/>
        <v>44866</v>
      </c>
    </row>
    <row r="37" spans="1:19" x14ac:dyDescent="0.25">
      <c r="A37" s="6" t="s">
        <v>752</v>
      </c>
      <c r="B37" s="7" t="s">
        <v>40</v>
      </c>
      <c r="C37" s="15">
        <v>45220</v>
      </c>
      <c r="D37" s="7" t="s">
        <v>710</v>
      </c>
      <c r="E37" s="7" t="s">
        <v>744</v>
      </c>
      <c r="F37" s="7">
        <v>29.99</v>
      </c>
      <c r="G37" s="7">
        <v>1</v>
      </c>
      <c r="H37" s="7">
        <v>20</v>
      </c>
      <c r="I37" s="7">
        <v>23.99</v>
      </c>
      <c r="J37" s="7">
        <v>23.99</v>
      </c>
      <c r="K37" s="7" t="s">
        <v>655</v>
      </c>
      <c r="L37" s="7" t="s">
        <v>656</v>
      </c>
      <c r="M37" s="8">
        <v>3</v>
      </c>
      <c r="N37">
        <f>VLOOKUP(B37,Customers!A:J,7,0)</f>
        <v>24</v>
      </c>
      <c r="O37" t="str">
        <f>VLOOKUP(B37,Customers!A:J,5,0)</f>
        <v>Houston</v>
      </c>
      <c r="P37" t="str">
        <f>VLOOKUP(B37,Customers!A:J,10,0)</f>
        <v>Free</v>
      </c>
      <c r="Q37" t="str">
        <f>VLOOKUP(B37,Customers!A:J,8,0)</f>
        <v>Male</v>
      </c>
      <c r="R37" t="b">
        <f t="shared" si="0"/>
        <v>1</v>
      </c>
      <c r="S37" s="18">
        <f t="shared" si="1"/>
        <v>45200</v>
      </c>
    </row>
    <row r="38" spans="1:19" x14ac:dyDescent="0.25">
      <c r="A38" s="3" t="s">
        <v>754</v>
      </c>
      <c r="B38" s="4" t="s">
        <v>40</v>
      </c>
      <c r="C38" s="14">
        <v>45579</v>
      </c>
      <c r="D38" s="4" t="s">
        <v>667</v>
      </c>
      <c r="E38" s="4" t="s">
        <v>699</v>
      </c>
      <c r="F38" s="4">
        <v>89.99</v>
      </c>
      <c r="G38" s="4">
        <v>2</v>
      </c>
      <c r="H38" s="4">
        <v>20</v>
      </c>
      <c r="I38" s="4">
        <v>71.989999999999995</v>
      </c>
      <c r="J38" s="4">
        <v>143.97999999999999</v>
      </c>
      <c r="K38" s="4" t="s">
        <v>682</v>
      </c>
      <c r="L38" s="4" t="s">
        <v>656</v>
      </c>
      <c r="M38" s="5">
        <v>5</v>
      </c>
      <c r="N38">
        <f>VLOOKUP(B38,Customers!A:J,7,0)</f>
        <v>24</v>
      </c>
      <c r="O38" t="str">
        <f>VLOOKUP(B38,Customers!A:J,5,0)</f>
        <v>Houston</v>
      </c>
      <c r="P38" t="str">
        <f>VLOOKUP(B38,Customers!A:J,10,0)</f>
        <v>Free</v>
      </c>
      <c r="Q38" t="str">
        <f>VLOOKUP(B38,Customers!A:J,8,0)</f>
        <v>Male</v>
      </c>
      <c r="R38" t="b">
        <f t="shared" si="0"/>
        <v>1</v>
      </c>
      <c r="S38" s="18">
        <f t="shared" si="1"/>
        <v>45566</v>
      </c>
    </row>
    <row r="39" spans="1:19" x14ac:dyDescent="0.25">
      <c r="A39" s="6" t="s">
        <v>756</v>
      </c>
      <c r="B39" s="7" t="s">
        <v>40</v>
      </c>
      <c r="C39" s="15">
        <v>44939</v>
      </c>
      <c r="D39" s="7" t="s">
        <v>684</v>
      </c>
      <c r="E39" s="7" t="s">
        <v>685</v>
      </c>
      <c r="F39" s="7">
        <v>49.99</v>
      </c>
      <c r="G39" s="7">
        <v>1</v>
      </c>
      <c r="H39" s="7">
        <v>15</v>
      </c>
      <c r="I39" s="7">
        <v>42.49</v>
      </c>
      <c r="J39" s="7">
        <v>42.49</v>
      </c>
      <c r="K39" s="7" t="s">
        <v>661</v>
      </c>
      <c r="L39" s="7" t="s">
        <v>656</v>
      </c>
      <c r="M39" s="8"/>
      <c r="N39">
        <f>VLOOKUP(B39,Customers!A:J,7,0)</f>
        <v>24</v>
      </c>
      <c r="O39" t="str">
        <f>VLOOKUP(B39,Customers!A:J,5,0)</f>
        <v>Houston</v>
      </c>
      <c r="P39" t="str">
        <f>VLOOKUP(B39,Customers!A:J,10,0)</f>
        <v>Free</v>
      </c>
      <c r="Q39" t="str">
        <f>VLOOKUP(B39,Customers!A:J,8,0)</f>
        <v>Male</v>
      </c>
      <c r="R39" t="b">
        <f t="shared" si="0"/>
        <v>1</v>
      </c>
      <c r="S39" s="18">
        <f t="shared" si="1"/>
        <v>44927</v>
      </c>
    </row>
    <row r="40" spans="1:19" x14ac:dyDescent="0.25">
      <c r="A40" s="3" t="s">
        <v>758</v>
      </c>
      <c r="B40" s="4" t="s">
        <v>40</v>
      </c>
      <c r="C40" s="14">
        <v>45009</v>
      </c>
      <c r="D40" s="4" t="s">
        <v>684</v>
      </c>
      <c r="E40" s="4" t="s">
        <v>705</v>
      </c>
      <c r="F40" s="4">
        <v>79.989999999999995</v>
      </c>
      <c r="G40" s="4">
        <v>3</v>
      </c>
      <c r="H40" s="4">
        <v>5</v>
      </c>
      <c r="I40" s="4">
        <v>75.989999999999995</v>
      </c>
      <c r="J40" s="4">
        <v>227.97</v>
      </c>
      <c r="K40" s="4" t="s">
        <v>661</v>
      </c>
      <c r="L40" s="4" t="s">
        <v>656</v>
      </c>
      <c r="M40" s="5">
        <v>5</v>
      </c>
      <c r="N40">
        <f>VLOOKUP(B40,Customers!A:J,7,0)</f>
        <v>24</v>
      </c>
      <c r="O40" t="str">
        <f>VLOOKUP(B40,Customers!A:J,5,0)</f>
        <v>Houston</v>
      </c>
      <c r="P40" t="str">
        <f>VLOOKUP(B40,Customers!A:J,10,0)</f>
        <v>Free</v>
      </c>
      <c r="Q40" t="str">
        <f>VLOOKUP(B40,Customers!A:J,8,0)</f>
        <v>Male</v>
      </c>
      <c r="R40" t="b">
        <f t="shared" si="0"/>
        <v>1</v>
      </c>
      <c r="S40" s="18">
        <f t="shared" si="1"/>
        <v>44986</v>
      </c>
    </row>
    <row r="41" spans="1:19" x14ac:dyDescent="0.25">
      <c r="A41" s="6" t="s">
        <v>760</v>
      </c>
      <c r="B41" s="7" t="s">
        <v>40</v>
      </c>
      <c r="C41" s="15">
        <v>45156</v>
      </c>
      <c r="D41" s="7" t="s">
        <v>659</v>
      </c>
      <c r="E41" s="7" t="s">
        <v>762</v>
      </c>
      <c r="F41" s="7">
        <v>49.99</v>
      </c>
      <c r="G41" s="7">
        <v>3</v>
      </c>
      <c r="H41" s="7">
        <v>20</v>
      </c>
      <c r="I41" s="7">
        <v>39.99</v>
      </c>
      <c r="J41" s="7">
        <v>119.97</v>
      </c>
      <c r="K41" s="7" t="s">
        <v>675</v>
      </c>
      <c r="L41" s="7" t="s">
        <v>656</v>
      </c>
      <c r="M41" s="8"/>
      <c r="N41">
        <f>VLOOKUP(B41,Customers!A:J,7,0)</f>
        <v>24</v>
      </c>
      <c r="O41" t="str">
        <f>VLOOKUP(B41,Customers!A:J,5,0)</f>
        <v>Houston</v>
      </c>
      <c r="P41" t="str">
        <f>VLOOKUP(B41,Customers!A:J,10,0)</f>
        <v>Free</v>
      </c>
      <c r="Q41" t="str">
        <f>VLOOKUP(B41,Customers!A:J,8,0)</f>
        <v>Male</v>
      </c>
      <c r="R41" t="b">
        <f t="shared" si="0"/>
        <v>1</v>
      </c>
      <c r="S41" s="18">
        <f t="shared" si="1"/>
        <v>45139</v>
      </c>
    </row>
    <row r="42" spans="1:19" x14ac:dyDescent="0.25">
      <c r="A42" s="3" t="s">
        <v>763</v>
      </c>
      <c r="B42" s="4" t="s">
        <v>45</v>
      </c>
      <c r="C42" s="14">
        <v>44638</v>
      </c>
      <c r="D42" s="4" t="s">
        <v>680</v>
      </c>
      <c r="E42" s="4" t="s">
        <v>681</v>
      </c>
      <c r="F42" s="4">
        <v>19.989999999999998</v>
      </c>
      <c r="G42" s="4">
        <v>1</v>
      </c>
      <c r="H42" s="4">
        <v>15</v>
      </c>
      <c r="I42" s="4">
        <v>16.989999999999998</v>
      </c>
      <c r="J42" s="4">
        <v>16.989999999999998</v>
      </c>
      <c r="K42" s="4" t="s">
        <v>682</v>
      </c>
      <c r="L42" s="4" t="s">
        <v>656</v>
      </c>
      <c r="M42" s="5">
        <v>4</v>
      </c>
      <c r="N42">
        <f>VLOOKUP(B42,Customers!A:J,7,0)</f>
        <v>52</v>
      </c>
      <c r="O42" t="str">
        <f>VLOOKUP(B42,Customers!A:J,5,0)</f>
        <v>Los Angeles</v>
      </c>
      <c r="P42" t="str">
        <f>VLOOKUP(B42,Customers!A:J,10,0)</f>
        <v>Free</v>
      </c>
      <c r="Q42" t="str">
        <f>VLOOKUP(B42,Customers!A:J,8,0)</f>
        <v>Male</v>
      </c>
      <c r="R42" t="b">
        <f t="shared" si="0"/>
        <v>1</v>
      </c>
      <c r="S42" s="18">
        <f t="shared" si="1"/>
        <v>44621</v>
      </c>
    </row>
    <row r="43" spans="1:19" x14ac:dyDescent="0.25">
      <c r="A43" s="6" t="s">
        <v>765</v>
      </c>
      <c r="B43" s="7" t="s">
        <v>45</v>
      </c>
      <c r="C43" s="15">
        <v>45483</v>
      </c>
      <c r="D43" s="7" t="s">
        <v>672</v>
      </c>
      <c r="E43" s="7" t="s">
        <v>673</v>
      </c>
      <c r="F43" s="7">
        <v>24.99</v>
      </c>
      <c r="G43" s="7">
        <v>4</v>
      </c>
      <c r="H43" s="7">
        <v>0</v>
      </c>
      <c r="I43" s="7">
        <v>24.99</v>
      </c>
      <c r="J43" s="7">
        <v>99.96</v>
      </c>
      <c r="K43" s="7" t="s">
        <v>669</v>
      </c>
      <c r="L43" s="7" t="s">
        <v>656</v>
      </c>
      <c r="M43" s="8"/>
      <c r="N43">
        <f>VLOOKUP(B43,Customers!A:J,7,0)</f>
        <v>52</v>
      </c>
      <c r="O43" t="str">
        <f>VLOOKUP(B43,Customers!A:J,5,0)</f>
        <v>Los Angeles</v>
      </c>
      <c r="P43" t="str">
        <f>VLOOKUP(B43,Customers!A:J,10,0)</f>
        <v>Free</v>
      </c>
      <c r="Q43" t="str">
        <f>VLOOKUP(B43,Customers!A:J,8,0)</f>
        <v>Male</v>
      </c>
      <c r="R43" t="b">
        <f t="shared" si="0"/>
        <v>1</v>
      </c>
      <c r="S43" s="18">
        <f t="shared" si="1"/>
        <v>45474</v>
      </c>
    </row>
    <row r="44" spans="1:19" x14ac:dyDescent="0.25">
      <c r="A44" s="3" t="s">
        <v>767</v>
      </c>
      <c r="B44" s="4" t="s">
        <v>45</v>
      </c>
      <c r="C44" s="14">
        <v>45294</v>
      </c>
      <c r="D44" s="4" t="s">
        <v>653</v>
      </c>
      <c r="E44" s="4" t="s">
        <v>769</v>
      </c>
      <c r="F44" s="4">
        <v>49.99</v>
      </c>
      <c r="G44" s="4">
        <v>1</v>
      </c>
      <c r="H44" s="4">
        <v>0</v>
      </c>
      <c r="I44" s="4">
        <v>49.99</v>
      </c>
      <c r="J44" s="4">
        <v>49.99</v>
      </c>
      <c r="K44" s="4" t="s">
        <v>661</v>
      </c>
      <c r="L44" s="4" t="s">
        <v>656</v>
      </c>
      <c r="M44" s="5">
        <v>4</v>
      </c>
      <c r="N44">
        <f>VLOOKUP(B44,Customers!A:J,7,0)</f>
        <v>52</v>
      </c>
      <c r="O44" t="str">
        <f>VLOOKUP(B44,Customers!A:J,5,0)</f>
        <v>Los Angeles</v>
      </c>
      <c r="P44" t="str">
        <f>VLOOKUP(B44,Customers!A:J,10,0)</f>
        <v>Free</v>
      </c>
      <c r="Q44" t="str">
        <f>VLOOKUP(B44,Customers!A:J,8,0)</f>
        <v>Male</v>
      </c>
      <c r="R44" t="b">
        <f t="shared" si="0"/>
        <v>1</v>
      </c>
      <c r="S44" s="18">
        <f t="shared" si="1"/>
        <v>45292</v>
      </c>
    </row>
    <row r="45" spans="1:19" x14ac:dyDescent="0.25">
      <c r="A45" s="6" t="s">
        <v>770</v>
      </c>
      <c r="B45" s="7" t="s">
        <v>45</v>
      </c>
      <c r="C45" s="15">
        <v>44800</v>
      </c>
      <c r="D45" s="7" t="s">
        <v>653</v>
      </c>
      <c r="E45" s="7" t="s">
        <v>654</v>
      </c>
      <c r="F45" s="7">
        <v>39.99</v>
      </c>
      <c r="G45" s="7">
        <v>4</v>
      </c>
      <c r="H45" s="7">
        <v>15</v>
      </c>
      <c r="I45" s="7">
        <v>33.99</v>
      </c>
      <c r="J45" s="7">
        <v>135.96</v>
      </c>
      <c r="K45" s="7" t="s">
        <v>682</v>
      </c>
      <c r="L45" s="7" t="s">
        <v>656</v>
      </c>
      <c r="M45" s="8">
        <v>5</v>
      </c>
      <c r="N45">
        <f>VLOOKUP(B45,Customers!A:J,7,0)</f>
        <v>52</v>
      </c>
      <c r="O45" t="str">
        <f>VLOOKUP(B45,Customers!A:J,5,0)</f>
        <v>Los Angeles</v>
      </c>
      <c r="P45" t="str">
        <f>VLOOKUP(B45,Customers!A:J,10,0)</f>
        <v>Free</v>
      </c>
      <c r="Q45" t="str">
        <f>VLOOKUP(B45,Customers!A:J,8,0)</f>
        <v>Male</v>
      </c>
      <c r="R45" t="b">
        <f t="shared" si="0"/>
        <v>1</v>
      </c>
      <c r="S45" s="18">
        <f t="shared" si="1"/>
        <v>44774</v>
      </c>
    </row>
    <row r="46" spans="1:19" x14ac:dyDescent="0.25">
      <c r="A46" s="3" t="s">
        <v>772</v>
      </c>
      <c r="B46" s="4" t="s">
        <v>45</v>
      </c>
      <c r="C46" s="14">
        <v>44735</v>
      </c>
      <c r="D46" s="4" t="s">
        <v>680</v>
      </c>
      <c r="E46" s="4" t="s">
        <v>749</v>
      </c>
      <c r="F46" s="4">
        <v>14.99</v>
      </c>
      <c r="G46" s="4">
        <v>2</v>
      </c>
      <c r="H46" s="4">
        <v>15</v>
      </c>
      <c r="I46" s="4">
        <v>12.74</v>
      </c>
      <c r="J46" s="4">
        <v>25.48</v>
      </c>
      <c r="K46" s="4" t="s">
        <v>669</v>
      </c>
      <c r="L46" s="4" t="s">
        <v>656</v>
      </c>
      <c r="M46" s="5">
        <v>5</v>
      </c>
      <c r="N46">
        <f>VLOOKUP(B46,Customers!A:J,7,0)</f>
        <v>52</v>
      </c>
      <c r="O46" t="str">
        <f>VLOOKUP(B46,Customers!A:J,5,0)</f>
        <v>Los Angeles</v>
      </c>
      <c r="P46" t="str">
        <f>VLOOKUP(B46,Customers!A:J,10,0)</f>
        <v>Free</v>
      </c>
      <c r="Q46" t="str">
        <f>VLOOKUP(B46,Customers!A:J,8,0)</f>
        <v>Male</v>
      </c>
      <c r="R46" t="b">
        <f t="shared" si="0"/>
        <v>1</v>
      </c>
      <c r="S46" s="18">
        <f t="shared" si="1"/>
        <v>44713</v>
      </c>
    </row>
    <row r="47" spans="1:19" x14ac:dyDescent="0.25">
      <c r="A47" s="6" t="s">
        <v>774</v>
      </c>
      <c r="B47" s="7" t="s">
        <v>45</v>
      </c>
      <c r="C47" s="15">
        <v>45530</v>
      </c>
      <c r="D47" s="7" t="s">
        <v>667</v>
      </c>
      <c r="E47" s="7" t="s">
        <v>699</v>
      </c>
      <c r="F47" s="7">
        <v>89.99</v>
      </c>
      <c r="G47" s="7">
        <v>1</v>
      </c>
      <c r="H47" s="7">
        <v>15</v>
      </c>
      <c r="I47" s="7">
        <v>76.489999999999995</v>
      </c>
      <c r="J47" s="7">
        <v>76.489999999999995</v>
      </c>
      <c r="K47" s="7" t="s">
        <v>682</v>
      </c>
      <c r="L47" s="7" t="s">
        <v>739</v>
      </c>
      <c r="M47" s="8">
        <v>5</v>
      </c>
      <c r="N47">
        <f>VLOOKUP(B47,Customers!A:J,7,0)</f>
        <v>52</v>
      </c>
      <c r="O47" t="str">
        <f>VLOOKUP(B47,Customers!A:J,5,0)</f>
        <v>Los Angeles</v>
      </c>
      <c r="P47" t="str">
        <f>VLOOKUP(B47,Customers!A:J,10,0)</f>
        <v>Free</v>
      </c>
      <c r="Q47" t="str">
        <f>VLOOKUP(B47,Customers!A:J,8,0)</f>
        <v>Male</v>
      </c>
      <c r="R47" t="b">
        <f t="shared" si="0"/>
        <v>1</v>
      </c>
      <c r="S47" s="18">
        <f t="shared" si="1"/>
        <v>45505</v>
      </c>
    </row>
    <row r="48" spans="1:19" x14ac:dyDescent="0.25">
      <c r="A48" s="3" t="s">
        <v>776</v>
      </c>
      <c r="B48" s="4" t="s">
        <v>45</v>
      </c>
      <c r="C48" s="14">
        <v>44792</v>
      </c>
      <c r="D48" s="4" t="s">
        <v>659</v>
      </c>
      <c r="E48" s="4" t="s">
        <v>660</v>
      </c>
      <c r="F48" s="4">
        <v>19.989999999999998</v>
      </c>
      <c r="G48" s="4">
        <v>4</v>
      </c>
      <c r="H48" s="4">
        <v>0</v>
      </c>
      <c r="I48" s="4">
        <v>19.989999999999998</v>
      </c>
      <c r="J48" s="4">
        <v>79.959999999999994</v>
      </c>
      <c r="K48" s="4" t="s">
        <v>682</v>
      </c>
      <c r="L48" s="4" t="s">
        <v>656</v>
      </c>
      <c r="M48" s="5">
        <v>5</v>
      </c>
      <c r="N48">
        <f>VLOOKUP(B48,Customers!A:J,7,0)</f>
        <v>52</v>
      </c>
      <c r="O48" t="str">
        <f>VLOOKUP(B48,Customers!A:J,5,0)</f>
        <v>Los Angeles</v>
      </c>
      <c r="P48" t="str">
        <f>VLOOKUP(B48,Customers!A:J,10,0)</f>
        <v>Free</v>
      </c>
      <c r="Q48" t="str">
        <f>VLOOKUP(B48,Customers!A:J,8,0)</f>
        <v>Male</v>
      </c>
      <c r="R48" t="b">
        <f t="shared" si="0"/>
        <v>1</v>
      </c>
      <c r="S48" s="18">
        <f t="shared" si="1"/>
        <v>44774</v>
      </c>
    </row>
    <row r="49" spans="1:19" x14ac:dyDescent="0.25">
      <c r="A49" s="6" t="s">
        <v>778</v>
      </c>
      <c r="B49" s="7" t="s">
        <v>45</v>
      </c>
      <c r="C49" s="15">
        <v>45003</v>
      </c>
      <c r="D49" s="7" t="s">
        <v>667</v>
      </c>
      <c r="E49" s="7" t="s">
        <v>696</v>
      </c>
      <c r="F49" s="7">
        <v>59.99</v>
      </c>
      <c r="G49" s="7">
        <v>4</v>
      </c>
      <c r="H49" s="7">
        <v>0</v>
      </c>
      <c r="I49" s="7">
        <v>59.99</v>
      </c>
      <c r="J49" s="7">
        <v>239.96</v>
      </c>
      <c r="K49" s="7" t="s">
        <v>675</v>
      </c>
      <c r="L49" s="7" t="s">
        <v>656</v>
      </c>
      <c r="M49" s="8">
        <v>3</v>
      </c>
      <c r="N49">
        <f>VLOOKUP(B49,Customers!A:J,7,0)</f>
        <v>52</v>
      </c>
      <c r="O49" t="str">
        <f>VLOOKUP(B49,Customers!A:J,5,0)</f>
        <v>Los Angeles</v>
      </c>
      <c r="P49" t="str">
        <f>VLOOKUP(B49,Customers!A:J,10,0)</f>
        <v>Free</v>
      </c>
      <c r="Q49" t="str">
        <f>VLOOKUP(B49,Customers!A:J,8,0)</f>
        <v>Male</v>
      </c>
      <c r="R49" t="b">
        <f t="shared" si="0"/>
        <v>1</v>
      </c>
      <c r="S49" s="18">
        <f t="shared" si="1"/>
        <v>44986</v>
      </c>
    </row>
    <row r="50" spans="1:19" x14ac:dyDescent="0.25">
      <c r="A50" s="3" t="s">
        <v>780</v>
      </c>
      <c r="B50" s="4" t="s">
        <v>45</v>
      </c>
      <c r="C50" s="14">
        <v>44723</v>
      </c>
      <c r="D50" s="4" t="s">
        <v>680</v>
      </c>
      <c r="E50" s="4" t="s">
        <v>688</v>
      </c>
      <c r="F50" s="4">
        <v>29.99</v>
      </c>
      <c r="G50" s="4">
        <v>4</v>
      </c>
      <c r="H50" s="4">
        <v>0</v>
      </c>
      <c r="I50" s="4">
        <v>29.99</v>
      </c>
      <c r="J50" s="4">
        <v>119.96</v>
      </c>
      <c r="K50" s="4" t="s">
        <v>655</v>
      </c>
      <c r="L50" s="4" t="s">
        <v>656</v>
      </c>
      <c r="M50" s="5">
        <v>3</v>
      </c>
      <c r="N50">
        <f>VLOOKUP(B50,Customers!A:J,7,0)</f>
        <v>52</v>
      </c>
      <c r="O50" t="str">
        <f>VLOOKUP(B50,Customers!A:J,5,0)</f>
        <v>Los Angeles</v>
      </c>
      <c r="P50" t="str">
        <f>VLOOKUP(B50,Customers!A:J,10,0)</f>
        <v>Free</v>
      </c>
      <c r="Q50" t="str">
        <f>VLOOKUP(B50,Customers!A:J,8,0)</f>
        <v>Male</v>
      </c>
      <c r="R50" t="b">
        <f t="shared" si="0"/>
        <v>1</v>
      </c>
      <c r="S50" s="18">
        <f t="shared" si="1"/>
        <v>44713</v>
      </c>
    </row>
    <row r="51" spans="1:19" x14ac:dyDescent="0.25">
      <c r="A51" s="6" t="s">
        <v>782</v>
      </c>
      <c r="B51" s="7" t="s">
        <v>45</v>
      </c>
      <c r="C51" s="15">
        <v>44619</v>
      </c>
      <c r="D51" s="7" t="s">
        <v>667</v>
      </c>
      <c r="E51" s="7" t="s">
        <v>714</v>
      </c>
      <c r="F51" s="7">
        <v>44.99</v>
      </c>
      <c r="G51" s="7">
        <v>2</v>
      </c>
      <c r="H51" s="7">
        <v>0</v>
      </c>
      <c r="I51" s="7">
        <v>44.99</v>
      </c>
      <c r="J51" s="7">
        <v>89.98</v>
      </c>
      <c r="K51" s="7" t="s">
        <v>682</v>
      </c>
      <c r="L51" s="7" t="s">
        <v>656</v>
      </c>
      <c r="M51" s="8"/>
      <c r="N51">
        <f>VLOOKUP(B51,Customers!A:J,7,0)</f>
        <v>52</v>
      </c>
      <c r="O51" t="str">
        <f>VLOOKUP(B51,Customers!A:J,5,0)</f>
        <v>Los Angeles</v>
      </c>
      <c r="P51" t="str">
        <f>VLOOKUP(B51,Customers!A:J,10,0)</f>
        <v>Free</v>
      </c>
      <c r="Q51" t="str">
        <f>VLOOKUP(B51,Customers!A:J,8,0)</f>
        <v>Male</v>
      </c>
      <c r="R51" t="b">
        <f t="shared" si="0"/>
        <v>1</v>
      </c>
      <c r="S51" s="18">
        <f t="shared" si="1"/>
        <v>44593</v>
      </c>
    </row>
    <row r="52" spans="1:19" x14ac:dyDescent="0.25">
      <c r="A52" s="3" t="s">
        <v>783</v>
      </c>
      <c r="B52" s="4" t="s">
        <v>45</v>
      </c>
      <c r="C52" s="14">
        <v>45070</v>
      </c>
      <c r="D52" s="4" t="s">
        <v>667</v>
      </c>
      <c r="E52" s="4" t="s">
        <v>699</v>
      </c>
      <c r="F52" s="4">
        <v>89.99</v>
      </c>
      <c r="G52" s="4">
        <v>1</v>
      </c>
      <c r="H52" s="4">
        <v>0</v>
      </c>
      <c r="I52" s="4">
        <v>89.99</v>
      </c>
      <c r="J52" s="4">
        <v>89.99</v>
      </c>
      <c r="K52" s="4" t="s">
        <v>669</v>
      </c>
      <c r="L52" s="4" t="s">
        <v>785</v>
      </c>
      <c r="M52" s="5"/>
      <c r="N52">
        <f>VLOOKUP(B52,Customers!A:J,7,0)</f>
        <v>52</v>
      </c>
      <c r="O52" t="str">
        <f>VLOOKUP(B52,Customers!A:J,5,0)</f>
        <v>Los Angeles</v>
      </c>
      <c r="P52" t="str">
        <f>VLOOKUP(B52,Customers!A:J,10,0)</f>
        <v>Free</v>
      </c>
      <c r="Q52" t="str">
        <f>VLOOKUP(B52,Customers!A:J,8,0)</f>
        <v>Male</v>
      </c>
      <c r="R52" t="b">
        <f t="shared" si="0"/>
        <v>1</v>
      </c>
      <c r="S52" s="18">
        <f t="shared" si="1"/>
        <v>45047</v>
      </c>
    </row>
    <row r="53" spans="1:19" x14ac:dyDescent="0.25">
      <c r="A53" s="6" t="s">
        <v>786</v>
      </c>
      <c r="B53" s="7" t="s">
        <v>45</v>
      </c>
      <c r="C53" s="15">
        <v>45131</v>
      </c>
      <c r="D53" s="7" t="s">
        <v>680</v>
      </c>
      <c r="E53" s="7" t="s">
        <v>749</v>
      </c>
      <c r="F53" s="7">
        <v>14.99</v>
      </c>
      <c r="G53" s="7">
        <v>2</v>
      </c>
      <c r="H53" s="7">
        <v>5</v>
      </c>
      <c r="I53" s="7">
        <v>14.24</v>
      </c>
      <c r="J53" s="7">
        <v>28.48</v>
      </c>
      <c r="K53" s="7" t="s">
        <v>661</v>
      </c>
      <c r="L53" s="7" t="s">
        <v>788</v>
      </c>
      <c r="M53" s="8">
        <v>5</v>
      </c>
      <c r="N53">
        <f>VLOOKUP(B53,Customers!A:J,7,0)</f>
        <v>52</v>
      </c>
      <c r="O53" t="str">
        <f>VLOOKUP(B53,Customers!A:J,5,0)</f>
        <v>Los Angeles</v>
      </c>
      <c r="P53" t="str">
        <f>VLOOKUP(B53,Customers!A:J,10,0)</f>
        <v>Free</v>
      </c>
      <c r="Q53" t="str">
        <f>VLOOKUP(B53,Customers!A:J,8,0)</f>
        <v>Male</v>
      </c>
      <c r="R53" t="b">
        <f t="shared" si="0"/>
        <v>1</v>
      </c>
      <c r="S53" s="18">
        <f t="shared" si="1"/>
        <v>45108</v>
      </c>
    </row>
    <row r="54" spans="1:19" x14ac:dyDescent="0.25">
      <c r="A54" s="3" t="s">
        <v>789</v>
      </c>
      <c r="B54" s="4" t="s">
        <v>45</v>
      </c>
      <c r="C54" s="14">
        <v>45389</v>
      </c>
      <c r="D54" s="4" t="s">
        <v>710</v>
      </c>
      <c r="E54" s="4" t="s">
        <v>744</v>
      </c>
      <c r="F54" s="4">
        <v>29.99</v>
      </c>
      <c r="G54" s="4">
        <v>2</v>
      </c>
      <c r="H54" s="4">
        <v>10</v>
      </c>
      <c r="I54" s="4">
        <v>26.99</v>
      </c>
      <c r="J54" s="4">
        <v>53.98</v>
      </c>
      <c r="K54" s="4" t="s">
        <v>655</v>
      </c>
      <c r="L54" s="4" t="s">
        <v>656</v>
      </c>
      <c r="M54" s="5"/>
      <c r="N54">
        <f>VLOOKUP(B54,Customers!A:J,7,0)</f>
        <v>52</v>
      </c>
      <c r="O54" t="str">
        <f>VLOOKUP(B54,Customers!A:J,5,0)</f>
        <v>Los Angeles</v>
      </c>
      <c r="P54" t="str">
        <f>VLOOKUP(B54,Customers!A:J,10,0)</f>
        <v>Free</v>
      </c>
      <c r="Q54" t="str">
        <f>VLOOKUP(B54,Customers!A:J,8,0)</f>
        <v>Male</v>
      </c>
      <c r="R54" t="b">
        <f t="shared" si="0"/>
        <v>1</v>
      </c>
      <c r="S54" s="18">
        <f t="shared" si="1"/>
        <v>45383</v>
      </c>
    </row>
    <row r="55" spans="1:19" x14ac:dyDescent="0.25">
      <c r="A55" s="6" t="s">
        <v>791</v>
      </c>
      <c r="B55" s="7" t="s">
        <v>49</v>
      </c>
      <c r="C55" s="15">
        <v>44639</v>
      </c>
      <c r="D55" s="7" t="s">
        <v>680</v>
      </c>
      <c r="E55" s="7" t="s">
        <v>708</v>
      </c>
      <c r="F55" s="7">
        <v>24.99</v>
      </c>
      <c r="G55" s="7">
        <v>2</v>
      </c>
      <c r="H55" s="7">
        <v>0</v>
      </c>
      <c r="I55" s="7">
        <v>24.99</v>
      </c>
      <c r="J55" s="7">
        <v>49.98</v>
      </c>
      <c r="K55" s="7" t="s">
        <v>661</v>
      </c>
      <c r="L55" s="7" t="s">
        <v>656</v>
      </c>
      <c r="M55" s="8"/>
      <c r="N55">
        <f>VLOOKUP(B55,Customers!A:J,7,0)</f>
        <v>43</v>
      </c>
      <c r="O55" t="str">
        <f>VLOOKUP(B55,Customers!A:J,5,0)</f>
        <v>Dallas</v>
      </c>
      <c r="P55" t="str">
        <f>VLOOKUP(B55,Customers!A:J,10,0)</f>
        <v>Silver</v>
      </c>
      <c r="Q55" t="str">
        <f>VLOOKUP(B55,Customers!A:J,8,0)</f>
        <v>Male</v>
      </c>
      <c r="R55" t="b">
        <f t="shared" si="0"/>
        <v>1</v>
      </c>
      <c r="S55" s="18">
        <f t="shared" si="1"/>
        <v>44621</v>
      </c>
    </row>
    <row r="56" spans="1:19" x14ac:dyDescent="0.25">
      <c r="A56" s="3" t="s">
        <v>793</v>
      </c>
      <c r="B56" s="4" t="s">
        <v>49</v>
      </c>
      <c r="C56" s="14">
        <v>45387</v>
      </c>
      <c r="D56" s="4" t="s">
        <v>680</v>
      </c>
      <c r="E56" s="4" t="s">
        <v>681</v>
      </c>
      <c r="F56" s="4">
        <v>19.989999999999998</v>
      </c>
      <c r="G56" s="4">
        <v>2</v>
      </c>
      <c r="H56" s="4">
        <v>0</v>
      </c>
      <c r="I56" s="4">
        <v>19.989999999999998</v>
      </c>
      <c r="J56" s="4">
        <v>39.979999999999997</v>
      </c>
      <c r="K56" s="4" t="s">
        <v>682</v>
      </c>
      <c r="L56" s="4" t="s">
        <v>656</v>
      </c>
      <c r="M56" s="5">
        <v>5</v>
      </c>
      <c r="N56">
        <f>VLOOKUP(B56,Customers!A:J,7,0)</f>
        <v>43</v>
      </c>
      <c r="O56" t="str">
        <f>VLOOKUP(B56,Customers!A:J,5,0)</f>
        <v>Dallas</v>
      </c>
      <c r="P56" t="str">
        <f>VLOOKUP(B56,Customers!A:J,10,0)</f>
        <v>Silver</v>
      </c>
      <c r="Q56" t="str">
        <f>VLOOKUP(B56,Customers!A:J,8,0)</f>
        <v>Male</v>
      </c>
      <c r="R56" t="b">
        <f t="shared" si="0"/>
        <v>1</v>
      </c>
      <c r="S56" s="18">
        <f t="shared" si="1"/>
        <v>45383</v>
      </c>
    </row>
    <row r="57" spans="1:19" x14ac:dyDescent="0.25">
      <c r="A57" s="6" t="s">
        <v>795</v>
      </c>
      <c r="B57" s="7" t="s">
        <v>49</v>
      </c>
      <c r="C57" s="15">
        <v>45272</v>
      </c>
      <c r="D57" s="7" t="s">
        <v>680</v>
      </c>
      <c r="E57" s="7" t="s">
        <v>708</v>
      </c>
      <c r="F57" s="7">
        <v>24.99</v>
      </c>
      <c r="G57" s="7">
        <v>3</v>
      </c>
      <c r="H57" s="7">
        <v>20</v>
      </c>
      <c r="I57" s="7">
        <v>19.989999999999998</v>
      </c>
      <c r="J57" s="7">
        <v>59.97</v>
      </c>
      <c r="K57" s="7" t="s">
        <v>675</v>
      </c>
      <c r="L57" s="7" t="s">
        <v>656</v>
      </c>
      <c r="M57" s="8"/>
      <c r="N57">
        <f>VLOOKUP(B57,Customers!A:J,7,0)</f>
        <v>43</v>
      </c>
      <c r="O57" t="str">
        <f>VLOOKUP(B57,Customers!A:J,5,0)</f>
        <v>Dallas</v>
      </c>
      <c r="P57" t="str">
        <f>VLOOKUP(B57,Customers!A:J,10,0)</f>
        <v>Silver</v>
      </c>
      <c r="Q57" t="str">
        <f>VLOOKUP(B57,Customers!A:J,8,0)</f>
        <v>Male</v>
      </c>
      <c r="R57" t="b">
        <f t="shared" si="0"/>
        <v>1</v>
      </c>
      <c r="S57" s="18">
        <f t="shared" si="1"/>
        <v>45261</v>
      </c>
    </row>
    <row r="58" spans="1:19" x14ac:dyDescent="0.25">
      <c r="A58" s="3" t="s">
        <v>797</v>
      </c>
      <c r="B58" s="4" t="s">
        <v>49</v>
      </c>
      <c r="C58" s="14">
        <v>44903</v>
      </c>
      <c r="D58" s="4" t="s">
        <v>672</v>
      </c>
      <c r="E58" s="4" t="s">
        <v>735</v>
      </c>
      <c r="F58" s="4">
        <v>44.99</v>
      </c>
      <c r="G58" s="4">
        <v>4</v>
      </c>
      <c r="H58" s="4">
        <v>20</v>
      </c>
      <c r="I58" s="4">
        <v>35.99</v>
      </c>
      <c r="J58" s="4">
        <v>143.96</v>
      </c>
      <c r="K58" s="4" t="s">
        <v>675</v>
      </c>
      <c r="L58" s="4" t="s">
        <v>656</v>
      </c>
      <c r="M58" s="5"/>
      <c r="N58">
        <f>VLOOKUP(B58,Customers!A:J,7,0)</f>
        <v>43</v>
      </c>
      <c r="O58" t="str">
        <f>VLOOKUP(B58,Customers!A:J,5,0)</f>
        <v>Dallas</v>
      </c>
      <c r="P58" t="str">
        <f>VLOOKUP(B58,Customers!A:J,10,0)</f>
        <v>Silver</v>
      </c>
      <c r="Q58" t="str">
        <f>VLOOKUP(B58,Customers!A:J,8,0)</f>
        <v>Male</v>
      </c>
      <c r="R58" t="b">
        <f t="shared" si="0"/>
        <v>1</v>
      </c>
      <c r="S58" s="18">
        <f t="shared" si="1"/>
        <v>44896</v>
      </c>
    </row>
    <row r="59" spans="1:19" x14ac:dyDescent="0.25">
      <c r="A59" s="6" t="s">
        <v>799</v>
      </c>
      <c r="B59" s="7" t="s">
        <v>49</v>
      </c>
      <c r="C59" s="15">
        <v>45100</v>
      </c>
      <c r="D59" s="7" t="s">
        <v>667</v>
      </c>
      <c r="E59" s="7" t="s">
        <v>699</v>
      </c>
      <c r="F59" s="7">
        <v>89.99</v>
      </c>
      <c r="G59" s="7">
        <v>4</v>
      </c>
      <c r="H59" s="7">
        <v>0</v>
      </c>
      <c r="I59" s="7">
        <v>89.99</v>
      </c>
      <c r="J59" s="7">
        <v>359.96</v>
      </c>
      <c r="K59" s="7" t="s">
        <v>682</v>
      </c>
      <c r="L59" s="7" t="s">
        <v>788</v>
      </c>
      <c r="M59" s="8">
        <v>5</v>
      </c>
      <c r="N59">
        <f>VLOOKUP(B59,Customers!A:J,7,0)</f>
        <v>43</v>
      </c>
      <c r="O59" t="str">
        <f>VLOOKUP(B59,Customers!A:J,5,0)</f>
        <v>Dallas</v>
      </c>
      <c r="P59" t="str">
        <f>VLOOKUP(B59,Customers!A:J,10,0)</f>
        <v>Silver</v>
      </c>
      <c r="Q59" t="str">
        <f>VLOOKUP(B59,Customers!A:J,8,0)</f>
        <v>Male</v>
      </c>
      <c r="R59" t="b">
        <f t="shared" si="0"/>
        <v>1</v>
      </c>
      <c r="S59" s="18">
        <f t="shared" si="1"/>
        <v>45078</v>
      </c>
    </row>
    <row r="60" spans="1:19" x14ac:dyDescent="0.25">
      <c r="A60" s="3" t="s">
        <v>801</v>
      </c>
      <c r="B60" s="4" t="s">
        <v>49</v>
      </c>
      <c r="C60" s="14">
        <v>44607</v>
      </c>
      <c r="D60" s="4" t="s">
        <v>672</v>
      </c>
      <c r="E60" s="4" t="s">
        <v>803</v>
      </c>
      <c r="F60" s="4">
        <v>69.989999999999995</v>
      </c>
      <c r="G60" s="4">
        <v>2</v>
      </c>
      <c r="H60" s="4">
        <v>20</v>
      </c>
      <c r="I60" s="4">
        <v>55.99</v>
      </c>
      <c r="J60" s="4">
        <v>111.98</v>
      </c>
      <c r="K60" s="4" t="s">
        <v>669</v>
      </c>
      <c r="L60" s="4" t="s">
        <v>656</v>
      </c>
      <c r="M60" s="5"/>
      <c r="N60">
        <f>VLOOKUP(B60,Customers!A:J,7,0)</f>
        <v>43</v>
      </c>
      <c r="O60" t="str">
        <f>VLOOKUP(B60,Customers!A:J,5,0)</f>
        <v>Dallas</v>
      </c>
      <c r="P60" t="str">
        <f>VLOOKUP(B60,Customers!A:J,10,0)</f>
        <v>Silver</v>
      </c>
      <c r="Q60" t="str">
        <f>VLOOKUP(B60,Customers!A:J,8,0)</f>
        <v>Male</v>
      </c>
      <c r="R60" t="b">
        <f t="shared" si="0"/>
        <v>1</v>
      </c>
      <c r="S60" s="18">
        <f t="shared" si="1"/>
        <v>44593</v>
      </c>
    </row>
    <row r="61" spans="1:19" x14ac:dyDescent="0.25">
      <c r="A61" s="6" t="s">
        <v>804</v>
      </c>
      <c r="B61" s="7" t="s">
        <v>49</v>
      </c>
      <c r="C61" s="15">
        <v>44670</v>
      </c>
      <c r="D61" s="7" t="s">
        <v>653</v>
      </c>
      <c r="E61" s="7" t="s">
        <v>727</v>
      </c>
      <c r="F61" s="7">
        <v>14.99</v>
      </c>
      <c r="G61" s="7">
        <v>1</v>
      </c>
      <c r="H61" s="7">
        <v>10</v>
      </c>
      <c r="I61" s="7">
        <v>13.49</v>
      </c>
      <c r="J61" s="7">
        <v>13.49</v>
      </c>
      <c r="K61" s="7" t="s">
        <v>661</v>
      </c>
      <c r="L61" s="7" t="s">
        <v>656</v>
      </c>
      <c r="M61" s="8">
        <v>5</v>
      </c>
      <c r="N61">
        <f>VLOOKUP(B61,Customers!A:J,7,0)</f>
        <v>43</v>
      </c>
      <c r="O61" t="str">
        <f>VLOOKUP(B61,Customers!A:J,5,0)</f>
        <v>Dallas</v>
      </c>
      <c r="P61" t="str">
        <f>VLOOKUP(B61,Customers!A:J,10,0)</f>
        <v>Silver</v>
      </c>
      <c r="Q61" t="str">
        <f>VLOOKUP(B61,Customers!A:J,8,0)</f>
        <v>Male</v>
      </c>
      <c r="R61" t="b">
        <f t="shared" si="0"/>
        <v>1</v>
      </c>
      <c r="S61" s="18">
        <f t="shared" si="1"/>
        <v>44652</v>
      </c>
    </row>
    <row r="62" spans="1:19" x14ac:dyDescent="0.25">
      <c r="A62" s="3" t="s">
        <v>806</v>
      </c>
      <c r="B62" s="4" t="s">
        <v>49</v>
      </c>
      <c r="C62" s="14">
        <v>45606</v>
      </c>
      <c r="D62" s="4" t="s">
        <v>710</v>
      </c>
      <c r="E62" s="4" t="s">
        <v>721</v>
      </c>
      <c r="F62" s="4">
        <v>24.99</v>
      </c>
      <c r="G62" s="4">
        <v>4</v>
      </c>
      <c r="H62" s="4">
        <v>15</v>
      </c>
      <c r="I62" s="4">
        <v>21.24</v>
      </c>
      <c r="J62" s="4">
        <v>84.96</v>
      </c>
      <c r="K62" s="4" t="s">
        <v>669</v>
      </c>
      <c r="L62" s="4" t="s">
        <v>656</v>
      </c>
      <c r="M62" s="5"/>
      <c r="N62">
        <f>VLOOKUP(B62,Customers!A:J,7,0)</f>
        <v>43</v>
      </c>
      <c r="O62" t="str">
        <f>VLOOKUP(B62,Customers!A:J,5,0)</f>
        <v>Dallas</v>
      </c>
      <c r="P62" t="str">
        <f>VLOOKUP(B62,Customers!A:J,10,0)</f>
        <v>Silver</v>
      </c>
      <c r="Q62" t="str">
        <f>VLOOKUP(B62,Customers!A:J,8,0)</f>
        <v>Male</v>
      </c>
      <c r="R62" t="b">
        <f t="shared" si="0"/>
        <v>1</v>
      </c>
      <c r="S62" s="18">
        <f t="shared" si="1"/>
        <v>45597</v>
      </c>
    </row>
    <row r="63" spans="1:19" x14ac:dyDescent="0.25">
      <c r="A63" s="6" t="s">
        <v>808</v>
      </c>
      <c r="B63" s="7" t="s">
        <v>49</v>
      </c>
      <c r="C63" s="15">
        <v>45118</v>
      </c>
      <c r="D63" s="7" t="s">
        <v>680</v>
      </c>
      <c r="E63" s="7" t="s">
        <v>749</v>
      </c>
      <c r="F63" s="7">
        <v>14.99</v>
      </c>
      <c r="G63" s="7">
        <v>2</v>
      </c>
      <c r="H63" s="7">
        <v>20</v>
      </c>
      <c r="I63" s="7">
        <v>11.99</v>
      </c>
      <c r="J63" s="7">
        <v>23.98</v>
      </c>
      <c r="K63" s="7" t="s">
        <v>682</v>
      </c>
      <c r="L63" s="7" t="s">
        <v>656</v>
      </c>
      <c r="M63" s="8">
        <v>4</v>
      </c>
      <c r="N63">
        <f>VLOOKUP(B63,Customers!A:J,7,0)</f>
        <v>43</v>
      </c>
      <c r="O63" t="str">
        <f>VLOOKUP(B63,Customers!A:J,5,0)</f>
        <v>Dallas</v>
      </c>
      <c r="P63" t="str">
        <f>VLOOKUP(B63,Customers!A:J,10,0)</f>
        <v>Silver</v>
      </c>
      <c r="Q63" t="str">
        <f>VLOOKUP(B63,Customers!A:J,8,0)</f>
        <v>Male</v>
      </c>
      <c r="R63" t="b">
        <f t="shared" si="0"/>
        <v>1</v>
      </c>
      <c r="S63" s="18">
        <f t="shared" si="1"/>
        <v>45108</v>
      </c>
    </row>
    <row r="64" spans="1:19" x14ac:dyDescent="0.25">
      <c r="A64" s="3" t="s">
        <v>810</v>
      </c>
      <c r="B64" s="4" t="s">
        <v>49</v>
      </c>
      <c r="C64" s="14">
        <v>44610</v>
      </c>
      <c r="D64" s="4" t="s">
        <v>710</v>
      </c>
      <c r="E64" s="4" t="s">
        <v>744</v>
      </c>
      <c r="F64" s="4">
        <v>29.99</v>
      </c>
      <c r="G64" s="4">
        <v>2</v>
      </c>
      <c r="H64" s="4">
        <v>0</v>
      </c>
      <c r="I64" s="4">
        <v>29.99</v>
      </c>
      <c r="J64" s="4">
        <v>59.98</v>
      </c>
      <c r="K64" s="4" t="s">
        <v>682</v>
      </c>
      <c r="L64" s="4" t="s">
        <v>656</v>
      </c>
      <c r="M64" s="5">
        <v>5</v>
      </c>
      <c r="N64">
        <f>VLOOKUP(B64,Customers!A:J,7,0)</f>
        <v>43</v>
      </c>
      <c r="O64" t="str">
        <f>VLOOKUP(B64,Customers!A:J,5,0)</f>
        <v>Dallas</v>
      </c>
      <c r="P64" t="str">
        <f>VLOOKUP(B64,Customers!A:J,10,0)</f>
        <v>Silver</v>
      </c>
      <c r="Q64" t="str">
        <f>VLOOKUP(B64,Customers!A:J,8,0)</f>
        <v>Male</v>
      </c>
      <c r="R64" t="b">
        <f t="shared" si="0"/>
        <v>1</v>
      </c>
      <c r="S64" s="18">
        <f t="shared" si="1"/>
        <v>44593</v>
      </c>
    </row>
    <row r="65" spans="1:19" x14ac:dyDescent="0.25">
      <c r="A65" s="6" t="s">
        <v>812</v>
      </c>
      <c r="B65" s="7" t="s">
        <v>49</v>
      </c>
      <c r="C65" s="15">
        <v>45394</v>
      </c>
      <c r="D65" s="7" t="s">
        <v>659</v>
      </c>
      <c r="E65" s="7" t="s">
        <v>660</v>
      </c>
      <c r="F65" s="7">
        <v>19.989999999999998</v>
      </c>
      <c r="G65" s="7">
        <v>2</v>
      </c>
      <c r="H65" s="7">
        <v>10</v>
      </c>
      <c r="I65" s="7">
        <v>17.989999999999998</v>
      </c>
      <c r="J65" s="7">
        <v>35.979999999999997</v>
      </c>
      <c r="K65" s="7" t="s">
        <v>669</v>
      </c>
      <c r="L65" s="7" t="s">
        <v>656</v>
      </c>
      <c r="M65" s="8">
        <v>3</v>
      </c>
      <c r="N65">
        <f>VLOOKUP(B65,Customers!A:J,7,0)</f>
        <v>43</v>
      </c>
      <c r="O65" t="str">
        <f>VLOOKUP(B65,Customers!A:J,5,0)</f>
        <v>Dallas</v>
      </c>
      <c r="P65" t="str">
        <f>VLOOKUP(B65,Customers!A:J,10,0)</f>
        <v>Silver</v>
      </c>
      <c r="Q65" t="str">
        <f>VLOOKUP(B65,Customers!A:J,8,0)</f>
        <v>Male</v>
      </c>
      <c r="R65" t="b">
        <f t="shared" si="0"/>
        <v>1</v>
      </c>
      <c r="S65" s="18">
        <f t="shared" si="1"/>
        <v>45383</v>
      </c>
    </row>
    <row r="66" spans="1:19" x14ac:dyDescent="0.25">
      <c r="A66" s="3" t="s">
        <v>814</v>
      </c>
      <c r="B66" s="4" t="s">
        <v>54</v>
      </c>
      <c r="C66" s="14">
        <v>44861</v>
      </c>
      <c r="D66" s="4" t="s">
        <v>684</v>
      </c>
      <c r="E66" s="4" t="s">
        <v>815</v>
      </c>
      <c r="F66" s="4">
        <v>34.99</v>
      </c>
      <c r="G66" s="4">
        <v>3</v>
      </c>
      <c r="H66" s="4">
        <v>15</v>
      </c>
      <c r="I66" s="4">
        <v>29.74</v>
      </c>
      <c r="J66" s="4">
        <v>89.22</v>
      </c>
      <c r="K66" s="4" t="s">
        <v>669</v>
      </c>
      <c r="L66" s="4" t="s">
        <v>656</v>
      </c>
      <c r="M66" s="5"/>
      <c r="N66">
        <f>VLOOKUP(B66,Customers!A:J,7,0)</f>
        <v>21</v>
      </c>
      <c r="O66" t="str">
        <f>VLOOKUP(B66,Customers!A:J,5,0)</f>
        <v>San Antonio</v>
      </c>
      <c r="P66" t="str">
        <f>VLOOKUP(B66,Customers!A:J,10,0)</f>
        <v>Free</v>
      </c>
      <c r="Q66" t="str">
        <f>VLOOKUP(B66,Customers!A:J,8,0)</f>
        <v>Female</v>
      </c>
      <c r="R66" t="b">
        <f t="shared" si="0"/>
        <v>1</v>
      </c>
      <c r="S66" s="18">
        <f t="shared" si="1"/>
        <v>44835</v>
      </c>
    </row>
    <row r="67" spans="1:19" x14ac:dyDescent="0.25">
      <c r="A67" s="6" t="s">
        <v>816</v>
      </c>
      <c r="B67" s="7" t="s">
        <v>54</v>
      </c>
      <c r="C67" s="15">
        <v>45144</v>
      </c>
      <c r="D67" s="7" t="s">
        <v>684</v>
      </c>
      <c r="E67" s="7" t="s">
        <v>702</v>
      </c>
      <c r="F67" s="7">
        <v>199.99</v>
      </c>
      <c r="G67" s="7">
        <v>4</v>
      </c>
      <c r="H67" s="7">
        <v>0</v>
      </c>
      <c r="I67" s="7">
        <v>199.99</v>
      </c>
      <c r="J67" s="7">
        <v>799.96</v>
      </c>
      <c r="K67" s="7" t="s">
        <v>661</v>
      </c>
      <c r="L67" s="7" t="s">
        <v>656</v>
      </c>
      <c r="M67" s="8">
        <v>5</v>
      </c>
      <c r="N67">
        <f>VLOOKUP(B67,Customers!A:J,7,0)</f>
        <v>21</v>
      </c>
      <c r="O67" t="str">
        <f>VLOOKUP(B67,Customers!A:J,5,0)</f>
        <v>San Antonio</v>
      </c>
      <c r="P67" t="str">
        <f>VLOOKUP(B67,Customers!A:J,10,0)</f>
        <v>Free</v>
      </c>
      <c r="Q67" t="str">
        <f>VLOOKUP(B67,Customers!A:J,8,0)</f>
        <v>Female</v>
      </c>
      <c r="R67" t="b">
        <f t="shared" ref="R67:R130" si="2">ISNUMBER(C67)</f>
        <v>1</v>
      </c>
      <c r="S67" s="18">
        <f t="shared" ref="S67:S130" si="3">DATE(YEAR(C67),MONTH(C67),1)</f>
        <v>45139</v>
      </c>
    </row>
    <row r="68" spans="1:19" x14ac:dyDescent="0.25">
      <c r="A68" s="3" t="s">
        <v>818</v>
      </c>
      <c r="B68" s="4" t="s">
        <v>54</v>
      </c>
      <c r="C68" s="14">
        <v>44629</v>
      </c>
      <c r="D68" s="4" t="s">
        <v>659</v>
      </c>
      <c r="E68" s="4" t="s">
        <v>820</v>
      </c>
      <c r="F68" s="4">
        <v>39.99</v>
      </c>
      <c r="G68" s="4">
        <v>4</v>
      </c>
      <c r="H68" s="4">
        <v>5</v>
      </c>
      <c r="I68" s="4">
        <v>37.99</v>
      </c>
      <c r="J68" s="4">
        <v>151.96</v>
      </c>
      <c r="K68" s="4" t="s">
        <v>655</v>
      </c>
      <c r="L68" s="4" t="s">
        <v>656</v>
      </c>
      <c r="M68" s="5">
        <v>5</v>
      </c>
      <c r="N68">
        <f>VLOOKUP(B68,Customers!A:J,7,0)</f>
        <v>21</v>
      </c>
      <c r="O68" t="str">
        <f>VLOOKUP(B68,Customers!A:J,5,0)</f>
        <v>San Antonio</v>
      </c>
      <c r="P68" t="str">
        <f>VLOOKUP(B68,Customers!A:J,10,0)</f>
        <v>Free</v>
      </c>
      <c r="Q68" t="str">
        <f>VLOOKUP(B68,Customers!A:J,8,0)</f>
        <v>Female</v>
      </c>
      <c r="R68" t="b">
        <f t="shared" si="2"/>
        <v>1</v>
      </c>
      <c r="S68" s="18">
        <f t="shared" si="3"/>
        <v>44621</v>
      </c>
    </row>
    <row r="69" spans="1:19" x14ac:dyDescent="0.25">
      <c r="A69" s="6" t="s">
        <v>821</v>
      </c>
      <c r="B69" s="7" t="s">
        <v>54</v>
      </c>
      <c r="C69" s="15">
        <v>45140</v>
      </c>
      <c r="D69" s="7" t="s">
        <v>667</v>
      </c>
      <c r="E69" s="7" t="s">
        <v>668</v>
      </c>
      <c r="F69" s="7">
        <v>64.989999999999995</v>
      </c>
      <c r="G69" s="7">
        <v>3</v>
      </c>
      <c r="H69" s="7">
        <v>0</v>
      </c>
      <c r="I69" s="7">
        <v>64.989999999999995</v>
      </c>
      <c r="J69" s="7">
        <v>194.97</v>
      </c>
      <c r="K69" s="7" t="s">
        <v>655</v>
      </c>
      <c r="L69" s="7" t="s">
        <v>656</v>
      </c>
      <c r="M69" s="8">
        <v>5</v>
      </c>
      <c r="N69">
        <f>VLOOKUP(B69,Customers!A:J,7,0)</f>
        <v>21</v>
      </c>
      <c r="O69" t="str">
        <f>VLOOKUP(B69,Customers!A:J,5,0)</f>
        <v>San Antonio</v>
      </c>
      <c r="P69" t="str">
        <f>VLOOKUP(B69,Customers!A:J,10,0)</f>
        <v>Free</v>
      </c>
      <c r="Q69" t="str">
        <f>VLOOKUP(B69,Customers!A:J,8,0)</f>
        <v>Female</v>
      </c>
      <c r="R69" t="b">
        <f t="shared" si="2"/>
        <v>1</v>
      </c>
      <c r="S69" s="18">
        <f t="shared" si="3"/>
        <v>45139</v>
      </c>
    </row>
    <row r="70" spans="1:19" x14ac:dyDescent="0.25">
      <c r="A70" s="3" t="s">
        <v>822</v>
      </c>
      <c r="B70" s="4" t="s">
        <v>54</v>
      </c>
      <c r="C70" s="14">
        <v>45236</v>
      </c>
      <c r="D70" s="4" t="s">
        <v>659</v>
      </c>
      <c r="E70" s="4" t="s">
        <v>820</v>
      </c>
      <c r="F70" s="4">
        <v>39.99</v>
      </c>
      <c r="G70" s="4">
        <v>4</v>
      </c>
      <c r="H70" s="4">
        <v>0</v>
      </c>
      <c r="I70" s="4">
        <v>39.99</v>
      </c>
      <c r="J70" s="4">
        <v>159.96</v>
      </c>
      <c r="K70" s="4" t="s">
        <v>682</v>
      </c>
      <c r="L70" s="4" t="s">
        <v>656</v>
      </c>
      <c r="M70" s="5">
        <v>4</v>
      </c>
      <c r="N70">
        <f>VLOOKUP(B70,Customers!A:J,7,0)</f>
        <v>21</v>
      </c>
      <c r="O70" t="str">
        <f>VLOOKUP(B70,Customers!A:J,5,0)</f>
        <v>San Antonio</v>
      </c>
      <c r="P70" t="str">
        <f>VLOOKUP(B70,Customers!A:J,10,0)</f>
        <v>Free</v>
      </c>
      <c r="Q70" t="str">
        <f>VLOOKUP(B70,Customers!A:J,8,0)</f>
        <v>Female</v>
      </c>
      <c r="R70" t="b">
        <f t="shared" si="2"/>
        <v>1</v>
      </c>
      <c r="S70" s="18">
        <f t="shared" si="3"/>
        <v>45231</v>
      </c>
    </row>
    <row r="71" spans="1:19" x14ac:dyDescent="0.25">
      <c r="A71" s="6" t="s">
        <v>823</v>
      </c>
      <c r="B71" s="7" t="s">
        <v>54</v>
      </c>
      <c r="C71" s="15">
        <v>45413</v>
      </c>
      <c r="D71" s="7" t="s">
        <v>653</v>
      </c>
      <c r="E71" s="7" t="s">
        <v>654</v>
      </c>
      <c r="F71" s="7">
        <v>39.99</v>
      </c>
      <c r="G71" s="7">
        <v>3</v>
      </c>
      <c r="H71" s="7">
        <v>5</v>
      </c>
      <c r="I71" s="7">
        <v>37.99</v>
      </c>
      <c r="J71" s="7">
        <v>113.97</v>
      </c>
      <c r="K71" s="7" t="s">
        <v>669</v>
      </c>
      <c r="L71" s="7" t="s">
        <v>656</v>
      </c>
      <c r="M71" s="8"/>
      <c r="N71">
        <f>VLOOKUP(B71,Customers!A:J,7,0)</f>
        <v>21</v>
      </c>
      <c r="O71" t="str">
        <f>VLOOKUP(B71,Customers!A:J,5,0)</f>
        <v>San Antonio</v>
      </c>
      <c r="P71" t="str">
        <f>VLOOKUP(B71,Customers!A:J,10,0)</f>
        <v>Free</v>
      </c>
      <c r="Q71" t="str">
        <f>VLOOKUP(B71,Customers!A:J,8,0)</f>
        <v>Female</v>
      </c>
      <c r="R71" t="b">
        <f t="shared" si="2"/>
        <v>1</v>
      </c>
      <c r="S71" s="18">
        <f t="shared" si="3"/>
        <v>45413</v>
      </c>
    </row>
    <row r="72" spans="1:19" x14ac:dyDescent="0.25">
      <c r="A72" s="3" t="s">
        <v>825</v>
      </c>
      <c r="B72" s="4" t="s">
        <v>54</v>
      </c>
      <c r="C72" s="14">
        <v>44901</v>
      </c>
      <c r="D72" s="4" t="s">
        <v>653</v>
      </c>
      <c r="E72" s="4" t="s">
        <v>827</v>
      </c>
      <c r="F72" s="4">
        <v>29.99</v>
      </c>
      <c r="G72" s="4">
        <v>3</v>
      </c>
      <c r="H72" s="4">
        <v>0</v>
      </c>
      <c r="I72" s="4">
        <v>29.99</v>
      </c>
      <c r="J72" s="4">
        <v>89.97</v>
      </c>
      <c r="K72" s="4" t="s">
        <v>675</v>
      </c>
      <c r="L72" s="4" t="s">
        <v>656</v>
      </c>
      <c r="M72" s="5">
        <v>5</v>
      </c>
      <c r="N72">
        <f>VLOOKUP(B72,Customers!A:J,7,0)</f>
        <v>21</v>
      </c>
      <c r="O72" t="str">
        <f>VLOOKUP(B72,Customers!A:J,5,0)</f>
        <v>San Antonio</v>
      </c>
      <c r="P72" t="str">
        <f>VLOOKUP(B72,Customers!A:J,10,0)</f>
        <v>Free</v>
      </c>
      <c r="Q72" t="str">
        <f>VLOOKUP(B72,Customers!A:J,8,0)</f>
        <v>Female</v>
      </c>
      <c r="R72" t="b">
        <f t="shared" si="2"/>
        <v>1</v>
      </c>
      <c r="S72" s="18">
        <f t="shared" si="3"/>
        <v>44896</v>
      </c>
    </row>
    <row r="73" spans="1:19" x14ac:dyDescent="0.25">
      <c r="A73" s="6" t="s">
        <v>828</v>
      </c>
      <c r="B73" s="7" t="s">
        <v>54</v>
      </c>
      <c r="C73" s="15">
        <v>44878</v>
      </c>
      <c r="D73" s="7" t="s">
        <v>653</v>
      </c>
      <c r="E73" s="7" t="s">
        <v>827</v>
      </c>
      <c r="F73" s="7">
        <v>29.99</v>
      </c>
      <c r="G73" s="7">
        <v>3</v>
      </c>
      <c r="H73" s="7">
        <v>0</v>
      </c>
      <c r="I73" s="7">
        <v>29.99</v>
      </c>
      <c r="J73" s="7">
        <v>89.97</v>
      </c>
      <c r="K73" s="7" t="s">
        <v>675</v>
      </c>
      <c r="L73" s="7" t="s">
        <v>656</v>
      </c>
      <c r="M73" s="8"/>
      <c r="N73">
        <f>VLOOKUP(B73,Customers!A:J,7,0)</f>
        <v>21</v>
      </c>
      <c r="O73" t="str">
        <f>VLOOKUP(B73,Customers!A:J,5,0)</f>
        <v>San Antonio</v>
      </c>
      <c r="P73" t="str">
        <f>VLOOKUP(B73,Customers!A:J,10,0)</f>
        <v>Free</v>
      </c>
      <c r="Q73" t="str">
        <f>VLOOKUP(B73,Customers!A:J,8,0)</f>
        <v>Female</v>
      </c>
      <c r="R73" t="b">
        <f t="shared" si="2"/>
        <v>1</v>
      </c>
      <c r="S73" s="18">
        <f t="shared" si="3"/>
        <v>44866</v>
      </c>
    </row>
    <row r="74" spans="1:19" x14ac:dyDescent="0.25">
      <c r="A74" s="3" t="s">
        <v>829</v>
      </c>
      <c r="B74" s="4" t="s">
        <v>59</v>
      </c>
      <c r="C74" s="14">
        <v>44706</v>
      </c>
      <c r="D74" s="4" t="s">
        <v>659</v>
      </c>
      <c r="E74" s="4" t="s">
        <v>664</v>
      </c>
      <c r="F74" s="4">
        <v>24.99</v>
      </c>
      <c r="G74" s="4">
        <v>1</v>
      </c>
      <c r="H74" s="4">
        <v>15</v>
      </c>
      <c r="I74" s="4">
        <v>21.24</v>
      </c>
      <c r="J74" s="4">
        <v>21.24</v>
      </c>
      <c r="K74" s="4" t="s">
        <v>682</v>
      </c>
      <c r="L74" s="4" t="s">
        <v>656</v>
      </c>
      <c r="M74" s="5">
        <v>4</v>
      </c>
      <c r="N74">
        <f>VLOOKUP(B74,Customers!A:J,7,0)</f>
        <v>54</v>
      </c>
      <c r="O74" t="str">
        <f>VLOOKUP(B74,Customers!A:J,5,0)</f>
        <v>Philadelphia</v>
      </c>
      <c r="P74" t="str">
        <f>VLOOKUP(B74,Customers!A:J,10,0)</f>
        <v>Silver</v>
      </c>
      <c r="Q74" t="str">
        <f>VLOOKUP(B74,Customers!A:J,8,0)</f>
        <v>Female</v>
      </c>
      <c r="R74" t="b">
        <f t="shared" si="2"/>
        <v>1</v>
      </c>
      <c r="S74" s="18">
        <f t="shared" si="3"/>
        <v>44682</v>
      </c>
    </row>
    <row r="75" spans="1:19" x14ac:dyDescent="0.25">
      <c r="A75" s="6" t="s">
        <v>831</v>
      </c>
      <c r="B75" s="7" t="s">
        <v>59</v>
      </c>
      <c r="C75" s="15">
        <v>45005</v>
      </c>
      <c r="D75" s="7" t="s">
        <v>710</v>
      </c>
      <c r="E75" s="7" t="s">
        <v>711</v>
      </c>
      <c r="F75" s="7">
        <v>14.99</v>
      </c>
      <c r="G75" s="7">
        <v>4</v>
      </c>
      <c r="H75" s="7">
        <v>20</v>
      </c>
      <c r="I75" s="7">
        <v>11.99</v>
      </c>
      <c r="J75" s="7">
        <v>47.96</v>
      </c>
      <c r="K75" s="7" t="s">
        <v>661</v>
      </c>
      <c r="L75" s="7" t="s">
        <v>656</v>
      </c>
      <c r="M75" s="8">
        <v>4</v>
      </c>
      <c r="N75">
        <f>VLOOKUP(B75,Customers!A:J,7,0)</f>
        <v>54</v>
      </c>
      <c r="O75" t="str">
        <f>VLOOKUP(B75,Customers!A:J,5,0)</f>
        <v>Philadelphia</v>
      </c>
      <c r="P75" t="str">
        <f>VLOOKUP(B75,Customers!A:J,10,0)</f>
        <v>Silver</v>
      </c>
      <c r="Q75" t="str">
        <f>VLOOKUP(B75,Customers!A:J,8,0)</f>
        <v>Female</v>
      </c>
      <c r="R75" t="b">
        <f t="shared" si="2"/>
        <v>1</v>
      </c>
      <c r="S75" s="18">
        <f t="shared" si="3"/>
        <v>44986</v>
      </c>
    </row>
    <row r="76" spans="1:19" x14ac:dyDescent="0.25">
      <c r="A76" s="3" t="s">
        <v>833</v>
      </c>
      <c r="B76" s="4" t="s">
        <v>59</v>
      </c>
      <c r="C76" s="14">
        <v>45020</v>
      </c>
      <c r="D76" s="4" t="s">
        <v>659</v>
      </c>
      <c r="E76" s="4" t="s">
        <v>660</v>
      </c>
      <c r="F76" s="4">
        <v>19.989999999999998</v>
      </c>
      <c r="G76" s="4">
        <v>1</v>
      </c>
      <c r="H76" s="4">
        <v>15</v>
      </c>
      <c r="I76" s="4">
        <v>16.989999999999998</v>
      </c>
      <c r="J76" s="4">
        <v>16.989999999999998</v>
      </c>
      <c r="K76" s="4" t="s">
        <v>675</v>
      </c>
      <c r="L76" s="4" t="s">
        <v>656</v>
      </c>
      <c r="M76" s="5">
        <v>4</v>
      </c>
      <c r="N76">
        <f>VLOOKUP(B76,Customers!A:J,7,0)</f>
        <v>54</v>
      </c>
      <c r="O76" t="str">
        <f>VLOOKUP(B76,Customers!A:J,5,0)</f>
        <v>Philadelphia</v>
      </c>
      <c r="P76" t="str">
        <f>VLOOKUP(B76,Customers!A:J,10,0)</f>
        <v>Silver</v>
      </c>
      <c r="Q76" t="str">
        <f>VLOOKUP(B76,Customers!A:J,8,0)</f>
        <v>Female</v>
      </c>
      <c r="R76" t="b">
        <f t="shared" si="2"/>
        <v>1</v>
      </c>
      <c r="S76" s="18">
        <f t="shared" si="3"/>
        <v>45017</v>
      </c>
    </row>
    <row r="77" spans="1:19" x14ac:dyDescent="0.25">
      <c r="A77" s="6" t="s">
        <v>835</v>
      </c>
      <c r="B77" s="7" t="s">
        <v>59</v>
      </c>
      <c r="C77" s="15">
        <v>45311</v>
      </c>
      <c r="D77" s="7" t="s">
        <v>659</v>
      </c>
      <c r="E77" s="7" t="s">
        <v>820</v>
      </c>
      <c r="F77" s="7">
        <v>39.99</v>
      </c>
      <c r="G77" s="7">
        <v>4</v>
      </c>
      <c r="H77" s="7">
        <v>20</v>
      </c>
      <c r="I77" s="7">
        <v>31.99</v>
      </c>
      <c r="J77" s="7">
        <v>127.96</v>
      </c>
      <c r="K77" s="7" t="s">
        <v>675</v>
      </c>
      <c r="L77" s="7" t="s">
        <v>788</v>
      </c>
      <c r="M77" s="8">
        <v>5</v>
      </c>
      <c r="N77">
        <f>VLOOKUP(B77,Customers!A:J,7,0)</f>
        <v>54</v>
      </c>
      <c r="O77" t="str">
        <f>VLOOKUP(B77,Customers!A:J,5,0)</f>
        <v>Philadelphia</v>
      </c>
      <c r="P77" t="str">
        <f>VLOOKUP(B77,Customers!A:J,10,0)</f>
        <v>Silver</v>
      </c>
      <c r="Q77" t="str">
        <f>VLOOKUP(B77,Customers!A:J,8,0)</f>
        <v>Female</v>
      </c>
      <c r="R77" t="b">
        <f t="shared" si="2"/>
        <v>1</v>
      </c>
      <c r="S77" s="18">
        <f t="shared" si="3"/>
        <v>45292</v>
      </c>
    </row>
    <row r="78" spans="1:19" x14ac:dyDescent="0.25">
      <c r="A78" s="3" t="s">
        <v>837</v>
      </c>
      <c r="B78" s="4" t="s">
        <v>59</v>
      </c>
      <c r="C78" s="14">
        <v>45099</v>
      </c>
      <c r="D78" s="4" t="s">
        <v>667</v>
      </c>
      <c r="E78" s="4" t="s">
        <v>668</v>
      </c>
      <c r="F78" s="4">
        <v>64.989999999999995</v>
      </c>
      <c r="G78" s="4">
        <v>1</v>
      </c>
      <c r="H78" s="4">
        <v>0</v>
      </c>
      <c r="I78" s="4">
        <v>64.989999999999995</v>
      </c>
      <c r="J78" s="4">
        <v>64.989999999999995</v>
      </c>
      <c r="K78" s="4" t="s">
        <v>655</v>
      </c>
      <c r="L78" s="4" t="s">
        <v>785</v>
      </c>
      <c r="M78" s="5">
        <v>4</v>
      </c>
      <c r="N78">
        <f>VLOOKUP(B78,Customers!A:J,7,0)</f>
        <v>54</v>
      </c>
      <c r="O78" t="str">
        <f>VLOOKUP(B78,Customers!A:J,5,0)</f>
        <v>Philadelphia</v>
      </c>
      <c r="P78" t="str">
        <f>VLOOKUP(B78,Customers!A:J,10,0)</f>
        <v>Silver</v>
      </c>
      <c r="Q78" t="str">
        <f>VLOOKUP(B78,Customers!A:J,8,0)</f>
        <v>Female</v>
      </c>
      <c r="R78" t="b">
        <f t="shared" si="2"/>
        <v>1</v>
      </c>
      <c r="S78" s="18">
        <f t="shared" si="3"/>
        <v>45078</v>
      </c>
    </row>
    <row r="79" spans="1:19" x14ac:dyDescent="0.25">
      <c r="A79" s="6" t="s">
        <v>839</v>
      </c>
      <c r="B79" s="7" t="s">
        <v>59</v>
      </c>
      <c r="C79" s="15">
        <v>44605</v>
      </c>
      <c r="D79" s="7" t="s">
        <v>710</v>
      </c>
      <c r="E79" s="7" t="s">
        <v>721</v>
      </c>
      <c r="F79" s="7">
        <v>24.99</v>
      </c>
      <c r="G79" s="7">
        <v>2</v>
      </c>
      <c r="H79" s="7">
        <v>0</v>
      </c>
      <c r="I79" s="7">
        <v>24.99</v>
      </c>
      <c r="J79" s="7">
        <v>49.98</v>
      </c>
      <c r="K79" s="7" t="s">
        <v>675</v>
      </c>
      <c r="L79" s="7" t="s">
        <v>656</v>
      </c>
      <c r="M79" s="8">
        <v>5</v>
      </c>
      <c r="N79">
        <f>VLOOKUP(B79,Customers!A:J,7,0)</f>
        <v>54</v>
      </c>
      <c r="O79" t="str">
        <f>VLOOKUP(B79,Customers!A:J,5,0)</f>
        <v>Philadelphia</v>
      </c>
      <c r="P79" t="str">
        <f>VLOOKUP(B79,Customers!A:J,10,0)</f>
        <v>Silver</v>
      </c>
      <c r="Q79" t="str">
        <f>VLOOKUP(B79,Customers!A:J,8,0)</f>
        <v>Female</v>
      </c>
      <c r="R79" t="b">
        <f t="shared" si="2"/>
        <v>1</v>
      </c>
      <c r="S79" s="18">
        <f t="shared" si="3"/>
        <v>44593</v>
      </c>
    </row>
    <row r="80" spans="1:19" x14ac:dyDescent="0.25">
      <c r="A80" s="3" t="s">
        <v>841</v>
      </c>
      <c r="B80" s="4" t="s">
        <v>59</v>
      </c>
      <c r="C80" s="14">
        <v>45131</v>
      </c>
      <c r="D80" s="4" t="s">
        <v>659</v>
      </c>
      <c r="E80" s="4" t="s">
        <v>762</v>
      </c>
      <c r="F80" s="4">
        <v>49.99</v>
      </c>
      <c r="G80" s="4">
        <v>3</v>
      </c>
      <c r="H80" s="4">
        <v>0</v>
      </c>
      <c r="I80" s="4">
        <v>49.99</v>
      </c>
      <c r="J80" s="4">
        <v>149.97</v>
      </c>
      <c r="K80" s="4" t="s">
        <v>661</v>
      </c>
      <c r="L80" s="4" t="s">
        <v>656</v>
      </c>
      <c r="M80" s="5">
        <v>5</v>
      </c>
      <c r="N80">
        <f>VLOOKUP(B80,Customers!A:J,7,0)</f>
        <v>54</v>
      </c>
      <c r="O80" t="str">
        <f>VLOOKUP(B80,Customers!A:J,5,0)</f>
        <v>Philadelphia</v>
      </c>
      <c r="P80" t="str">
        <f>VLOOKUP(B80,Customers!A:J,10,0)</f>
        <v>Silver</v>
      </c>
      <c r="Q80" t="str">
        <f>VLOOKUP(B80,Customers!A:J,8,0)</f>
        <v>Female</v>
      </c>
      <c r="R80" t="b">
        <f t="shared" si="2"/>
        <v>1</v>
      </c>
      <c r="S80" s="18">
        <f t="shared" si="3"/>
        <v>45108</v>
      </c>
    </row>
    <row r="81" spans="1:19" x14ac:dyDescent="0.25">
      <c r="A81" s="6" t="s">
        <v>842</v>
      </c>
      <c r="B81" s="7" t="s">
        <v>59</v>
      </c>
      <c r="C81" s="15">
        <v>45104</v>
      </c>
      <c r="D81" s="7" t="s">
        <v>684</v>
      </c>
      <c r="E81" s="7" t="s">
        <v>815</v>
      </c>
      <c r="F81" s="7">
        <v>34.99</v>
      </c>
      <c r="G81" s="7">
        <v>2</v>
      </c>
      <c r="H81" s="7">
        <v>0</v>
      </c>
      <c r="I81" s="7">
        <v>34.99</v>
      </c>
      <c r="J81" s="7">
        <v>69.98</v>
      </c>
      <c r="K81" s="7" t="s">
        <v>655</v>
      </c>
      <c r="L81" s="7" t="s">
        <v>656</v>
      </c>
      <c r="M81" s="8">
        <v>3</v>
      </c>
      <c r="N81">
        <f>VLOOKUP(B81,Customers!A:J,7,0)</f>
        <v>54</v>
      </c>
      <c r="O81" t="str">
        <f>VLOOKUP(B81,Customers!A:J,5,0)</f>
        <v>Philadelphia</v>
      </c>
      <c r="P81" t="str">
        <f>VLOOKUP(B81,Customers!A:J,10,0)</f>
        <v>Silver</v>
      </c>
      <c r="Q81" t="str">
        <f>VLOOKUP(B81,Customers!A:J,8,0)</f>
        <v>Female</v>
      </c>
      <c r="R81" t="b">
        <f t="shared" si="2"/>
        <v>1</v>
      </c>
      <c r="S81" s="18">
        <f t="shared" si="3"/>
        <v>45078</v>
      </c>
    </row>
    <row r="82" spans="1:19" x14ac:dyDescent="0.25">
      <c r="A82" s="3" t="s">
        <v>844</v>
      </c>
      <c r="B82" s="4" t="s">
        <v>59</v>
      </c>
      <c r="C82" s="14">
        <v>44664</v>
      </c>
      <c r="D82" s="4" t="s">
        <v>667</v>
      </c>
      <c r="E82" s="4" t="s">
        <v>696</v>
      </c>
      <c r="F82" s="4">
        <v>59.99</v>
      </c>
      <c r="G82" s="4">
        <v>1</v>
      </c>
      <c r="H82" s="4">
        <v>15</v>
      </c>
      <c r="I82" s="4">
        <v>50.99</v>
      </c>
      <c r="J82" s="4">
        <v>50.99</v>
      </c>
      <c r="K82" s="4" t="s">
        <v>661</v>
      </c>
      <c r="L82" s="4" t="s">
        <v>656</v>
      </c>
      <c r="M82" s="5">
        <v>4</v>
      </c>
      <c r="N82">
        <f>VLOOKUP(B82,Customers!A:J,7,0)</f>
        <v>54</v>
      </c>
      <c r="O82" t="str">
        <f>VLOOKUP(B82,Customers!A:J,5,0)</f>
        <v>Philadelphia</v>
      </c>
      <c r="P82" t="str">
        <f>VLOOKUP(B82,Customers!A:J,10,0)</f>
        <v>Silver</v>
      </c>
      <c r="Q82" t="str">
        <f>VLOOKUP(B82,Customers!A:J,8,0)</f>
        <v>Female</v>
      </c>
      <c r="R82" t="b">
        <f t="shared" si="2"/>
        <v>1</v>
      </c>
      <c r="S82" s="18">
        <f t="shared" si="3"/>
        <v>44652</v>
      </c>
    </row>
    <row r="83" spans="1:19" x14ac:dyDescent="0.25">
      <c r="A83" s="6" t="s">
        <v>846</v>
      </c>
      <c r="B83" s="7" t="s">
        <v>59</v>
      </c>
      <c r="C83" s="15">
        <v>45613</v>
      </c>
      <c r="D83" s="7" t="s">
        <v>710</v>
      </c>
      <c r="E83" s="7" t="s">
        <v>721</v>
      </c>
      <c r="F83" s="7">
        <v>24.99</v>
      </c>
      <c r="G83" s="7">
        <v>3</v>
      </c>
      <c r="H83" s="7">
        <v>20</v>
      </c>
      <c r="I83" s="7">
        <v>19.989999999999998</v>
      </c>
      <c r="J83" s="7">
        <v>59.97</v>
      </c>
      <c r="K83" s="7" t="s">
        <v>675</v>
      </c>
      <c r="L83" s="7" t="s">
        <v>656</v>
      </c>
      <c r="M83" s="8">
        <v>5</v>
      </c>
      <c r="N83">
        <f>VLOOKUP(B83,Customers!A:J,7,0)</f>
        <v>54</v>
      </c>
      <c r="O83" t="str">
        <f>VLOOKUP(B83,Customers!A:J,5,0)</f>
        <v>Philadelphia</v>
      </c>
      <c r="P83" t="str">
        <f>VLOOKUP(B83,Customers!A:J,10,0)</f>
        <v>Silver</v>
      </c>
      <c r="Q83" t="str">
        <f>VLOOKUP(B83,Customers!A:J,8,0)</f>
        <v>Female</v>
      </c>
      <c r="R83" t="b">
        <f t="shared" si="2"/>
        <v>1</v>
      </c>
      <c r="S83" s="18">
        <f t="shared" si="3"/>
        <v>45597</v>
      </c>
    </row>
    <row r="84" spans="1:19" x14ac:dyDescent="0.25">
      <c r="A84" s="3" t="s">
        <v>848</v>
      </c>
      <c r="B84" s="4" t="s">
        <v>59</v>
      </c>
      <c r="C84" s="14">
        <v>45018</v>
      </c>
      <c r="D84" s="4" t="s">
        <v>667</v>
      </c>
      <c r="E84" s="4" t="s">
        <v>699</v>
      </c>
      <c r="F84" s="4">
        <v>89.99</v>
      </c>
      <c r="G84" s="4">
        <v>3</v>
      </c>
      <c r="H84" s="4">
        <v>5</v>
      </c>
      <c r="I84" s="4">
        <v>85.49</v>
      </c>
      <c r="J84" s="4">
        <v>256.47000000000003</v>
      </c>
      <c r="K84" s="4" t="s">
        <v>675</v>
      </c>
      <c r="L84" s="4" t="s">
        <v>656</v>
      </c>
      <c r="M84" s="5">
        <v>5</v>
      </c>
      <c r="N84">
        <f>VLOOKUP(B84,Customers!A:J,7,0)</f>
        <v>54</v>
      </c>
      <c r="O84" t="str">
        <f>VLOOKUP(B84,Customers!A:J,5,0)</f>
        <v>Philadelphia</v>
      </c>
      <c r="P84" t="str">
        <f>VLOOKUP(B84,Customers!A:J,10,0)</f>
        <v>Silver</v>
      </c>
      <c r="Q84" t="str">
        <f>VLOOKUP(B84,Customers!A:J,8,0)</f>
        <v>Female</v>
      </c>
      <c r="R84" t="b">
        <f t="shared" si="2"/>
        <v>1</v>
      </c>
      <c r="S84" s="18">
        <f t="shared" si="3"/>
        <v>45017</v>
      </c>
    </row>
    <row r="85" spans="1:19" x14ac:dyDescent="0.25">
      <c r="A85" s="6" t="s">
        <v>849</v>
      </c>
      <c r="B85" s="7" t="s">
        <v>59</v>
      </c>
      <c r="C85" s="15">
        <v>45491</v>
      </c>
      <c r="D85" s="7" t="s">
        <v>672</v>
      </c>
      <c r="E85" s="7" t="s">
        <v>724</v>
      </c>
      <c r="F85" s="7">
        <v>89.99</v>
      </c>
      <c r="G85" s="7">
        <v>3</v>
      </c>
      <c r="H85" s="7">
        <v>5</v>
      </c>
      <c r="I85" s="7">
        <v>85.49</v>
      </c>
      <c r="J85" s="7">
        <v>256.47000000000003</v>
      </c>
      <c r="K85" s="7" t="s">
        <v>655</v>
      </c>
      <c r="L85" s="7" t="s">
        <v>656</v>
      </c>
      <c r="M85" s="8">
        <v>5</v>
      </c>
      <c r="N85">
        <f>VLOOKUP(B85,Customers!A:J,7,0)</f>
        <v>54</v>
      </c>
      <c r="O85" t="str">
        <f>VLOOKUP(B85,Customers!A:J,5,0)</f>
        <v>Philadelphia</v>
      </c>
      <c r="P85" t="str">
        <f>VLOOKUP(B85,Customers!A:J,10,0)</f>
        <v>Silver</v>
      </c>
      <c r="Q85" t="str">
        <f>VLOOKUP(B85,Customers!A:J,8,0)</f>
        <v>Female</v>
      </c>
      <c r="R85" t="b">
        <f t="shared" si="2"/>
        <v>1</v>
      </c>
      <c r="S85" s="18">
        <f t="shared" si="3"/>
        <v>45474</v>
      </c>
    </row>
    <row r="86" spans="1:19" x14ac:dyDescent="0.25">
      <c r="A86" s="3" t="s">
        <v>851</v>
      </c>
      <c r="B86" s="4" t="s">
        <v>59</v>
      </c>
      <c r="C86" s="14">
        <v>44914</v>
      </c>
      <c r="D86" s="4" t="s">
        <v>653</v>
      </c>
      <c r="E86" s="4" t="s">
        <v>654</v>
      </c>
      <c r="F86" s="4">
        <v>39.99</v>
      </c>
      <c r="G86" s="4">
        <v>4</v>
      </c>
      <c r="H86" s="4">
        <v>0</v>
      </c>
      <c r="I86" s="4">
        <v>39.99</v>
      </c>
      <c r="J86" s="4">
        <v>159.96</v>
      </c>
      <c r="K86" s="4" t="s">
        <v>669</v>
      </c>
      <c r="L86" s="4" t="s">
        <v>656</v>
      </c>
      <c r="M86" s="5"/>
      <c r="N86">
        <f>VLOOKUP(B86,Customers!A:J,7,0)</f>
        <v>54</v>
      </c>
      <c r="O86" t="str">
        <f>VLOOKUP(B86,Customers!A:J,5,0)</f>
        <v>Philadelphia</v>
      </c>
      <c r="P86" t="str">
        <f>VLOOKUP(B86,Customers!A:J,10,0)</f>
        <v>Silver</v>
      </c>
      <c r="Q86" t="str">
        <f>VLOOKUP(B86,Customers!A:J,8,0)</f>
        <v>Female</v>
      </c>
      <c r="R86" t="b">
        <f t="shared" si="2"/>
        <v>1</v>
      </c>
      <c r="S86" s="18">
        <f t="shared" si="3"/>
        <v>44896</v>
      </c>
    </row>
    <row r="87" spans="1:19" x14ac:dyDescent="0.25">
      <c r="A87" s="6" t="s">
        <v>853</v>
      </c>
      <c r="B87" s="7" t="s">
        <v>59</v>
      </c>
      <c r="C87" s="15">
        <v>45424</v>
      </c>
      <c r="D87" s="7" t="s">
        <v>684</v>
      </c>
      <c r="E87" s="7" t="s">
        <v>702</v>
      </c>
      <c r="F87" s="7">
        <v>199.99</v>
      </c>
      <c r="G87" s="7">
        <v>4</v>
      </c>
      <c r="H87" s="7">
        <v>10</v>
      </c>
      <c r="I87" s="7">
        <v>179.99</v>
      </c>
      <c r="J87" s="7">
        <v>719.96</v>
      </c>
      <c r="K87" s="7" t="s">
        <v>682</v>
      </c>
      <c r="L87" s="7" t="s">
        <v>656</v>
      </c>
      <c r="M87" s="8">
        <v>4</v>
      </c>
      <c r="N87">
        <f>VLOOKUP(B87,Customers!A:J,7,0)</f>
        <v>54</v>
      </c>
      <c r="O87" t="str">
        <f>VLOOKUP(B87,Customers!A:J,5,0)</f>
        <v>Philadelphia</v>
      </c>
      <c r="P87" t="str">
        <f>VLOOKUP(B87,Customers!A:J,10,0)</f>
        <v>Silver</v>
      </c>
      <c r="Q87" t="str">
        <f>VLOOKUP(B87,Customers!A:J,8,0)</f>
        <v>Female</v>
      </c>
      <c r="R87" t="b">
        <f t="shared" si="2"/>
        <v>1</v>
      </c>
      <c r="S87" s="18">
        <f t="shared" si="3"/>
        <v>45413</v>
      </c>
    </row>
    <row r="88" spans="1:19" x14ac:dyDescent="0.25">
      <c r="A88" s="3" t="s">
        <v>855</v>
      </c>
      <c r="B88" s="4" t="s">
        <v>65</v>
      </c>
      <c r="C88" s="14">
        <v>44700</v>
      </c>
      <c r="D88" s="4" t="s">
        <v>653</v>
      </c>
      <c r="E88" s="4" t="s">
        <v>827</v>
      </c>
      <c r="F88" s="4">
        <v>29.99</v>
      </c>
      <c r="G88" s="4">
        <v>1</v>
      </c>
      <c r="H88" s="4">
        <v>20</v>
      </c>
      <c r="I88" s="4">
        <v>23.99</v>
      </c>
      <c r="J88" s="4">
        <v>23.99</v>
      </c>
      <c r="K88" s="4" t="s">
        <v>682</v>
      </c>
      <c r="L88" s="4" t="s">
        <v>656</v>
      </c>
      <c r="M88" s="5">
        <v>5</v>
      </c>
      <c r="N88">
        <f>VLOOKUP(B88,Customers!A:J,7,0)</f>
        <v>23</v>
      </c>
      <c r="O88" t="str">
        <f>VLOOKUP(B88,Customers!A:J,5,0)</f>
        <v>Jacksonville</v>
      </c>
      <c r="P88" t="str">
        <f>VLOOKUP(B88,Customers!A:J,10,0)</f>
        <v>Free</v>
      </c>
      <c r="Q88" t="str">
        <f>VLOOKUP(B88,Customers!A:J,8,0)</f>
        <v>Male</v>
      </c>
      <c r="R88" t="b">
        <f t="shared" si="2"/>
        <v>1</v>
      </c>
      <c r="S88" s="18">
        <f t="shared" si="3"/>
        <v>44682</v>
      </c>
    </row>
    <row r="89" spans="1:19" x14ac:dyDescent="0.25">
      <c r="A89" s="6" t="s">
        <v>857</v>
      </c>
      <c r="B89" s="7" t="s">
        <v>65</v>
      </c>
      <c r="C89" s="15">
        <v>45578</v>
      </c>
      <c r="D89" s="7" t="s">
        <v>667</v>
      </c>
      <c r="E89" s="7" t="s">
        <v>699</v>
      </c>
      <c r="F89" s="7">
        <v>89.99</v>
      </c>
      <c r="G89" s="7">
        <v>3</v>
      </c>
      <c r="H89" s="7">
        <v>0</v>
      </c>
      <c r="I89" s="7">
        <v>89.99</v>
      </c>
      <c r="J89" s="7">
        <v>269.97000000000003</v>
      </c>
      <c r="K89" s="7" t="s">
        <v>655</v>
      </c>
      <c r="L89" s="7" t="s">
        <v>656</v>
      </c>
      <c r="M89" s="8">
        <v>3</v>
      </c>
      <c r="N89">
        <f>VLOOKUP(B89,Customers!A:J,7,0)</f>
        <v>23</v>
      </c>
      <c r="O89" t="str">
        <f>VLOOKUP(B89,Customers!A:J,5,0)</f>
        <v>Jacksonville</v>
      </c>
      <c r="P89" t="str">
        <f>VLOOKUP(B89,Customers!A:J,10,0)</f>
        <v>Free</v>
      </c>
      <c r="Q89" t="str">
        <f>VLOOKUP(B89,Customers!A:J,8,0)</f>
        <v>Male</v>
      </c>
      <c r="R89" t="b">
        <f t="shared" si="2"/>
        <v>1</v>
      </c>
      <c r="S89" s="18">
        <f t="shared" si="3"/>
        <v>45566</v>
      </c>
    </row>
    <row r="90" spans="1:19" x14ac:dyDescent="0.25">
      <c r="A90" s="3" t="s">
        <v>859</v>
      </c>
      <c r="B90" s="4" t="s">
        <v>65</v>
      </c>
      <c r="C90" s="14">
        <v>44835</v>
      </c>
      <c r="D90" s="4" t="s">
        <v>684</v>
      </c>
      <c r="E90" s="4" t="s">
        <v>685</v>
      </c>
      <c r="F90" s="4">
        <v>49.99</v>
      </c>
      <c r="G90" s="4">
        <v>2</v>
      </c>
      <c r="H90" s="4">
        <v>5</v>
      </c>
      <c r="I90" s="4">
        <v>47.49</v>
      </c>
      <c r="J90" s="4">
        <v>94.98</v>
      </c>
      <c r="K90" s="4" t="s">
        <v>675</v>
      </c>
      <c r="L90" s="4" t="s">
        <v>656</v>
      </c>
      <c r="M90" s="5">
        <v>2</v>
      </c>
      <c r="N90">
        <f>VLOOKUP(B90,Customers!A:J,7,0)</f>
        <v>23</v>
      </c>
      <c r="O90" t="str">
        <f>VLOOKUP(B90,Customers!A:J,5,0)</f>
        <v>Jacksonville</v>
      </c>
      <c r="P90" t="str">
        <f>VLOOKUP(B90,Customers!A:J,10,0)</f>
        <v>Free</v>
      </c>
      <c r="Q90" t="str">
        <f>VLOOKUP(B90,Customers!A:J,8,0)</f>
        <v>Male</v>
      </c>
      <c r="R90" t="b">
        <f t="shared" si="2"/>
        <v>1</v>
      </c>
      <c r="S90" s="18">
        <f t="shared" si="3"/>
        <v>44835</v>
      </c>
    </row>
    <row r="91" spans="1:19" x14ac:dyDescent="0.25">
      <c r="A91" s="6" t="s">
        <v>861</v>
      </c>
      <c r="B91" s="7" t="s">
        <v>65</v>
      </c>
      <c r="C91" s="15">
        <v>45063</v>
      </c>
      <c r="D91" s="7" t="s">
        <v>710</v>
      </c>
      <c r="E91" s="7" t="s">
        <v>744</v>
      </c>
      <c r="F91" s="7">
        <v>29.99</v>
      </c>
      <c r="G91" s="7">
        <v>3</v>
      </c>
      <c r="H91" s="7">
        <v>0</v>
      </c>
      <c r="I91" s="7">
        <v>29.99</v>
      </c>
      <c r="J91" s="7">
        <v>89.97</v>
      </c>
      <c r="K91" s="7" t="s">
        <v>655</v>
      </c>
      <c r="L91" s="7" t="s">
        <v>656</v>
      </c>
      <c r="M91" s="8">
        <v>3</v>
      </c>
      <c r="N91">
        <f>VLOOKUP(B91,Customers!A:J,7,0)</f>
        <v>23</v>
      </c>
      <c r="O91" t="str">
        <f>VLOOKUP(B91,Customers!A:J,5,0)</f>
        <v>Jacksonville</v>
      </c>
      <c r="P91" t="str">
        <f>VLOOKUP(B91,Customers!A:J,10,0)</f>
        <v>Free</v>
      </c>
      <c r="Q91" t="str">
        <f>VLOOKUP(B91,Customers!A:J,8,0)</f>
        <v>Male</v>
      </c>
      <c r="R91" t="b">
        <f t="shared" si="2"/>
        <v>1</v>
      </c>
      <c r="S91" s="18">
        <f t="shared" si="3"/>
        <v>45047</v>
      </c>
    </row>
    <row r="92" spans="1:19" x14ac:dyDescent="0.25">
      <c r="A92" s="3" t="s">
        <v>863</v>
      </c>
      <c r="B92" s="4" t="s">
        <v>65</v>
      </c>
      <c r="C92" s="14">
        <v>44942</v>
      </c>
      <c r="D92" s="4" t="s">
        <v>659</v>
      </c>
      <c r="E92" s="4" t="s">
        <v>660</v>
      </c>
      <c r="F92" s="4">
        <v>19.989999999999998</v>
      </c>
      <c r="G92" s="4">
        <v>2</v>
      </c>
      <c r="H92" s="4">
        <v>5</v>
      </c>
      <c r="I92" s="4">
        <v>18.989999999999998</v>
      </c>
      <c r="J92" s="4">
        <v>37.979999999999997</v>
      </c>
      <c r="K92" s="4" t="s">
        <v>655</v>
      </c>
      <c r="L92" s="4" t="s">
        <v>656</v>
      </c>
      <c r="M92" s="5">
        <v>4</v>
      </c>
      <c r="N92">
        <f>VLOOKUP(B92,Customers!A:J,7,0)</f>
        <v>23</v>
      </c>
      <c r="O92" t="str">
        <f>VLOOKUP(B92,Customers!A:J,5,0)</f>
        <v>Jacksonville</v>
      </c>
      <c r="P92" t="str">
        <f>VLOOKUP(B92,Customers!A:J,10,0)</f>
        <v>Free</v>
      </c>
      <c r="Q92" t="str">
        <f>VLOOKUP(B92,Customers!A:J,8,0)</f>
        <v>Male</v>
      </c>
      <c r="R92" t="b">
        <f t="shared" si="2"/>
        <v>1</v>
      </c>
      <c r="S92" s="18">
        <f t="shared" si="3"/>
        <v>44927</v>
      </c>
    </row>
    <row r="93" spans="1:19" x14ac:dyDescent="0.25">
      <c r="A93" s="6" t="s">
        <v>865</v>
      </c>
      <c r="B93" s="7" t="s">
        <v>65</v>
      </c>
      <c r="C93" s="15">
        <v>45061</v>
      </c>
      <c r="D93" s="7" t="s">
        <v>659</v>
      </c>
      <c r="E93" s="7" t="s">
        <v>660</v>
      </c>
      <c r="F93" s="7">
        <v>19.989999999999998</v>
      </c>
      <c r="G93" s="7">
        <v>4</v>
      </c>
      <c r="H93" s="7">
        <v>10</v>
      </c>
      <c r="I93" s="7">
        <v>17.989999999999998</v>
      </c>
      <c r="J93" s="7">
        <v>71.959999999999994</v>
      </c>
      <c r="K93" s="7" t="s">
        <v>655</v>
      </c>
      <c r="L93" s="7" t="s">
        <v>656</v>
      </c>
      <c r="M93" s="8">
        <v>5</v>
      </c>
      <c r="N93">
        <f>VLOOKUP(B93,Customers!A:J,7,0)</f>
        <v>23</v>
      </c>
      <c r="O93" t="str">
        <f>VLOOKUP(B93,Customers!A:J,5,0)</f>
        <v>Jacksonville</v>
      </c>
      <c r="P93" t="str">
        <f>VLOOKUP(B93,Customers!A:J,10,0)</f>
        <v>Free</v>
      </c>
      <c r="Q93" t="str">
        <f>VLOOKUP(B93,Customers!A:J,8,0)</f>
        <v>Male</v>
      </c>
      <c r="R93" t="b">
        <f t="shared" si="2"/>
        <v>1</v>
      </c>
      <c r="S93" s="18">
        <f t="shared" si="3"/>
        <v>45047</v>
      </c>
    </row>
    <row r="94" spans="1:19" x14ac:dyDescent="0.25">
      <c r="A94" s="3" t="s">
        <v>867</v>
      </c>
      <c r="B94" s="4" t="s">
        <v>70</v>
      </c>
      <c r="C94" s="14">
        <v>45553</v>
      </c>
      <c r="D94" s="4" t="s">
        <v>710</v>
      </c>
      <c r="E94" s="4" t="s">
        <v>744</v>
      </c>
      <c r="F94" s="4">
        <v>29.99</v>
      </c>
      <c r="G94" s="4">
        <v>2</v>
      </c>
      <c r="H94" s="4">
        <v>5</v>
      </c>
      <c r="I94" s="4">
        <v>28.49</v>
      </c>
      <c r="J94" s="4">
        <v>56.98</v>
      </c>
      <c r="K94" s="4" t="s">
        <v>669</v>
      </c>
      <c r="L94" s="4" t="s">
        <v>656</v>
      </c>
      <c r="M94" s="5">
        <v>4</v>
      </c>
      <c r="N94">
        <f>VLOOKUP(B94,Customers!A:J,7,0)</f>
        <v>48</v>
      </c>
      <c r="O94" t="str">
        <f>VLOOKUP(B94,Customers!A:J,5,0)</f>
        <v>Philadelphia</v>
      </c>
      <c r="P94" t="str">
        <f>VLOOKUP(B94,Customers!A:J,10,0)</f>
        <v>Gold</v>
      </c>
      <c r="Q94" t="str">
        <f>VLOOKUP(B94,Customers!A:J,8,0)</f>
        <v>Male</v>
      </c>
      <c r="R94" t="b">
        <f t="shared" si="2"/>
        <v>1</v>
      </c>
      <c r="S94" s="18">
        <f t="shared" si="3"/>
        <v>45536</v>
      </c>
    </row>
    <row r="95" spans="1:19" x14ac:dyDescent="0.25">
      <c r="A95" s="6" t="s">
        <v>869</v>
      </c>
      <c r="B95" s="7" t="s">
        <v>70</v>
      </c>
      <c r="C95" s="15">
        <v>45635</v>
      </c>
      <c r="D95" s="7" t="s">
        <v>710</v>
      </c>
      <c r="E95" s="7" t="s">
        <v>744</v>
      </c>
      <c r="F95" s="7">
        <v>29.99</v>
      </c>
      <c r="G95" s="7">
        <v>3</v>
      </c>
      <c r="H95" s="7">
        <v>0</v>
      </c>
      <c r="I95" s="7">
        <v>29.99</v>
      </c>
      <c r="J95" s="7">
        <v>89.97</v>
      </c>
      <c r="K95" s="7" t="s">
        <v>655</v>
      </c>
      <c r="L95" s="7" t="s">
        <v>656</v>
      </c>
      <c r="M95" s="8">
        <v>3</v>
      </c>
      <c r="N95">
        <f>VLOOKUP(B95,Customers!A:J,7,0)</f>
        <v>48</v>
      </c>
      <c r="O95" t="str">
        <f>VLOOKUP(B95,Customers!A:J,5,0)</f>
        <v>Philadelphia</v>
      </c>
      <c r="P95" t="str">
        <f>VLOOKUP(B95,Customers!A:J,10,0)</f>
        <v>Gold</v>
      </c>
      <c r="Q95" t="str">
        <f>VLOOKUP(B95,Customers!A:J,8,0)</f>
        <v>Male</v>
      </c>
      <c r="R95" t="b">
        <f t="shared" si="2"/>
        <v>1</v>
      </c>
      <c r="S95" s="18">
        <f t="shared" si="3"/>
        <v>45627</v>
      </c>
    </row>
    <row r="96" spans="1:19" x14ac:dyDescent="0.25">
      <c r="A96" s="3" t="s">
        <v>871</v>
      </c>
      <c r="B96" s="4" t="s">
        <v>70</v>
      </c>
      <c r="C96" s="14">
        <v>45189</v>
      </c>
      <c r="D96" s="4" t="s">
        <v>667</v>
      </c>
      <c r="E96" s="4" t="s">
        <v>714</v>
      </c>
      <c r="F96" s="4">
        <v>44.99</v>
      </c>
      <c r="G96" s="4">
        <v>2</v>
      </c>
      <c r="H96" s="4">
        <v>15</v>
      </c>
      <c r="I96" s="4">
        <v>38.24</v>
      </c>
      <c r="J96" s="4">
        <v>76.48</v>
      </c>
      <c r="K96" s="4" t="s">
        <v>655</v>
      </c>
      <c r="L96" s="4" t="s">
        <v>656</v>
      </c>
      <c r="M96" s="5">
        <v>3</v>
      </c>
      <c r="N96">
        <f>VLOOKUP(B96,Customers!A:J,7,0)</f>
        <v>48</v>
      </c>
      <c r="O96" t="str">
        <f>VLOOKUP(B96,Customers!A:J,5,0)</f>
        <v>Philadelphia</v>
      </c>
      <c r="P96" t="str">
        <f>VLOOKUP(B96,Customers!A:J,10,0)</f>
        <v>Gold</v>
      </c>
      <c r="Q96" t="str">
        <f>VLOOKUP(B96,Customers!A:J,8,0)</f>
        <v>Male</v>
      </c>
      <c r="R96" t="b">
        <f t="shared" si="2"/>
        <v>1</v>
      </c>
      <c r="S96" s="18">
        <f t="shared" si="3"/>
        <v>45170</v>
      </c>
    </row>
    <row r="97" spans="1:19" x14ac:dyDescent="0.25">
      <c r="A97" s="6" t="s">
        <v>873</v>
      </c>
      <c r="B97" s="7" t="s">
        <v>70</v>
      </c>
      <c r="C97" s="15">
        <v>44756</v>
      </c>
      <c r="D97" s="7" t="s">
        <v>680</v>
      </c>
      <c r="E97" s="7" t="s">
        <v>708</v>
      </c>
      <c r="F97" s="7">
        <v>24.99</v>
      </c>
      <c r="G97" s="7">
        <v>3</v>
      </c>
      <c r="H97" s="7">
        <v>20</v>
      </c>
      <c r="I97" s="7">
        <v>19.989999999999998</v>
      </c>
      <c r="J97" s="7">
        <v>59.97</v>
      </c>
      <c r="K97" s="7" t="s">
        <v>661</v>
      </c>
      <c r="L97" s="7" t="s">
        <v>656</v>
      </c>
      <c r="M97" s="8">
        <v>3</v>
      </c>
      <c r="N97">
        <f>VLOOKUP(B97,Customers!A:J,7,0)</f>
        <v>48</v>
      </c>
      <c r="O97" t="str">
        <f>VLOOKUP(B97,Customers!A:J,5,0)</f>
        <v>Philadelphia</v>
      </c>
      <c r="P97" t="str">
        <f>VLOOKUP(B97,Customers!A:J,10,0)</f>
        <v>Gold</v>
      </c>
      <c r="Q97" t="str">
        <f>VLOOKUP(B97,Customers!A:J,8,0)</f>
        <v>Male</v>
      </c>
      <c r="R97" t="b">
        <f t="shared" si="2"/>
        <v>1</v>
      </c>
      <c r="S97" s="18">
        <f t="shared" si="3"/>
        <v>44743</v>
      </c>
    </row>
    <row r="98" spans="1:19" x14ac:dyDescent="0.25">
      <c r="A98" s="3" t="s">
        <v>875</v>
      </c>
      <c r="B98" s="4" t="s">
        <v>73</v>
      </c>
      <c r="C98" s="14">
        <v>45128</v>
      </c>
      <c r="D98" s="4" t="s">
        <v>680</v>
      </c>
      <c r="E98" s="4" t="s">
        <v>688</v>
      </c>
      <c r="F98" s="4">
        <v>29.99</v>
      </c>
      <c r="G98" s="4">
        <v>2</v>
      </c>
      <c r="H98" s="4">
        <v>10</v>
      </c>
      <c r="I98" s="4">
        <v>26.99</v>
      </c>
      <c r="J98" s="4">
        <v>53.98</v>
      </c>
      <c r="K98" s="4" t="s">
        <v>661</v>
      </c>
      <c r="L98" s="4" t="s">
        <v>656</v>
      </c>
      <c r="M98" s="5">
        <v>4</v>
      </c>
      <c r="N98">
        <f>VLOOKUP(B98,Customers!A:J,7,0)</f>
        <v>25</v>
      </c>
      <c r="O98" t="str">
        <f>VLOOKUP(B98,Customers!A:J,5,0)</f>
        <v>New York</v>
      </c>
      <c r="P98" t="str">
        <f>VLOOKUP(B98,Customers!A:J,10,0)</f>
        <v>Free</v>
      </c>
      <c r="Q98" t="str">
        <f>VLOOKUP(B98,Customers!A:J,8,0)</f>
        <v>Female</v>
      </c>
      <c r="R98" t="b">
        <f t="shared" si="2"/>
        <v>1</v>
      </c>
      <c r="S98" s="18">
        <f t="shared" si="3"/>
        <v>45108</v>
      </c>
    </row>
    <row r="99" spans="1:19" x14ac:dyDescent="0.25">
      <c r="A99" s="6" t="s">
        <v>877</v>
      </c>
      <c r="B99" s="7" t="s">
        <v>73</v>
      </c>
      <c r="C99" s="15">
        <v>44893</v>
      </c>
      <c r="D99" s="7" t="s">
        <v>710</v>
      </c>
      <c r="E99" s="7" t="s">
        <v>730</v>
      </c>
      <c r="F99" s="7">
        <v>39.99</v>
      </c>
      <c r="G99" s="7">
        <v>3</v>
      </c>
      <c r="H99" s="7">
        <v>0</v>
      </c>
      <c r="I99" s="7">
        <v>39.99</v>
      </c>
      <c r="J99" s="7">
        <v>119.97</v>
      </c>
      <c r="K99" s="7" t="s">
        <v>661</v>
      </c>
      <c r="L99" s="7" t="s">
        <v>656</v>
      </c>
      <c r="M99" s="8">
        <v>4</v>
      </c>
      <c r="N99">
        <f>VLOOKUP(B99,Customers!A:J,7,0)</f>
        <v>25</v>
      </c>
      <c r="O99" t="str">
        <f>VLOOKUP(B99,Customers!A:J,5,0)</f>
        <v>New York</v>
      </c>
      <c r="P99" t="str">
        <f>VLOOKUP(B99,Customers!A:J,10,0)</f>
        <v>Free</v>
      </c>
      <c r="Q99" t="str">
        <f>VLOOKUP(B99,Customers!A:J,8,0)</f>
        <v>Female</v>
      </c>
      <c r="R99" t="b">
        <f t="shared" si="2"/>
        <v>1</v>
      </c>
      <c r="S99" s="18">
        <f t="shared" si="3"/>
        <v>44866</v>
      </c>
    </row>
    <row r="100" spans="1:19" x14ac:dyDescent="0.25">
      <c r="A100" s="3" t="s">
        <v>879</v>
      </c>
      <c r="B100" s="4" t="s">
        <v>73</v>
      </c>
      <c r="C100" s="14">
        <v>45517</v>
      </c>
      <c r="D100" s="4" t="s">
        <v>659</v>
      </c>
      <c r="E100" s="4" t="s">
        <v>820</v>
      </c>
      <c r="F100" s="4">
        <v>39.99</v>
      </c>
      <c r="G100" s="4">
        <v>2</v>
      </c>
      <c r="H100" s="4">
        <v>0</v>
      </c>
      <c r="I100" s="4">
        <v>39.99</v>
      </c>
      <c r="J100" s="4">
        <v>79.98</v>
      </c>
      <c r="K100" s="4" t="s">
        <v>655</v>
      </c>
      <c r="L100" s="4" t="s">
        <v>656</v>
      </c>
      <c r="M100" s="5">
        <v>5</v>
      </c>
      <c r="N100">
        <f>VLOOKUP(B100,Customers!A:J,7,0)</f>
        <v>25</v>
      </c>
      <c r="O100" t="str">
        <f>VLOOKUP(B100,Customers!A:J,5,0)</f>
        <v>New York</v>
      </c>
      <c r="P100" t="str">
        <f>VLOOKUP(B100,Customers!A:J,10,0)</f>
        <v>Free</v>
      </c>
      <c r="Q100" t="str">
        <f>VLOOKUP(B100,Customers!A:J,8,0)</f>
        <v>Female</v>
      </c>
      <c r="R100" t="b">
        <f t="shared" si="2"/>
        <v>1</v>
      </c>
      <c r="S100" s="18">
        <f t="shared" si="3"/>
        <v>45505</v>
      </c>
    </row>
    <row r="101" spans="1:19" x14ac:dyDescent="0.25">
      <c r="A101" s="6" t="s">
        <v>881</v>
      </c>
      <c r="B101" s="7" t="s">
        <v>73</v>
      </c>
      <c r="C101" s="15">
        <v>45635</v>
      </c>
      <c r="D101" s="7" t="s">
        <v>680</v>
      </c>
      <c r="E101" s="7" t="s">
        <v>681</v>
      </c>
      <c r="F101" s="7">
        <v>19.989999999999998</v>
      </c>
      <c r="G101" s="7">
        <v>3</v>
      </c>
      <c r="H101" s="7">
        <v>5</v>
      </c>
      <c r="I101" s="7">
        <v>18.989999999999998</v>
      </c>
      <c r="J101" s="7">
        <v>56.97</v>
      </c>
      <c r="K101" s="7" t="s">
        <v>675</v>
      </c>
      <c r="L101" s="7" t="s">
        <v>656</v>
      </c>
      <c r="M101" s="8">
        <v>5</v>
      </c>
      <c r="N101">
        <f>VLOOKUP(B101,Customers!A:J,7,0)</f>
        <v>25</v>
      </c>
      <c r="O101" t="str">
        <f>VLOOKUP(B101,Customers!A:J,5,0)</f>
        <v>New York</v>
      </c>
      <c r="P101" t="str">
        <f>VLOOKUP(B101,Customers!A:J,10,0)</f>
        <v>Free</v>
      </c>
      <c r="Q101" t="str">
        <f>VLOOKUP(B101,Customers!A:J,8,0)</f>
        <v>Female</v>
      </c>
      <c r="R101" t="b">
        <f t="shared" si="2"/>
        <v>1</v>
      </c>
      <c r="S101" s="18">
        <f t="shared" si="3"/>
        <v>45627</v>
      </c>
    </row>
    <row r="102" spans="1:19" x14ac:dyDescent="0.25">
      <c r="A102" s="3" t="s">
        <v>882</v>
      </c>
      <c r="B102" s="4" t="s">
        <v>73</v>
      </c>
      <c r="C102" s="14">
        <v>44779</v>
      </c>
      <c r="D102" s="4" t="s">
        <v>667</v>
      </c>
      <c r="E102" s="4" t="s">
        <v>714</v>
      </c>
      <c r="F102" s="4">
        <v>44.99</v>
      </c>
      <c r="G102" s="4">
        <v>3</v>
      </c>
      <c r="H102" s="4">
        <v>0</v>
      </c>
      <c r="I102" s="4">
        <v>44.99</v>
      </c>
      <c r="J102" s="4">
        <v>134.97</v>
      </c>
      <c r="K102" s="4" t="s">
        <v>675</v>
      </c>
      <c r="L102" s="4" t="s">
        <v>656</v>
      </c>
      <c r="M102" s="5">
        <v>5</v>
      </c>
      <c r="N102">
        <f>VLOOKUP(B102,Customers!A:J,7,0)</f>
        <v>25</v>
      </c>
      <c r="O102" t="str">
        <f>VLOOKUP(B102,Customers!A:J,5,0)</f>
        <v>New York</v>
      </c>
      <c r="P102" t="str">
        <f>VLOOKUP(B102,Customers!A:J,10,0)</f>
        <v>Free</v>
      </c>
      <c r="Q102" t="str">
        <f>VLOOKUP(B102,Customers!A:J,8,0)</f>
        <v>Female</v>
      </c>
      <c r="R102" t="b">
        <f t="shared" si="2"/>
        <v>1</v>
      </c>
      <c r="S102" s="18">
        <f t="shared" si="3"/>
        <v>44774</v>
      </c>
    </row>
    <row r="103" spans="1:19" x14ac:dyDescent="0.25">
      <c r="A103" s="6" t="s">
        <v>884</v>
      </c>
      <c r="B103" s="7" t="s">
        <v>73</v>
      </c>
      <c r="C103" s="15">
        <v>45197</v>
      </c>
      <c r="D103" s="7" t="s">
        <v>672</v>
      </c>
      <c r="E103" s="7" t="s">
        <v>803</v>
      </c>
      <c r="F103" s="7">
        <v>69.989999999999995</v>
      </c>
      <c r="G103" s="7">
        <v>1</v>
      </c>
      <c r="H103" s="7">
        <v>0</v>
      </c>
      <c r="I103" s="7">
        <v>69.989999999999995</v>
      </c>
      <c r="J103" s="7">
        <v>69.989999999999995</v>
      </c>
      <c r="K103" s="7" t="s">
        <v>661</v>
      </c>
      <c r="L103" s="7" t="s">
        <v>656</v>
      </c>
      <c r="M103" s="8"/>
      <c r="N103">
        <f>VLOOKUP(B103,Customers!A:J,7,0)</f>
        <v>25</v>
      </c>
      <c r="O103" t="str">
        <f>VLOOKUP(B103,Customers!A:J,5,0)</f>
        <v>New York</v>
      </c>
      <c r="P103" t="str">
        <f>VLOOKUP(B103,Customers!A:J,10,0)</f>
        <v>Free</v>
      </c>
      <c r="Q103" t="str">
        <f>VLOOKUP(B103,Customers!A:J,8,0)</f>
        <v>Female</v>
      </c>
      <c r="R103" t="b">
        <f t="shared" si="2"/>
        <v>1</v>
      </c>
      <c r="S103" s="18">
        <f t="shared" si="3"/>
        <v>45170</v>
      </c>
    </row>
    <row r="104" spans="1:19" x14ac:dyDescent="0.25">
      <c r="A104" s="3" t="s">
        <v>886</v>
      </c>
      <c r="B104" s="4" t="s">
        <v>73</v>
      </c>
      <c r="C104" s="14">
        <v>44577</v>
      </c>
      <c r="D104" s="4" t="s">
        <v>680</v>
      </c>
      <c r="E104" s="4" t="s">
        <v>708</v>
      </c>
      <c r="F104" s="4">
        <v>24.99</v>
      </c>
      <c r="G104" s="4">
        <v>1</v>
      </c>
      <c r="H104" s="4">
        <v>0</v>
      </c>
      <c r="I104" s="4">
        <v>24.99</v>
      </c>
      <c r="J104" s="4">
        <v>24.99</v>
      </c>
      <c r="K104" s="4" t="s">
        <v>675</v>
      </c>
      <c r="L104" s="4" t="s">
        <v>656</v>
      </c>
      <c r="M104" s="5">
        <v>3</v>
      </c>
      <c r="N104">
        <f>VLOOKUP(B104,Customers!A:J,7,0)</f>
        <v>25</v>
      </c>
      <c r="O104" t="str">
        <f>VLOOKUP(B104,Customers!A:J,5,0)</f>
        <v>New York</v>
      </c>
      <c r="P104" t="str">
        <f>VLOOKUP(B104,Customers!A:J,10,0)</f>
        <v>Free</v>
      </c>
      <c r="Q104" t="str">
        <f>VLOOKUP(B104,Customers!A:J,8,0)</f>
        <v>Female</v>
      </c>
      <c r="R104" t="b">
        <f t="shared" si="2"/>
        <v>1</v>
      </c>
      <c r="S104" s="18">
        <f t="shared" si="3"/>
        <v>44562</v>
      </c>
    </row>
    <row r="105" spans="1:19" x14ac:dyDescent="0.25">
      <c r="A105" s="6" t="s">
        <v>888</v>
      </c>
      <c r="B105" s="7" t="s">
        <v>73</v>
      </c>
      <c r="C105" s="15">
        <v>45333</v>
      </c>
      <c r="D105" s="7" t="s">
        <v>653</v>
      </c>
      <c r="E105" s="7" t="s">
        <v>727</v>
      </c>
      <c r="F105" s="7">
        <v>14.99</v>
      </c>
      <c r="G105" s="7">
        <v>3</v>
      </c>
      <c r="H105" s="7">
        <v>10</v>
      </c>
      <c r="I105" s="7">
        <v>13.49</v>
      </c>
      <c r="J105" s="7">
        <v>40.47</v>
      </c>
      <c r="K105" s="7" t="s">
        <v>669</v>
      </c>
      <c r="L105" s="7" t="s">
        <v>656</v>
      </c>
      <c r="M105" s="8">
        <v>3</v>
      </c>
      <c r="N105">
        <f>VLOOKUP(B105,Customers!A:J,7,0)</f>
        <v>25</v>
      </c>
      <c r="O105" t="str">
        <f>VLOOKUP(B105,Customers!A:J,5,0)</f>
        <v>New York</v>
      </c>
      <c r="P105" t="str">
        <f>VLOOKUP(B105,Customers!A:J,10,0)</f>
        <v>Free</v>
      </c>
      <c r="Q105" t="str">
        <f>VLOOKUP(B105,Customers!A:J,8,0)</f>
        <v>Female</v>
      </c>
      <c r="R105" t="b">
        <f t="shared" si="2"/>
        <v>1</v>
      </c>
      <c r="S105" s="18">
        <f t="shared" si="3"/>
        <v>45323</v>
      </c>
    </row>
    <row r="106" spans="1:19" x14ac:dyDescent="0.25">
      <c r="A106" s="3" t="s">
        <v>890</v>
      </c>
      <c r="B106" s="4" t="s">
        <v>73</v>
      </c>
      <c r="C106" s="14">
        <v>45327</v>
      </c>
      <c r="D106" s="4" t="s">
        <v>653</v>
      </c>
      <c r="E106" s="4" t="s">
        <v>827</v>
      </c>
      <c r="F106" s="4">
        <v>29.99</v>
      </c>
      <c r="G106" s="4">
        <v>3</v>
      </c>
      <c r="H106" s="4">
        <v>0</v>
      </c>
      <c r="I106" s="4">
        <v>29.99</v>
      </c>
      <c r="J106" s="4">
        <v>89.97</v>
      </c>
      <c r="K106" s="4" t="s">
        <v>675</v>
      </c>
      <c r="L106" s="4" t="s">
        <v>788</v>
      </c>
      <c r="M106" s="5">
        <v>4</v>
      </c>
      <c r="N106">
        <f>VLOOKUP(B106,Customers!A:J,7,0)</f>
        <v>25</v>
      </c>
      <c r="O106" t="str">
        <f>VLOOKUP(B106,Customers!A:J,5,0)</f>
        <v>New York</v>
      </c>
      <c r="P106" t="str">
        <f>VLOOKUP(B106,Customers!A:J,10,0)</f>
        <v>Free</v>
      </c>
      <c r="Q106" t="str">
        <f>VLOOKUP(B106,Customers!A:J,8,0)</f>
        <v>Female</v>
      </c>
      <c r="R106" t="b">
        <f t="shared" si="2"/>
        <v>1</v>
      </c>
      <c r="S106" s="18">
        <f t="shared" si="3"/>
        <v>45323</v>
      </c>
    </row>
    <row r="107" spans="1:19" x14ac:dyDescent="0.25">
      <c r="A107" s="6" t="s">
        <v>892</v>
      </c>
      <c r="B107" s="7" t="s">
        <v>73</v>
      </c>
      <c r="C107" s="15">
        <v>45170</v>
      </c>
      <c r="D107" s="7" t="s">
        <v>672</v>
      </c>
      <c r="E107" s="7" t="s">
        <v>735</v>
      </c>
      <c r="F107" s="7">
        <v>44.99</v>
      </c>
      <c r="G107" s="7">
        <v>3</v>
      </c>
      <c r="H107" s="7">
        <v>0</v>
      </c>
      <c r="I107" s="7">
        <v>44.99</v>
      </c>
      <c r="J107" s="7">
        <v>134.97</v>
      </c>
      <c r="K107" s="7" t="s">
        <v>661</v>
      </c>
      <c r="L107" s="7" t="s">
        <v>788</v>
      </c>
      <c r="M107" s="8"/>
      <c r="N107">
        <f>VLOOKUP(B107,Customers!A:J,7,0)</f>
        <v>25</v>
      </c>
      <c r="O107" t="str">
        <f>VLOOKUP(B107,Customers!A:J,5,0)</f>
        <v>New York</v>
      </c>
      <c r="P107" t="str">
        <f>VLOOKUP(B107,Customers!A:J,10,0)</f>
        <v>Free</v>
      </c>
      <c r="Q107" t="str">
        <f>VLOOKUP(B107,Customers!A:J,8,0)</f>
        <v>Female</v>
      </c>
      <c r="R107" t="b">
        <f t="shared" si="2"/>
        <v>1</v>
      </c>
      <c r="S107" s="18">
        <f t="shared" si="3"/>
        <v>45170</v>
      </c>
    </row>
    <row r="108" spans="1:19" x14ac:dyDescent="0.25">
      <c r="A108" s="3" t="s">
        <v>893</v>
      </c>
      <c r="B108" s="4" t="s">
        <v>73</v>
      </c>
      <c r="C108" s="14">
        <v>44921</v>
      </c>
      <c r="D108" s="4" t="s">
        <v>667</v>
      </c>
      <c r="E108" s="4" t="s">
        <v>668</v>
      </c>
      <c r="F108" s="4">
        <v>64.989999999999995</v>
      </c>
      <c r="G108" s="4">
        <v>2</v>
      </c>
      <c r="H108" s="4">
        <v>10</v>
      </c>
      <c r="I108" s="4">
        <v>58.49</v>
      </c>
      <c r="J108" s="4">
        <v>116.98</v>
      </c>
      <c r="K108" s="4" t="s">
        <v>675</v>
      </c>
      <c r="L108" s="4" t="s">
        <v>656</v>
      </c>
      <c r="M108" s="5">
        <v>4</v>
      </c>
      <c r="N108">
        <f>VLOOKUP(B108,Customers!A:J,7,0)</f>
        <v>25</v>
      </c>
      <c r="O108" t="str">
        <f>VLOOKUP(B108,Customers!A:J,5,0)</f>
        <v>New York</v>
      </c>
      <c r="P108" t="str">
        <f>VLOOKUP(B108,Customers!A:J,10,0)</f>
        <v>Free</v>
      </c>
      <c r="Q108" t="str">
        <f>VLOOKUP(B108,Customers!A:J,8,0)</f>
        <v>Female</v>
      </c>
      <c r="R108" t="b">
        <f t="shared" si="2"/>
        <v>1</v>
      </c>
      <c r="S108" s="18">
        <f t="shared" si="3"/>
        <v>44896</v>
      </c>
    </row>
    <row r="109" spans="1:19" x14ac:dyDescent="0.25">
      <c r="A109" s="6" t="s">
        <v>895</v>
      </c>
      <c r="B109" s="7" t="s">
        <v>73</v>
      </c>
      <c r="C109" s="15">
        <v>44743</v>
      </c>
      <c r="D109" s="7" t="s">
        <v>659</v>
      </c>
      <c r="E109" s="7" t="s">
        <v>762</v>
      </c>
      <c r="F109" s="7">
        <v>49.99</v>
      </c>
      <c r="G109" s="7">
        <v>2</v>
      </c>
      <c r="H109" s="7">
        <v>10</v>
      </c>
      <c r="I109" s="7">
        <v>44.99</v>
      </c>
      <c r="J109" s="7">
        <v>89.98</v>
      </c>
      <c r="K109" s="7" t="s">
        <v>669</v>
      </c>
      <c r="L109" s="7" t="s">
        <v>656</v>
      </c>
      <c r="M109" s="8">
        <v>5</v>
      </c>
      <c r="N109">
        <f>VLOOKUP(B109,Customers!A:J,7,0)</f>
        <v>25</v>
      </c>
      <c r="O109" t="str">
        <f>VLOOKUP(B109,Customers!A:J,5,0)</f>
        <v>New York</v>
      </c>
      <c r="P109" t="str">
        <f>VLOOKUP(B109,Customers!A:J,10,0)</f>
        <v>Free</v>
      </c>
      <c r="Q109" t="str">
        <f>VLOOKUP(B109,Customers!A:J,8,0)</f>
        <v>Female</v>
      </c>
      <c r="R109" t="b">
        <f t="shared" si="2"/>
        <v>1</v>
      </c>
      <c r="S109" s="18">
        <f t="shared" si="3"/>
        <v>44743</v>
      </c>
    </row>
    <row r="110" spans="1:19" x14ac:dyDescent="0.25">
      <c r="A110" s="3" t="s">
        <v>897</v>
      </c>
      <c r="B110" s="4" t="s">
        <v>80</v>
      </c>
      <c r="C110" s="14">
        <v>45209</v>
      </c>
      <c r="D110" s="4" t="s">
        <v>672</v>
      </c>
      <c r="E110" s="4" t="s">
        <v>735</v>
      </c>
      <c r="F110" s="4">
        <v>44.99</v>
      </c>
      <c r="G110" s="4">
        <v>1</v>
      </c>
      <c r="H110" s="4">
        <v>0</v>
      </c>
      <c r="I110" s="4">
        <v>44.99</v>
      </c>
      <c r="J110" s="4">
        <v>44.99</v>
      </c>
      <c r="K110" s="4" t="s">
        <v>669</v>
      </c>
      <c r="L110" s="4" t="s">
        <v>656</v>
      </c>
      <c r="M110" s="5">
        <v>5</v>
      </c>
      <c r="N110">
        <f>VLOOKUP(B110,Customers!A:J,7,0)</f>
        <v>28</v>
      </c>
      <c r="O110" t="str">
        <f>VLOOKUP(B110,Customers!A:J,5,0)</f>
        <v>Chicago</v>
      </c>
      <c r="P110" t="str">
        <f>VLOOKUP(B110,Customers!A:J,10,0)</f>
        <v>Free</v>
      </c>
      <c r="Q110" t="str">
        <f>VLOOKUP(B110,Customers!A:J,8,0)</f>
        <v>Male</v>
      </c>
      <c r="R110" t="b">
        <f t="shared" si="2"/>
        <v>1</v>
      </c>
      <c r="S110" s="18">
        <f t="shared" si="3"/>
        <v>45200</v>
      </c>
    </row>
    <row r="111" spans="1:19" x14ac:dyDescent="0.25">
      <c r="A111" s="6" t="s">
        <v>898</v>
      </c>
      <c r="B111" s="7" t="s">
        <v>80</v>
      </c>
      <c r="C111" s="15">
        <v>45188</v>
      </c>
      <c r="D111" s="7" t="s">
        <v>680</v>
      </c>
      <c r="E111" s="7" t="s">
        <v>708</v>
      </c>
      <c r="F111" s="7">
        <v>24.99</v>
      </c>
      <c r="G111" s="7">
        <v>3</v>
      </c>
      <c r="H111" s="7">
        <v>5</v>
      </c>
      <c r="I111" s="7">
        <v>23.74</v>
      </c>
      <c r="J111" s="7">
        <v>71.22</v>
      </c>
      <c r="K111" s="7" t="s">
        <v>675</v>
      </c>
      <c r="L111" s="7" t="s">
        <v>656</v>
      </c>
      <c r="M111" s="8"/>
      <c r="N111">
        <f>VLOOKUP(B111,Customers!A:J,7,0)</f>
        <v>28</v>
      </c>
      <c r="O111" t="str">
        <f>VLOOKUP(B111,Customers!A:J,5,0)</f>
        <v>Chicago</v>
      </c>
      <c r="P111" t="str">
        <f>VLOOKUP(B111,Customers!A:J,10,0)</f>
        <v>Free</v>
      </c>
      <c r="Q111" t="str">
        <f>VLOOKUP(B111,Customers!A:J,8,0)</f>
        <v>Male</v>
      </c>
      <c r="R111" t="b">
        <f t="shared" si="2"/>
        <v>1</v>
      </c>
      <c r="S111" s="18">
        <f t="shared" si="3"/>
        <v>45170</v>
      </c>
    </row>
    <row r="112" spans="1:19" x14ac:dyDescent="0.25">
      <c r="A112" s="3" t="s">
        <v>900</v>
      </c>
      <c r="B112" s="4" t="s">
        <v>80</v>
      </c>
      <c r="C112" s="14">
        <v>45396</v>
      </c>
      <c r="D112" s="4" t="s">
        <v>672</v>
      </c>
      <c r="E112" s="4" t="s">
        <v>735</v>
      </c>
      <c r="F112" s="4">
        <v>44.99</v>
      </c>
      <c r="G112" s="4">
        <v>4</v>
      </c>
      <c r="H112" s="4">
        <v>0</v>
      </c>
      <c r="I112" s="4">
        <v>44.99</v>
      </c>
      <c r="J112" s="4">
        <v>179.96</v>
      </c>
      <c r="K112" s="4" t="s">
        <v>661</v>
      </c>
      <c r="L112" s="4" t="s">
        <v>656</v>
      </c>
      <c r="M112" s="5">
        <v>5</v>
      </c>
      <c r="N112">
        <f>VLOOKUP(B112,Customers!A:J,7,0)</f>
        <v>28</v>
      </c>
      <c r="O112" t="str">
        <f>VLOOKUP(B112,Customers!A:J,5,0)</f>
        <v>Chicago</v>
      </c>
      <c r="P112" t="str">
        <f>VLOOKUP(B112,Customers!A:J,10,0)</f>
        <v>Free</v>
      </c>
      <c r="Q112" t="str">
        <f>VLOOKUP(B112,Customers!A:J,8,0)</f>
        <v>Male</v>
      </c>
      <c r="R112" t="b">
        <f t="shared" si="2"/>
        <v>1</v>
      </c>
      <c r="S112" s="18">
        <f t="shared" si="3"/>
        <v>45383</v>
      </c>
    </row>
    <row r="113" spans="1:19" x14ac:dyDescent="0.25">
      <c r="A113" s="6" t="s">
        <v>902</v>
      </c>
      <c r="B113" s="7" t="s">
        <v>80</v>
      </c>
      <c r="C113" s="15">
        <v>45422</v>
      </c>
      <c r="D113" s="7" t="s">
        <v>680</v>
      </c>
      <c r="E113" s="7" t="s">
        <v>688</v>
      </c>
      <c r="F113" s="7">
        <v>29.99</v>
      </c>
      <c r="G113" s="7">
        <v>2</v>
      </c>
      <c r="H113" s="7">
        <v>15</v>
      </c>
      <c r="I113" s="7">
        <v>25.49</v>
      </c>
      <c r="J113" s="7">
        <v>50.98</v>
      </c>
      <c r="K113" s="7" t="s">
        <v>682</v>
      </c>
      <c r="L113" s="7" t="s">
        <v>656</v>
      </c>
      <c r="M113" s="8">
        <v>5</v>
      </c>
      <c r="N113">
        <f>VLOOKUP(B113,Customers!A:J,7,0)</f>
        <v>28</v>
      </c>
      <c r="O113" t="str">
        <f>VLOOKUP(B113,Customers!A:J,5,0)</f>
        <v>Chicago</v>
      </c>
      <c r="P113" t="str">
        <f>VLOOKUP(B113,Customers!A:J,10,0)</f>
        <v>Free</v>
      </c>
      <c r="Q113" t="str">
        <f>VLOOKUP(B113,Customers!A:J,8,0)</f>
        <v>Male</v>
      </c>
      <c r="R113" t="b">
        <f t="shared" si="2"/>
        <v>1</v>
      </c>
      <c r="S113" s="18">
        <f t="shared" si="3"/>
        <v>45413</v>
      </c>
    </row>
    <row r="114" spans="1:19" x14ac:dyDescent="0.25">
      <c r="A114" s="3" t="s">
        <v>904</v>
      </c>
      <c r="B114" s="4" t="s">
        <v>80</v>
      </c>
      <c r="C114" s="14">
        <v>45129</v>
      </c>
      <c r="D114" s="4" t="s">
        <v>667</v>
      </c>
      <c r="E114" s="4" t="s">
        <v>714</v>
      </c>
      <c r="F114" s="4">
        <v>44.99</v>
      </c>
      <c r="G114" s="4">
        <v>1</v>
      </c>
      <c r="H114" s="4">
        <v>5</v>
      </c>
      <c r="I114" s="4">
        <v>42.74</v>
      </c>
      <c r="J114" s="4">
        <v>42.74</v>
      </c>
      <c r="K114" s="4" t="s">
        <v>669</v>
      </c>
      <c r="L114" s="4" t="s">
        <v>656</v>
      </c>
      <c r="M114" s="5">
        <v>4</v>
      </c>
      <c r="N114">
        <f>VLOOKUP(B114,Customers!A:J,7,0)</f>
        <v>28</v>
      </c>
      <c r="O114" t="str">
        <f>VLOOKUP(B114,Customers!A:J,5,0)</f>
        <v>Chicago</v>
      </c>
      <c r="P114" t="str">
        <f>VLOOKUP(B114,Customers!A:J,10,0)</f>
        <v>Free</v>
      </c>
      <c r="Q114" t="str">
        <f>VLOOKUP(B114,Customers!A:J,8,0)</f>
        <v>Male</v>
      </c>
      <c r="R114" t="b">
        <f t="shared" si="2"/>
        <v>1</v>
      </c>
      <c r="S114" s="18">
        <f t="shared" si="3"/>
        <v>45108</v>
      </c>
    </row>
    <row r="115" spans="1:19" x14ac:dyDescent="0.25">
      <c r="A115" s="6" t="s">
        <v>906</v>
      </c>
      <c r="B115" s="7" t="s">
        <v>80</v>
      </c>
      <c r="C115" s="15">
        <v>44775</v>
      </c>
      <c r="D115" s="7" t="s">
        <v>684</v>
      </c>
      <c r="E115" s="7" t="s">
        <v>815</v>
      </c>
      <c r="F115" s="7">
        <v>34.99</v>
      </c>
      <c r="G115" s="7">
        <v>1</v>
      </c>
      <c r="H115" s="7">
        <v>0</v>
      </c>
      <c r="I115" s="7">
        <v>34.99</v>
      </c>
      <c r="J115" s="7">
        <v>34.99</v>
      </c>
      <c r="K115" s="7" t="s">
        <v>669</v>
      </c>
      <c r="L115" s="7" t="s">
        <v>656</v>
      </c>
      <c r="M115" s="8">
        <v>4</v>
      </c>
      <c r="N115">
        <f>VLOOKUP(B115,Customers!A:J,7,0)</f>
        <v>28</v>
      </c>
      <c r="O115" t="str">
        <f>VLOOKUP(B115,Customers!A:J,5,0)</f>
        <v>Chicago</v>
      </c>
      <c r="P115" t="str">
        <f>VLOOKUP(B115,Customers!A:J,10,0)</f>
        <v>Free</v>
      </c>
      <c r="Q115" t="str">
        <f>VLOOKUP(B115,Customers!A:J,8,0)</f>
        <v>Male</v>
      </c>
      <c r="R115" t="b">
        <f t="shared" si="2"/>
        <v>1</v>
      </c>
      <c r="S115" s="18">
        <f t="shared" si="3"/>
        <v>44774</v>
      </c>
    </row>
    <row r="116" spans="1:19" x14ac:dyDescent="0.25">
      <c r="A116" s="3" t="s">
        <v>908</v>
      </c>
      <c r="B116" s="4" t="s">
        <v>80</v>
      </c>
      <c r="C116" s="14">
        <v>45287</v>
      </c>
      <c r="D116" s="4" t="s">
        <v>653</v>
      </c>
      <c r="E116" s="4" t="s">
        <v>769</v>
      </c>
      <c r="F116" s="4">
        <v>49.99</v>
      </c>
      <c r="G116" s="4">
        <v>3</v>
      </c>
      <c r="H116" s="4">
        <v>0</v>
      </c>
      <c r="I116" s="4">
        <v>49.99</v>
      </c>
      <c r="J116" s="4">
        <v>149.97</v>
      </c>
      <c r="K116" s="4" t="s">
        <v>661</v>
      </c>
      <c r="L116" s="4" t="s">
        <v>656</v>
      </c>
      <c r="M116" s="5"/>
      <c r="N116">
        <f>VLOOKUP(B116,Customers!A:J,7,0)</f>
        <v>28</v>
      </c>
      <c r="O116" t="str">
        <f>VLOOKUP(B116,Customers!A:J,5,0)</f>
        <v>Chicago</v>
      </c>
      <c r="P116" t="str">
        <f>VLOOKUP(B116,Customers!A:J,10,0)</f>
        <v>Free</v>
      </c>
      <c r="Q116" t="str">
        <f>VLOOKUP(B116,Customers!A:J,8,0)</f>
        <v>Male</v>
      </c>
      <c r="R116" t="b">
        <f t="shared" si="2"/>
        <v>1</v>
      </c>
      <c r="S116" s="18">
        <f t="shared" si="3"/>
        <v>45261</v>
      </c>
    </row>
    <row r="117" spans="1:19" x14ac:dyDescent="0.25">
      <c r="A117" s="6" t="s">
        <v>910</v>
      </c>
      <c r="B117" s="7" t="s">
        <v>80</v>
      </c>
      <c r="C117" s="15">
        <v>45436</v>
      </c>
      <c r="D117" s="7" t="s">
        <v>659</v>
      </c>
      <c r="E117" s="7" t="s">
        <v>762</v>
      </c>
      <c r="F117" s="7">
        <v>49.99</v>
      </c>
      <c r="G117" s="7">
        <v>1</v>
      </c>
      <c r="H117" s="7">
        <v>0</v>
      </c>
      <c r="I117" s="7">
        <v>49.99</v>
      </c>
      <c r="J117" s="7">
        <v>49.99</v>
      </c>
      <c r="K117" s="7" t="s">
        <v>682</v>
      </c>
      <c r="L117" s="7" t="s">
        <v>656</v>
      </c>
      <c r="M117" s="8">
        <v>5</v>
      </c>
      <c r="N117">
        <f>VLOOKUP(B117,Customers!A:J,7,0)</f>
        <v>28</v>
      </c>
      <c r="O117" t="str">
        <f>VLOOKUP(B117,Customers!A:J,5,0)</f>
        <v>Chicago</v>
      </c>
      <c r="P117" t="str">
        <f>VLOOKUP(B117,Customers!A:J,10,0)</f>
        <v>Free</v>
      </c>
      <c r="Q117" t="str">
        <f>VLOOKUP(B117,Customers!A:J,8,0)</f>
        <v>Male</v>
      </c>
      <c r="R117" t="b">
        <f t="shared" si="2"/>
        <v>1</v>
      </c>
      <c r="S117" s="18">
        <f t="shared" si="3"/>
        <v>45413</v>
      </c>
    </row>
    <row r="118" spans="1:19" x14ac:dyDescent="0.25">
      <c r="A118" s="3" t="s">
        <v>912</v>
      </c>
      <c r="B118" s="4" t="s">
        <v>80</v>
      </c>
      <c r="C118" s="14">
        <v>45421</v>
      </c>
      <c r="D118" s="4" t="s">
        <v>667</v>
      </c>
      <c r="E118" s="4" t="s">
        <v>714</v>
      </c>
      <c r="F118" s="4">
        <v>44.99</v>
      </c>
      <c r="G118" s="4">
        <v>1</v>
      </c>
      <c r="H118" s="4">
        <v>0</v>
      </c>
      <c r="I118" s="4">
        <v>44.99</v>
      </c>
      <c r="J118" s="4">
        <v>44.99</v>
      </c>
      <c r="K118" s="4" t="s">
        <v>682</v>
      </c>
      <c r="L118" s="4" t="s">
        <v>656</v>
      </c>
      <c r="M118" s="5">
        <v>2</v>
      </c>
      <c r="N118">
        <f>VLOOKUP(B118,Customers!A:J,7,0)</f>
        <v>28</v>
      </c>
      <c r="O118" t="str">
        <f>VLOOKUP(B118,Customers!A:J,5,0)</f>
        <v>Chicago</v>
      </c>
      <c r="P118" t="str">
        <f>VLOOKUP(B118,Customers!A:J,10,0)</f>
        <v>Free</v>
      </c>
      <c r="Q118" t="str">
        <f>VLOOKUP(B118,Customers!A:J,8,0)</f>
        <v>Male</v>
      </c>
      <c r="R118" t="b">
        <f t="shared" si="2"/>
        <v>1</v>
      </c>
      <c r="S118" s="18">
        <f t="shared" si="3"/>
        <v>45413</v>
      </c>
    </row>
    <row r="119" spans="1:19" x14ac:dyDescent="0.25">
      <c r="A119" s="6" t="s">
        <v>914</v>
      </c>
      <c r="B119" s="7" t="s">
        <v>80</v>
      </c>
      <c r="C119" s="15">
        <v>45299</v>
      </c>
      <c r="D119" s="7" t="s">
        <v>659</v>
      </c>
      <c r="E119" s="7" t="s">
        <v>660</v>
      </c>
      <c r="F119" s="7">
        <v>19.989999999999998</v>
      </c>
      <c r="G119" s="7">
        <v>4</v>
      </c>
      <c r="H119" s="7">
        <v>20</v>
      </c>
      <c r="I119" s="7">
        <v>15.99</v>
      </c>
      <c r="J119" s="7">
        <v>63.96</v>
      </c>
      <c r="K119" s="7" t="s">
        <v>661</v>
      </c>
      <c r="L119" s="7" t="s">
        <v>656</v>
      </c>
      <c r="M119" s="8">
        <v>3</v>
      </c>
      <c r="N119">
        <f>VLOOKUP(B119,Customers!A:J,7,0)</f>
        <v>28</v>
      </c>
      <c r="O119" t="str">
        <f>VLOOKUP(B119,Customers!A:J,5,0)</f>
        <v>Chicago</v>
      </c>
      <c r="P119" t="str">
        <f>VLOOKUP(B119,Customers!A:J,10,0)</f>
        <v>Free</v>
      </c>
      <c r="Q119" t="str">
        <f>VLOOKUP(B119,Customers!A:J,8,0)</f>
        <v>Male</v>
      </c>
      <c r="R119" t="b">
        <f t="shared" si="2"/>
        <v>1</v>
      </c>
      <c r="S119" s="18">
        <f t="shared" si="3"/>
        <v>45292</v>
      </c>
    </row>
    <row r="120" spans="1:19" x14ac:dyDescent="0.25">
      <c r="A120" s="3" t="s">
        <v>916</v>
      </c>
      <c r="B120" s="4" t="s">
        <v>85</v>
      </c>
      <c r="C120" s="14">
        <v>45609</v>
      </c>
      <c r="D120" s="4" t="s">
        <v>672</v>
      </c>
      <c r="E120" s="4" t="s">
        <v>724</v>
      </c>
      <c r="F120" s="4">
        <v>89.99</v>
      </c>
      <c r="G120" s="4">
        <v>4</v>
      </c>
      <c r="H120" s="4">
        <v>0</v>
      </c>
      <c r="I120" s="4">
        <v>89.99</v>
      </c>
      <c r="J120" s="4">
        <v>359.96</v>
      </c>
      <c r="K120" s="4" t="s">
        <v>682</v>
      </c>
      <c r="L120" s="4" t="s">
        <v>656</v>
      </c>
      <c r="M120" s="5">
        <v>5</v>
      </c>
      <c r="N120">
        <f>VLOOKUP(B120,Customers!A:J,7,0)</f>
        <v>49</v>
      </c>
      <c r="O120" t="str">
        <f>VLOOKUP(B120,Customers!A:J,5,0)</f>
        <v>Houston</v>
      </c>
      <c r="P120" t="str">
        <f>VLOOKUP(B120,Customers!A:J,10,0)</f>
        <v>Gold</v>
      </c>
      <c r="Q120" t="str">
        <f>VLOOKUP(B120,Customers!A:J,8,0)</f>
        <v>Female</v>
      </c>
      <c r="R120" t="b">
        <f t="shared" si="2"/>
        <v>1</v>
      </c>
      <c r="S120" s="18">
        <f t="shared" si="3"/>
        <v>45597</v>
      </c>
    </row>
    <row r="121" spans="1:19" x14ac:dyDescent="0.25">
      <c r="A121" s="6" t="s">
        <v>918</v>
      </c>
      <c r="B121" s="7" t="s">
        <v>85</v>
      </c>
      <c r="C121" s="15">
        <v>45183</v>
      </c>
      <c r="D121" s="7" t="s">
        <v>653</v>
      </c>
      <c r="E121" s="7" t="s">
        <v>827</v>
      </c>
      <c r="F121" s="7">
        <v>29.99</v>
      </c>
      <c r="G121" s="7">
        <v>2</v>
      </c>
      <c r="H121" s="7">
        <v>10</v>
      </c>
      <c r="I121" s="7">
        <v>26.99</v>
      </c>
      <c r="J121" s="7">
        <v>53.98</v>
      </c>
      <c r="K121" s="7" t="s">
        <v>682</v>
      </c>
      <c r="L121" s="7" t="s">
        <v>656</v>
      </c>
      <c r="M121" s="8">
        <v>4</v>
      </c>
      <c r="N121">
        <f>VLOOKUP(B121,Customers!A:J,7,0)</f>
        <v>49</v>
      </c>
      <c r="O121" t="str">
        <f>VLOOKUP(B121,Customers!A:J,5,0)</f>
        <v>Houston</v>
      </c>
      <c r="P121" t="str">
        <f>VLOOKUP(B121,Customers!A:J,10,0)</f>
        <v>Gold</v>
      </c>
      <c r="Q121" t="str">
        <f>VLOOKUP(B121,Customers!A:J,8,0)</f>
        <v>Female</v>
      </c>
      <c r="R121" t="b">
        <f t="shared" si="2"/>
        <v>1</v>
      </c>
      <c r="S121" s="18">
        <f t="shared" si="3"/>
        <v>45170</v>
      </c>
    </row>
    <row r="122" spans="1:19" x14ac:dyDescent="0.25">
      <c r="A122" s="3" t="s">
        <v>919</v>
      </c>
      <c r="B122" s="4" t="s">
        <v>85</v>
      </c>
      <c r="C122" s="14">
        <v>44980</v>
      </c>
      <c r="D122" s="4" t="s">
        <v>710</v>
      </c>
      <c r="E122" s="4" t="s">
        <v>730</v>
      </c>
      <c r="F122" s="4">
        <v>39.99</v>
      </c>
      <c r="G122" s="4">
        <v>3</v>
      </c>
      <c r="H122" s="4">
        <v>0</v>
      </c>
      <c r="I122" s="4">
        <v>39.99</v>
      </c>
      <c r="J122" s="4">
        <v>119.97</v>
      </c>
      <c r="K122" s="4" t="s">
        <v>655</v>
      </c>
      <c r="L122" s="4" t="s">
        <v>656</v>
      </c>
      <c r="M122" s="5">
        <v>5</v>
      </c>
      <c r="N122">
        <f>VLOOKUP(B122,Customers!A:J,7,0)</f>
        <v>49</v>
      </c>
      <c r="O122" t="str">
        <f>VLOOKUP(B122,Customers!A:J,5,0)</f>
        <v>Houston</v>
      </c>
      <c r="P122" t="str">
        <f>VLOOKUP(B122,Customers!A:J,10,0)</f>
        <v>Gold</v>
      </c>
      <c r="Q122" t="str">
        <f>VLOOKUP(B122,Customers!A:J,8,0)</f>
        <v>Female</v>
      </c>
      <c r="R122" t="b">
        <f t="shared" si="2"/>
        <v>1</v>
      </c>
      <c r="S122" s="18">
        <f t="shared" si="3"/>
        <v>44958</v>
      </c>
    </row>
    <row r="123" spans="1:19" x14ac:dyDescent="0.25">
      <c r="A123" s="6" t="s">
        <v>921</v>
      </c>
      <c r="B123" s="7" t="s">
        <v>89</v>
      </c>
      <c r="C123" s="15">
        <v>45609</v>
      </c>
      <c r="D123" s="7" t="s">
        <v>672</v>
      </c>
      <c r="E123" s="7" t="s">
        <v>724</v>
      </c>
      <c r="F123" s="7">
        <v>89.99</v>
      </c>
      <c r="G123" s="7">
        <v>4</v>
      </c>
      <c r="H123" s="7">
        <v>5</v>
      </c>
      <c r="I123" s="7">
        <v>85.49</v>
      </c>
      <c r="J123" s="7">
        <v>341.96</v>
      </c>
      <c r="K123" s="7" t="s">
        <v>675</v>
      </c>
      <c r="L123" s="7" t="s">
        <v>693</v>
      </c>
      <c r="M123" s="8">
        <v>4</v>
      </c>
      <c r="N123">
        <f>VLOOKUP(B123,Customers!A:J,7,0)</f>
        <v>52</v>
      </c>
      <c r="O123" t="str">
        <f>VLOOKUP(B123,Customers!A:J,5,0)</f>
        <v>Los Angeles</v>
      </c>
      <c r="P123" t="str">
        <f>VLOOKUP(B123,Customers!A:J,10,0)</f>
        <v>Free</v>
      </c>
      <c r="Q123" t="str">
        <f>VLOOKUP(B123,Customers!A:J,8,0)</f>
        <v>Female</v>
      </c>
      <c r="R123" t="b">
        <f t="shared" si="2"/>
        <v>1</v>
      </c>
      <c r="S123" s="18">
        <f t="shared" si="3"/>
        <v>45597</v>
      </c>
    </row>
    <row r="124" spans="1:19" x14ac:dyDescent="0.25">
      <c r="A124" s="3" t="s">
        <v>922</v>
      </c>
      <c r="B124" s="4" t="s">
        <v>89</v>
      </c>
      <c r="C124" s="14">
        <v>44827</v>
      </c>
      <c r="D124" s="4" t="s">
        <v>667</v>
      </c>
      <c r="E124" s="4" t="s">
        <v>714</v>
      </c>
      <c r="F124" s="4">
        <v>44.99</v>
      </c>
      <c r="G124" s="4">
        <v>4</v>
      </c>
      <c r="H124" s="4">
        <v>5</v>
      </c>
      <c r="I124" s="4">
        <v>42.74</v>
      </c>
      <c r="J124" s="4">
        <v>170.96</v>
      </c>
      <c r="K124" s="4" t="s">
        <v>661</v>
      </c>
      <c r="L124" s="4" t="s">
        <v>656</v>
      </c>
      <c r="M124" s="5">
        <v>4</v>
      </c>
      <c r="N124">
        <f>VLOOKUP(B124,Customers!A:J,7,0)</f>
        <v>52</v>
      </c>
      <c r="O124" t="str">
        <f>VLOOKUP(B124,Customers!A:J,5,0)</f>
        <v>Los Angeles</v>
      </c>
      <c r="P124" t="str">
        <f>VLOOKUP(B124,Customers!A:J,10,0)</f>
        <v>Free</v>
      </c>
      <c r="Q124" t="str">
        <f>VLOOKUP(B124,Customers!A:J,8,0)</f>
        <v>Female</v>
      </c>
      <c r="R124" t="b">
        <f t="shared" si="2"/>
        <v>1</v>
      </c>
      <c r="S124" s="18">
        <f t="shared" si="3"/>
        <v>44805</v>
      </c>
    </row>
    <row r="125" spans="1:19" x14ac:dyDescent="0.25">
      <c r="A125" s="6" t="s">
        <v>924</v>
      </c>
      <c r="B125" s="7" t="s">
        <v>89</v>
      </c>
      <c r="C125" s="15">
        <v>45464</v>
      </c>
      <c r="D125" s="7" t="s">
        <v>659</v>
      </c>
      <c r="E125" s="7" t="s">
        <v>660</v>
      </c>
      <c r="F125" s="7">
        <v>19.989999999999998</v>
      </c>
      <c r="G125" s="7">
        <v>1</v>
      </c>
      <c r="H125" s="7">
        <v>15</v>
      </c>
      <c r="I125" s="7">
        <v>16.989999999999998</v>
      </c>
      <c r="J125" s="7">
        <v>16.989999999999998</v>
      </c>
      <c r="K125" s="7" t="s">
        <v>682</v>
      </c>
      <c r="L125" s="7" t="s">
        <v>656</v>
      </c>
      <c r="M125" s="8">
        <v>5</v>
      </c>
      <c r="N125">
        <f>VLOOKUP(B125,Customers!A:J,7,0)</f>
        <v>52</v>
      </c>
      <c r="O125" t="str">
        <f>VLOOKUP(B125,Customers!A:J,5,0)</f>
        <v>Los Angeles</v>
      </c>
      <c r="P125" t="str">
        <f>VLOOKUP(B125,Customers!A:J,10,0)</f>
        <v>Free</v>
      </c>
      <c r="Q125" t="str">
        <f>VLOOKUP(B125,Customers!A:J,8,0)</f>
        <v>Female</v>
      </c>
      <c r="R125" t="b">
        <f t="shared" si="2"/>
        <v>1</v>
      </c>
      <c r="S125" s="18">
        <f t="shared" si="3"/>
        <v>45444</v>
      </c>
    </row>
    <row r="126" spans="1:19" x14ac:dyDescent="0.25">
      <c r="A126" s="3" t="s">
        <v>926</v>
      </c>
      <c r="B126" s="4" t="s">
        <v>89</v>
      </c>
      <c r="C126" s="14">
        <v>45439</v>
      </c>
      <c r="D126" s="4" t="s">
        <v>684</v>
      </c>
      <c r="E126" s="4" t="s">
        <v>815</v>
      </c>
      <c r="F126" s="4">
        <v>34.99</v>
      </c>
      <c r="G126" s="4">
        <v>4</v>
      </c>
      <c r="H126" s="4">
        <v>20</v>
      </c>
      <c r="I126" s="4">
        <v>27.99</v>
      </c>
      <c r="J126" s="4">
        <v>111.96</v>
      </c>
      <c r="K126" s="4" t="s">
        <v>661</v>
      </c>
      <c r="L126" s="4" t="s">
        <v>656</v>
      </c>
      <c r="M126" s="5">
        <v>3</v>
      </c>
      <c r="N126">
        <f>VLOOKUP(B126,Customers!A:J,7,0)</f>
        <v>52</v>
      </c>
      <c r="O126" t="str">
        <f>VLOOKUP(B126,Customers!A:J,5,0)</f>
        <v>Los Angeles</v>
      </c>
      <c r="P126" t="str">
        <f>VLOOKUP(B126,Customers!A:J,10,0)</f>
        <v>Free</v>
      </c>
      <c r="Q126" t="str">
        <f>VLOOKUP(B126,Customers!A:J,8,0)</f>
        <v>Female</v>
      </c>
      <c r="R126" t="b">
        <f t="shared" si="2"/>
        <v>1</v>
      </c>
      <c r="S126" s="18">
        <f t="shared" si="3"/>
        <v>45413</v>
      </c>
    </row>
    <row r="127" spans="1:19" x14ac:dyDescent="0.25">
      <c r="A127" s="6" t="s">
        <v>928</v>
      </c>
      <c r="B127" s="7" t="s">
        <v>89</v>
      </c>
      <c r="C127" s="15">
        <v>45333</v>
      </c>
      <c r="D127" s="7" t="s">
        <v>680</v>
      </c>
      <c r="E127" s="7" t="s">
        <v>688</v>
      </c>
      <c r="F127" s="7">
        <v>29.99</v>
      </c>
      <c r="G127" s="7">
        <v>2</v>
      </c>
      <c r="H127" s="7">
        <v>0</v>
      </c>
      <c r="I127" s="7">
        <v>29.99</v>
      </c>
      <c r="J127" s="7">
        <v>59.98</v>
      </c>
      <c r="K127" s="7" t="s">
        <v>661</v>
      </c>
      <c r="L127" s="7" t="s">
        <v>656</v>
      </c>
      <c r="M127" s="8"/>
      <c r="N127">
        <f>VLOOKUP(B127,Customers!A:J,7,0)</f>
        <v>52</v>
      </c>
      <c r="O127" t="str">
        <f>VLOOKUP(B127,Customers!A:J,5,0)</f>
        <v>Los Angeles</v>
      </c>
      <c r="P127" t="str">
        <f>VLOOKUP(B127,Customers!A:J,10,0)</f>
        <v>Free</v>
      </c>
      <c r="Q127" t="str">
        <f>VLOOKUP(B127,Customers!A:J,8,0)</f>
        <v>Female</v>
      </c>
      <c r="R127" t="b">
        <f t="shared" si="2"/>
        <v>1</v>
      </c>
      <c r="S127" s="18">
        <f t="shared" si="3"/>
        <v>45323</v>
      </c>
    </row>
    <row r="128" spans="1:19" x14ac:dyDescent="0.25">
      <c r="A128" s="3" t="s">
        <v>929</v>
      </c>
      <c r="B128" s="4" t="s">
        <v>89</v>
      </c>
      <c r="C128" s="14">
        <v>45008</v>
      </c>
      <c r="D128" s="4" t="s">
        <v>653</v>
      </c>
      <c r="E128" s="4" t="s">
        <v>827</v>
      </c>
      <c r="F128" s="4">
        <v>29.99</v>
      </c>
      <c r="G128" s="4">
        <v>1</v>
      </c>
      <c r="H128" s="4">
        <v>20</v>
      </c>
      <c r="I128" s="4">
        <v>23.99</v>
      </c>
      <c r="J128" s="4">
        <v>23.99</v>
      </c>
      <c r="K128" s="4" t="s">
        <v>669</v>
      </c>
      <c r="L128" s="4" t="s">
        <v>656</v>
      </c>
      <c r="M128" s="5">
        <v>3</v>
      </c>
      <c r="N128">
        <f>VLOOKUP(B128,Customers!A:J,7,0)</f>
        <v>52</v>
      </c>
      <c r="O128" t="str">
        <f>VLOOKUP(B128,Customers!A:J,5,0)</f>
        <v>Los Angeles</v>
      </c>
      <c r="P128" t="str">
        <f>VLOOKUP(B128,Customers!A:J,10,0)</f>
        <v>Free</v>
      </c>
      <c r="Q128" t="str">
        <f>VLOOKUP(B128,Customers!A:J,8,0)</f>
        <v>Female</v>
      </c>
      <c r="R128" t="b">
        <f t="shared" si="2"/>
        <v>1</v>
      </c>
      <c r="S128" s="18">
        <f t="shared" si="3"/>
        <v>44986</v>
      </c>
    </row>
    <row r="129" spans="1:19" x14ac:dyDescent="0.25">
      <c r="A129" s="6" t="s">
        <v>931</v>
      </c>
      <c r="B129" s="7" t="s">
        <v>89</v>
      </c>
      <c r="C129" s="15">
        <v>45396</v>
      </c>
      <c r="D129" s="7" t="s">
        <v>659</v>
      </c>
      <c r="E129" s="7" t="s">
        <v>762</v>
      </c>
      <c r="F129" s="7">
        <v>49.99</v>
      </c>
      <c r="G129" s="7">
        <v>2</v>
      </c>
      <c r="H129" s="7">
        <v>0</v>
      </c>
      <c r="I129" s="7">
        <v>49.99</v>
      </c>
      <c r="J129" s="7">
        <v>99.98</v>
      </c>
      <c r="K129" s="7" t="s">
        <v>682</v>
      </c>
      <c r="L129" s="7" t="s">
        <v>656</v>
      </c>
      <c r="M129" s="8">
        <v>3</v>
      </c>
      <c r="N129">
        <f>VLOOKUP(B129,Customers!A:J,7,0)</f>
        <v>52</v>
      </c>
      <c r="O129" t="str">
        <f>VLOOKUP(B129,Customers!A:J,5,0)</f>
        <v>Los Angeles</v>
      </c>
      <c r="P129" t="str">
        <f>VLOOKUP(B129,Customers!A:J,10,0)</f>
        <v>Free</v>
      </c>
      <c r="Q129" t="str">
        <f>VLOOKUP(B129,Customers!A:J,8,0)</f>
        <v>Female</v>
      </c>
      <c r="R129" t="b">
        <f t="shared" si="2"/>
        <v>1</v>
      </c>
      <c r="S129" s="18">
        <f t="shared" si="3"/>
        <v>45383</v>
      </c>
    </row>
    <row r="130" spans="1:19" x14ac:dyDescent="0.25">
      <c r="A130" s="3" t="s">
        <v>932</v>
      </c>
      <c r="B130" s="4" t="s">
        <v>89</v>
      </c>
      <c r="C130" s="14">
        <v>44769</v>
      </c>
      <c r="D130" s="4" t="s">
        <v>659</v>
      </c>
      <c r="E130" s="4" t="s">
        <v>664</v>
      </c>
      <c r="F130" s="4">
        <v>24.99</v>
      </c>
      <c r="G130" s="4">
        <v>2</v>
      </c>
      <c r="H130" s="4">
        <v>0</v>
      </c>
      <c r="I130" s="4">
        <v>24.99</v>
      </c>
      <c r="J130" s="4">
        <v>49.98</v>
      </c>
      <c r="K130" s="4" t="s">
        <v>669</v>
      </c>
      <c r="L130" s="4" t="s">
        <v>656</v>
      </c>
      <c r="M130" s="5">
        <v>5</v>
      </c>
      <c r="N130">
        <f>VLOOKUP(B130,Customers!A:J,7,0)</f>
        <v>52</v>
      </c>
      <c r="O130" t="str">
        <f>VLOOKUP(B130,Customers!A:J,5,0)</f>
        <v>Los Angeles</v>
      </c>
      <c r="P130" t="str">
        <f>VLOOKUP(B130,Customers!A:J,10,0)</f>
        <v>Free</v>
      </c>
      <c r="Q130" t="str">
        <f>VLOOKUP(B130,Customers!A:J,8,0)</f>
        <v>Female</v>
      </c>
      <c r="R130" t="b">
        <f t="shared" si="2"/>
        <v>1</v>
      </c>
      <c r="S130" s="18">
        <f t="shared" si="3"/>
        <v>44743</v>
      </c>
    </row>
    <row r="131" spans="1:19" x14ac:dyDescent="0.25">
      <c r="A131" s="6" t="s">
        <v>934</v>
      </c>
      <c r="B131" s="7" t="s">
        <v>89</v>
      </c>
      <c r="C131" s="15">
        <v>45649</v>
      </c>
      <c r="D131" s="7" t="s">
        <v>672</v>
      </c>
      <c r="E131" s="7" t="s">
        <v>735</v>
      </c>
      <c r="F131" s="7">
        <v>44.99</v>
      </c>
      <c r="G131" s="7">
        <v>2</v>
      </c>
      <c r="H131" s="7">
        <v>10</v>
      </c>
      <c r="I131" s="7">
        <v>40.49</v>
      </c>
      <c r="J131" s="7">
        <v>80.98</v>
      </c>
      <c r="K131" s="7" t="s">
        <v>675</v>
      </c>
      <c r="L131" s="7" t="s">
        <v>785</v>
      </c>
      <c r="M131" s="8"/>
      <c r="N131">
        <f>VLOOKUP(B131,Customers!A:J,7,0)</f>
        <v>52</v>
      </c>
      <c r="O131" t="str">
        <f>VLOOKUP(B131,Customers!A:J,5,0)</f>
        <v>Los Angeles</v>
      </c>
      <c r="P131" t="str">
        <f>VLOOKUP(B131,Customers!A:J,10,0)</f>
        <v>Free</v>
      </c>
      <c r="Q131" t="str">
        <f>VLOOKUP(B131,Customers!A:J,8,0)</f>
        <v>Female</v>
      </c>
      <c r="R131" t="b">
        <f t="shared" ref="R131:R194" si="4">ISNUMBER(C131)</f>
        <v>1</v>
      </c>
      <c r="S131" s="18">
        <f t="shared" ref="S131:S194" si="5">DATE(YEAR(C131),MONTH(C131),1)</f>
        <v>45627</v>
      </c>
    </row>
    <row r="132" spans="1:19" x14ac:dyDescent="0.25">
      <c r="A132" s="3" t="s">
        <v>936</v>
      </c>
      <c r="B132" s="4" t="s">
        <v>89</v>
      </c>
      <c r="C132" s="14">
        <v>44722</v>
      </c>
      <c r="D132" s="4" t="s">
        <v>659</v>
      </c>
      <c r="E132" s="4" t="s">
        <v>820</v>
      </c>
      <c r="F132" s="4">
        <v>39.99</v>
      </c>
      <c r="G132" s="4">
        <v>4</v>
      </c>
      <c r="H132" s="4">
        <v>15</v>
      </c>
      <c r="I132" s="4">
        <v>33.99</v>
      </c>
      <c r="J132" s="4">
        <v>135.96</v>
      </c>
      <c r="K132" s="4" t="s">
        <v>661</v>
      </c>
      <c r="L132" s="4" t="s">
        <v>656</v>
      </c>
      <c r="M132" s="5">
        <v>4</v>
      </c>
      <c r="N132">
        <f>VLOOKUP(B132,Customers!A:J,7,0)</f>
        <v>52</v>
      </c>
      <c r="O132" t="str">
        <f>VLOOKUP(B132,Customers!A:J,5,0)</f>
        <v>Los Angeles</v>
      </c>
      <c r="P132" t="str">
        <f>VLOOKUP(B132,Customers!A:J,10,0)</f>
        <v>Free</v>
      </c>
      <c r="Q132" t="str">
        <f>VLOOKUP(B132,Customers!A:J,8,0)</f>
        <v>Female</v>
      </c>
      <c r="R132" t="b">
        <f t="shared" si="4"/>
        <v>1</v>
      </c>
      <c r="S132" s="18">
        <f t="shared" si="5"/>
        <v>44713</v>
      </c>
    </row>
    <row r="133" spans="1:19" x14ac:dyDescent="0.25">
      <c r="A133" s="6" t="s">
        <v>938</v>
      </c>
      <c r="B133" s="7" t="s">
        <v>94</v>
      </c>
      <c r="C133" s="15">
        <v>45042</v>
      </c>
      <c r="D133" s="7" t="s">
        <v>710</v>
      </c>
      <c r="E133" s="7" t="s">
        <v>711</v>
      </c>
      <c r="F133" s="7">
        <v>14.99</v>
      </c>
      <c r="G133" s="7">
        <v>3</v>
      </c>
      <c r="H133" s="7">
        <v>15</v>
      </c>
      <c r="I133" s="7">
        <v>12.74</v>
      </c>
      <c r="J133" s="7">
        <v>38.22</v>
      </c>
      <c r="K133" s="7" t="s">
        <v>655</v>
      </c>
      <c r="L133" s="7" t="s">
        <v>788</v>
      </c>
      <c r="M133" s="8">
        <v>5</v>
      </c>
      <c r="N133">
        <f>VLOOKUP(B133,Customers!A:J,7,0)</f>
        <v>20</v>
      </c>
      <c r="O133" t="str">
        <f>VLOOKUP(B133,Customers!A:J,5,0)</f>
        <v>Houston</v>
      </c>
      <c r="P133" t="str">
        <f>VLOOKUP(B133,Customers!A:J,10,0)</f>
        <v>Free</v>
      </c>
      <c r="Q133" t="str">
        <f>VLOOKUP(B133,Customers!A:J,8,0)</f>
        <v>Male</v>
      </c>
      <c r="R133" t="b">
        <f t="shared" si="4"/>
        <v>1</v>
      </c>
      <c r="S133" s="18">
        <f t="shared" si="5"/>
        <v>45017</v>
      </c>
    </row>
    <row r="134" spans="1:19" x14ac:dyDescent="0.25">
      <c r="A134" s="3" t="s">
        <v>940</v>
      </c>
      <c r="B134" s="4" t="s">
        <v>94</v>
      </c>
      <c r="C134" s="14">
        <v>45019</v>
      </c>
      <c r="D134" s="4" t="s">
        <v>680</v>
      </c>
      <c r="E134" s="4" t="s">
        <v>708</v>
      </c>
      <c r="F134" s="4">
        <v>24.99</v>
      </c>
      <c r="G134" s="4">
        <v>1</v>
      </c>
      <c r="H134" s="4">
        <v>0</v>
      </c>
      <c r="I134" s="4">
        <v>24.99</v>
      </c>
      <c r="J134" s="4">
        <v>24.99</v>
      </c>
      <c r="K134" s="4" t="s">
        <v>675</v>
      </c>
      <c r="L134" s="4" t="s">
        <v>656</v>
      </c>
      <c r="M134" s="5">
        <v>4</v>
      </c>
      <c r="N134">
        <f>VLOOKUP(B134,Customers!A:J,7,0)</f>
        <v>20</v>
      </c>
      <c r="O134" t="str">
        <f>VLOOKUP(B134,Customers!A:J,5,0)</f>
        <v>Houston</v>
      </c>
      <c r="P134" t="str">
        <f>VLOOKUP(B134,Customers!A:J,10,0)</f>
        <v>Free</v>
      </c>
      <c r="Q134" t="str">
        <f>VLOOKUP(B134,Customers!A:J,8,0)</f>
        <v>Male</v>
      </c>
      <c r="R134" t="b">
        <f t="shared" si="4"/>
        <v>1</v>
      </c>
      <c r="S134" s="18">
        <f t="shared" si="5"/>
        <v>45017</v>
      </c>
    </row>
    <row r="135" spans="1:19" x14ac:dyDescent="0.25">
      <c r="A135" s="6" t="s">
        <v>942</v>
      </c>
      <c r="B135" s="7" t="s">
        <v>94</v>
      </c>
      <c r="C135" s="15">
        <v>44611</v>
      </c>
      <c r="D135" s="7" t="s">
        <v>653</v>
      </c>
      <c r="E135" s="7" t="s">
        <v>727</v>
      </c>
      <c r="F135" s="7">
        <v>14.99</v>
      </c>
      <c r="G135" s="7">
        <v>4</v>
      </c>
      <c r="H135" s="7">
        <v>20</v>
      </c>
      <c r="I135" s="7">
        <v>11.99</v>
      </c>
      <c r="J135" s="7">
        <v>47.96</v>
      </c>
      <c r="K135" s="7" t="s">
        <v>661</v>
      </c>
      <c r="L135" s="7" t="s">
        <v>739</v>
      </c>
      <c r="M135" s="8">
        <v>5</v>
      </c>
      <c r="N135">
        <f>VLOOKUP(B135,Customers!A:J,7,0)</f>
        <v>20</v>
      </c>
      <c r="O135" t="str">
        <f>VLOOKUP(B135,Customers!A:J,5,0)</f>
        <v>Houston</v>
      </c>
      <c r="P135" t="str">
        <f>VLOOKUP(B135,Customers!A:J,10,0)</f>
        <v>Free</v>
      </c>
      <c r="Q135" t="str">
        <f>VLOOKUP(B135,Customers!A:J,8,0)</f>
        <v>Male</v>
      </c>
      <c r="R135" t="b">
        <f t="shared" si="4"/>
        <v>1</v>
      </c>
      <c r="S135" s="18">
        <f t="shared" si="5"/>
        <v>44593</v>
      </c>
    </row>
    <row r="136" spans="1:19" x14ac:dyDescent="0.25">
      <c r="A136" s="3" t="s">
        <v>944</v>
      </c>
      <c r="B136" s="4" t="s">
        <v>94</v>
      </c>
      <c r="C136" s="14">
        <v>45298</v>
      </c>
      <c r="D136" s="4" t="s">
        <v>653</v>
      </c>
      <c r="E136" s="4" t="s">
        <v>827</v>
      </c>
      <c r="F136" s="4">
        <v>29.99</v>
      </c>
      <c r="G136" s="4">
        <v>2</v>
      </c>
      <c r="H136" s="4">
        <v>5</v>
      </c>
      <c r="I136" s="4">
        <v>28.49</v>
      </c>
      <c r="J136" s="4">
        <v>56.98</v>
      </c>
      <c r="K136" s="4" t="s">
        <v>682</v>
      </c>
      <c r="L136" s="4" t="s">
        <v>656</v>
      </c>
      <c r="M136" s="5">
        <v>5</v>
      </c>
      <c r="N136">
        <f>VLOOKUP(B136,Customers!A:J,7,0)</f>
        <v>20</v>
      </c>
      <c r="O136" t="str">
        <f>VLOOKUP(B136,Customers!A:J,5,0)</f>
        <v>Houston</v>
      </c>
      <c r="P136" t="str">
        <f>VLOOKUP(B136,Customers!A:J,10,0)</f>
        <v>Free</v>
      </c>
      <c r="Q136" t="str">
        <f>VLOOKUP(B136,Customers!A:J,8,0)</f>
        <v>Male</v>
      </c>
      <c r="R136" t="b">
        <f t="shared" si="4"/>
        <v>1</v>
      </c>
      <c r="S136" s="18">
        <f t="shared" si="5"/>
        <v>45292</v>
      </c>
    </row>
    <row r="137" spans="1:19" x14ac:dyDescent="0.25">
      <c r="A137" s="6" t="s">
        <v>946</v>
      </c>
      <c r="B137" s="7" t="s">
        <v>94</v>
      </c>
      <c r="C137" s="15">
        <v>45093</v>
      </c>
      <c r="D137" s="7" t="s">
        <v>710</v>
      </c>
      <c r="E137" s="7" t="s">
        <v>730</v>
      </c>
      <c r="F137" s="7">
        <v>39.99</v>
      </c>
      <c r="G137" s="7">
        <v>4</v>
      </c>
      <c r="H137" s="7">
        <v>0</v>
      </c>
      <c r="I137" s="7">
        <v>39.99</v>
      </c>
      <c r="J137" s="7">
        <v>159.96</v>
      </c>
      <c r="K137" s="7" t="s">
        <v>675</v>
      </c>
      <c r="L137" s="7" t="s">
        <v>656</v>
      </c>
      <c r="M137" s="8"/>
      <c r="N137">
        <f>VLOOKUP(B137,Customers!A:J,7,0)</f>
        <v>20</v>
      </c>
      <c r="O137" t="str">
        <f>VLOOKUP(B137,Customers!A:J,5,0)</f>
        <v>Houston</v>
      </c>
      <c r="P137" t="str">
        <f>VLOOKUP(B137,Customers!A:J,10,0)</f>
        <v>Free</v>
      </c>
      <c r="Q137" t="str">
        <f>VLOOKUP(B137,Customers!A:J,8,0)</f>
        <v>Male</v>
      </c>
      <c r="R137" t="b">
        <f t="shared" si="4"/>
        <v>1</v>
      </c>
      <c r="S137" s="18">
        <f t="shared" si="5"/>
        <v>45078</v>
      </c>
    </row>
    <row r="138" spans="1:19" x14ac:dyDescent="0.25">
      <c r="A138" s="3" t="s">
        <v>947</v>
      </c>
      <c r="B138" s="4" t="s">
        <v>94</v>
      </c>
      <c r="C138" s="14">
        <v>45416</v>
      </c>
      <c r="D138" s="4" t="s">
        <v>684</v>
      </c>
      <c r="E138" s="4" t="s">
        <v>815</v>
      </c>
      <c r="F138" s="4">
        <v>34.99</v>
      </c>
      <c r="G138" s="4">
        <v>2</v>
      </c>
      <c r="H138" s="4">
        <v>10</v>
      </c>
      <c r="I138" s="4">
        <v>31.49</v>
      </c>
      <c r="J138" s="4">
        <v>62.98</v>
      </c>
      <c r="K138" s="4" t="s">
        <v>669</v>
      </c>
      <c r="L138" s="4" t="s">
        <v>656</v>
      </c>
      <c r="M138" s="5"/>
      <c r="N138">
        <f>VLOOKUP(B138,Customers!A:J,7,0)</f>
        <v>20</v>
      </c>
      <c r="O138" t="str">
        <f>VLOOKUP(B138,Customers!A:J,5,0)</f>
        <v>Houston</v>
      </c>
      <c r="P138" t="str">
        <f>VLOOKUP(B138,Customers!A:J,10,0)</f>
        <v>Free</v>
      </c>
      <c r="Q138" t="str">
        <f>VLOOKUP(B138,Customers!A:J,8,0)</f>
        <v>Male</v>
      </c>
      <c r="R138" t="b">
        <f t="shared" si="4"/>
        <v>1</v>
      </c>
      <c r="S138" s="18">
        <f t="shared" si="5"/>
        <v>45413</v>
      </c>
    </row>
    <row r="139" spans="1:19" x14ac:dyDescent="0.25">
      <c r="A139" s="6" t="s">
        <v>949</v>
      </c>
      <c r="B139" s="7" t="s">
        <v>94</v>
      </c>
      <c r="C139" s="15">
        <v>45516</v>
      </c>
      <c r="D139" s="7" t="s">
        <v>710</v>
      </c>
      <c r="E139" s="7" t="s">
        <v>744</v>
      </c>
      <c r="F139" s="7">
        <v>29.99</v>
      </c>
      <c r="G139" s="7">
        <v>4</v>
      </c>
      <c r="H139" s="7">
        <v>0</v>
      </c>
      <c r="I139" s="7">
        <v>29.99</v>
      </c>
      <c r="J139" s="7">
        <v>119.96</v>
      </c>
      <c r="K139" s="7" t="s">
        <v>675</v>
      </c>
      <c r="L139" s="7" t="s">
        <v>656</v>
      </c>
      <c r="M139" s="8">
        <v>3</v>
      </c>
      <c r="N139">
        <f>VLOOKUP(B139,Customers!A:J,7,0)</f>
        <v>20</v>
      </c>
      <c r="O139" t="str">
        <f>VLOOKUP(B139,Customers!A:J,5,0)</f>
        <v>Houston</v>
      </c>
      <c r="P139" t="str">
        <f>VLOOKUP(B139,Customers!A:J,10,0)</f>
        <v>Free</v>
      </c>
      <c r="Q139" t="str">
        <f>VLOOKUP(B139,Customers!A:J,8,0)</f>
        <v>Male</v>
      </c>
      <c r="R139" t="b">
        <f t="shared" si="4"/>
        <v>1</v>
      </c>
      <c r="S139" s="18">
        <f t="shared" si="5"/>
        <v>45505</v>
      </c>
    </row>
    <row r="140" spans="1:19" x14ac:dyDescent="0.25">
      <c r="A140" s="3" t="s">
        <v>951</v>
      </c>
      <c r="B140" s="4" t="s">
        <v>94</v>
      </c>
      <c r="C140" s="14">
        <v>45221</v>
      </c>
      <c r="D140" s="4" t="s">
        <v>672</v>
      </c>
      <c r="E140" s="4" t="s">
        <v>673</v>
      </c>
      <c r="F140" s="4">
        <v>24.99</v>
      </c>
      <c r="G140" s="4">
        <v>1</v>
      </c>
      <c r="H140" s="4">
        <v>10</v>
      </c>
      <c r="I140" s="4">
        <v>22.49</v>
      </c>
      <c r="J140" s="4">
        <v>22.49</v>
      </c>
      <c r="K140" s="4" t="s">
        <v>661</v>
      </c>
      <c r="L140" s="4" t="s">
        <v>656</v>
      </c>
      <c r="M140" s="5">
        <v>2</v>
      </c>
      <c r="N140">
        <f>VLOOKUP(B140,Customers!A:J,7,0)</f>
        <v>20</v>
      </c>
      <c r="O140" t="str">
        <f>VLOOKUP(B140,Customers!A:J,5,0)</f>
        <v>Houston</v>
      </c>
      <c r="P140" t="str">
        <f>VLOOKUP(B140,Customers!A:J,10,0)</f>
        <v>Free</v>
      </c>
      <c r="Q140" t="str">
        <f>VLOOKUP(B140,Customers!A:J,8,0)</f>
        <v>Male</v>
      </c>
      <c r="R140" t="b">
        <f t="shared" si="4"/>
        <v>1</v>
      </c>
      <c r="S140" s="18">
        <f t="shared" si="5"/>
        <v>45200</v>
      </c>
    </row>
    <row r="141" spans="1:19" x14ac:dyDescent="0.25">
      <c r="A141" s="6" t="s">
        <v>953</v>
      </c>
      <c r="B141" s="7" t="s">
        <v>97</v>
      </c>
      <c r="C141" s="15">
        <v>45327</v>
      </c>
      <c r="D141" s="7" t="s">
        <v>684</v>
      </c>
      <c r="E141" s="7" t="s">
        <v>685</v>
      </c>
      <c r="F141" s="7">
        <v>49.99</v>
      </c>
      <c r="G141" s="7">
        <v>2</v>
      </c>
      <c r="H141" s="7">
        <v>0</v>
      </c>
      <c r="I141" s="7">
        <v>49.99</v>
      </c>
      <c r="J141" s="7">
        <v>99.98</v>
      </c>
      <c r="K141" s="7" t="s">
        <v>675</v>
      </c>
      <c r="L141" s="7" t="s">
        <v>656</v>
      </c>
      <c r="M141" s="8">
        <v>4</v>
      </c>
      <c r="N141">
        <f>VLOOKUP(B141,Customers!A:J,7,0)</f>
        <v>45</v>
      </c>
      <c r="O141" t="str">
        <f>VLOOKUP(B141,Customers!A:J,5,0)</f>
        <v>Los Angeles</v>
      </c>
      <c r="P141" t="str">
        <f>VLOOKUP(B141,Customers!A:J,10,0)</f>
        <v>Platinum</v>
      </c>
      <c r="Q141" t="str">
        <f>VLOOKUP(B141,Customers!A:J,8,0)</f>
        <v>Male</v>
      </c>
      <c r="R141" t="b">
        <f t="shared" si="4"/>
        <v>1</v>
      </c>
      <c r="S141" s="18">
        <f t="shared" si="5"/>
        <v>45323</v>
      </c>
    </row>
    <row r="142" spans="1:19" x14ac:dyDescent="0.25">
      <c r="A142" s="3" t="s">
        <v>954</v>
      </c>
      <c r="B142" s="4" t="s">
        <v>97</v>
      </c>
      <c r="C142" s="14">
        <v>45274</v>
      </c>
      <c r="D142" s="4" t="s">
        <v>667</v>
      </c>
      <c r="E142" s="4" t="s">
        <v>699</v>
      </c>
      <c r="F142" s="4">
        <v>89.99</v>
      </c>
      <c r="G142" s="4">
        <v>4</v>
      </c>
      <c r="H142" s="4">
        <v>10</v>
      </c>
      <c r="I142" s="4">
        <v>80.989999999999995</v>
      </c>
      <c r="J142" s="4">
        <v>323.95999999999998</v>
      </c>
      <c r="K142" s="4" t="s">
        <v>675</v>
      </c>
      <c r="L142" s="4" t="s">
        <v>656</v>
      </c>
      <c r="M142" s="5">
        <v>4</v>
      </c>
      <c r="N142">
        <f>VLOOKUP(B142,Customers!A:J,7,0)</f>
        <v>45</v>
      </c>
      <c r="O142" t="str">
        <f>VLOOKUP(B142,Customers!A:J,5,0)</f>
        <v>Los Angeles</v>
      </c>
      <c r="P142" t="str">
        <f>VLOOKUP(B142,Customers!A:J,10,0)</f>
        <v>Platinum</v>
      </c>
      <c r="Q142" t="str">
        <f>VLOOKUP(B142,Customers!A:J,8,0)</f>
        <v>Male</v>
      </c>
      <c r="R142" t="b">
        <f t="shared" si="4"/>
        <v>1</v>
      </c>
      <c r="S142" s="18">
        <f t="shared" si="5"/>
        <v>45261</v>
      </c>
    </row>
    <row r="143" spans="1:19" x14ac:dyDescent="0.25">
      <c r="A143" s="6" t="s">
        <v>956</v>
      </c>
      <c r="B143" s="7" t="s">
        <v>100</v>
      </c>
      <c r="C143" s="15">
        <v>44991</v>
      </c>
      <c r="D143" s="7" t="s">
        <v>684</v>
      </c>
      <c r="E143" s="7" t="s">
        <v>685</v>
      </c>
      <c r="F143" s="7">
        <v>49.99</v>
      </c>
      <c r="G143" s="7">
        <v>3</v>
      </c>
      <c r="H143" s="7">
        <v>0</v>
      </c>
      <c r="I143" s="7">
        <v>49.99</v>
      </c>
      <c r="J143" s="7">
        <v>149.97</v>
      </c>
      <c r="K143" s="7" t="s">
        <v>675</v>
      </c>
      <c r="L143" s="7" t="s">
        <v>788</v>
      </c>
      <c r="M143" s="8">
        <v>4</v>
      </c>
      <c r="N143">
        <f>VLOOKUP(B143,Customers!A:J,7,0)</f>
        <v>62</v>
      </c>
      <c r="O143" t="str">
        <f>VLOOKUP(B143,Customers!A:J,5,0)</f>
        <v>San Antonio</v>
      </c>
      <c r="P143" t="str">
        <f>VLOOKUP(B143,Customers!A:J,10,0)</f>
        <v>Gold</v>
      </c>
      <c r="Q143" t="str">
        <f>VLOOKUP(B143,Customers!A:J,8,0)</f>
        <v>Female</v>
      </c>
      <c r="R143" t="b">
        <f t="shared" si="4"/>
        <v>1</v>
      </c>
      <c r="S143" s="18">
        <f t="shared" si="5"/>
        <v>44986</v>
      </c>
    </row>
    <row r="144" spans="1:19" x14ac:dyDescent="0.25">
      <c r="A144" s="3" t="s">
        <v>957</v>
      </c>
      <c r="B144" s="4" t="s">
        <v>100</v>
      </c>
      <c r="C144" s="14">
        <v>44782</v>
      </c>
      <c r="D144" s="4" t="s">
        <v>680</v>
      </c>
      <c r="E144" s="4" t="s">
        <v>749</v>
      </c>
      <c r="F144" s="4">
        <v>14.99</v>
      </c>
      <c r="G144" s="4">
        <v>3</v>
      </c>
      <c r="H144" s="4">
        <v>10</v>
      </c>
      <c r="I144" s="4">
        <v>13.49</v>
      </c>
      <c r="J144" s="4">
        <v>40.47</v>
      </c>
      <c r="K144" s="4" t="s">
        <v>682</v>
      </c>
      <c r="L144" s="4" t="s">
        <v>788</v>
      </c>
      <c r="M144" s="5"/>
      <c r="N144">
        <f>VLOOKUP(B144,Customers!A:J,7,0)</f>
        <v>62</v>
      </c>
      <c r="O144" t="str">
        <f>VLOOKUP(B144,Customers!A:J,5,0)</f>
        <v>San Antonio</v>
      </c>
      <c r="P144" t="str">
        <f>VLOOKUP(B144,Customers!A:J,10,0)</f>
        <v>Gold</v>
      </c>
      <c r="Q144" t="str">
        <f>VLOOKUP(B144,Customers!A:J,8,0)</f>
        <v>Female</v>
      </c>
      <c r="R144" t="b">
        <f t="shared" si="4"/>
        <v>1</v>
      </c>
      <c r="S144" s="18">
        <f t="shared" si="5"/>
        <v>44774</v>
      </c>
    </row>
    <row r="145" spans="1:19" x14ac:dyDescent="0.25">
      <c r="A145" s="6" t="s">
        <v>959</v>
      </c>
      <c r="B145" s="7" t="s">
        <v>100</v>
      </c>
      <c r="C145" s="15">
        <v>44691</v>
      </c>
      <c r="D145" s="7" t="s">
        <v>684</v>
      </c>
      <c r="E145" s="7" t="s">
        <v>702</v>
      </c>
      <c r="F145" s="7">
        <v>199.99</v>
      </c>
      <c r="G145" s="7">
        <v>3</v>
      </c>
      <c r="H145" s="7">
        <v>0</v>
      </c>
      <c r="I145" s="7">
        <v>199.99</v>
      </c>
      <c r="J145" s="7">
        <v>599.97</v>
      </c>
      <c r="K145" s="7" t="s">
        <v>682</v>
      </c>
      <c r="L145" s="7" t="s">
        <v>656</v>
      </c>
      <c r="M145" s="8">
        <v>5</v>
      </c>
      <c r="N145">
        <f>VLOOKUP(B145,Customers!A:J,7,0)</f>
        <v>62</v>
      </c>
      <c r="O145" t="str">
        <f>VLOOKUP(B145,Customers!A:J,5,0)</f>
        <v>San Antonio</v>
      </c>
      <c r="P145" t="str">
        <f>VLOOKUP(B145,Customers!A:J,10,0)</f>
        <v>Gold</v>
      </c>
      <c r="Q145" t="str">
        <f>VLOOKUP(B145,Customers!A:J,8,0)</f>
        <v>Female</v>
      </c>
      <c r="R145" t="b">
        <f t="shared" si="4"/>
        <v>1</v>
      </c>
      <c r="S145" s="18">
        <f t="shared" si="5"/>
        <v>44682</v>
      </c>
    </row>
    <row r="146" spans="1:19" x14ac:dyDescent="0.25">
      <c r="A146" s="3" t="s">
        <v>961</v>
      </c>
      <c r="B146" s="4" t="s">
        <v>100</v>
      </c>
      <c r="C146" s="14">
        <v>45577</v>
      </c>
      <c r="D146" s="4" t="s">
        <v>680</v>
      </c>
      <c r="E146" s="4" t="s">
        <v>688</v>
      </c>
      <c r="F146" s="4">
        <v>29.99</v>
      </c>
      <c r="G146" s="4">
        <v>4</v>
      </c>
      <c r="H146" s="4">
        <v>0</v>
      </c>
      <c r="I146" s="4">
        <v>29.99</v>
      </c>
      <c r="J146" s="4">
        <v>119.96</v>
      </c>
      <c r="K146" s="4" t="s">
        <v>661</v>
      </c>
      <c r="L146" s="4" t="s">
        <v>656</v>
      </c>
      <c r="M146" s="5">
        <v>3</v>
      </c>
      <c r="N146">
        <f>VLOOKUP(B146,Customers!A:J,7,0)</f>
        <v>62</v>
      </c>
      <c r="O146" t="str">
        <f>VLOOKUP(B146,Customers!A:J,5,0)</f>
        <v>San Antonio</v>
      </c>
      <c r="P146" t="str">
        <f>VLOOKUP(B146,Customers!A:J,10,0)</f>
        <v>Gold</v>
      </c>
      <c r="Q146" t="str">
        <f>VLOOKUP(B146,Customers!A:J,8,0)</f>
        <v>Female</v>
      </c>
      <c r="R146" t="b">
        <f t="shared" si="4"/>
        <v>1</v>
      </c>
      <c r="S146" s="18">
        <f t="shared" si="5"/>
        <v>45566</v>
      </c>
    </row>
    <row r="147" spans="1:19" x14ac:dyDescent="0.25">
      <c r="A147" s="6" t="s">
        <v>963</v>
      </c>
      <c r="B147" s="7" t="s">
        <v>100</v>
      </c>
      <c r="C147" s="15">
        <v>44599</v>
      </c>
      <c r="D147" s="7" t="s">
        <v>710</v>
      </c>
      <c r="E147" s="7" t="s">
        <v>744</v>
      </c>
      <c r="F147" s="7">
        <v>29.99</v>
      </c>
      <c r="G147" s="7">
        <v>4</v>
      </c>
      <c r="H147" s="7">
        <v>5</v>
      </c>
      <c r="I147" s="7">
        <v>28.49</v>
      </c>
      <c r="J147" s="7">
        <v>113.96</v>
      </c>
      <c r="K147" s="7" t="s">
        <v>661</v>
      </c>
      <c r="L147" s="7" t="s">
        <v>785</v>
      </c>
      <c r="M147" s="8"/>
      <c r="N147">
        <f>VLOOKUP(B147,Customers!A:J,7,0)</f>
        <v>62</v>
      </c>
      <c r="O147" t="str">
        <f>VLOOKUP(B147,Customers!A:J,5,0)</f>
        <v>San Antonio</v>
      </c>
      <c r="P147" t="str">
        <f>VLOOKUP(B147,Customers!A:J,10,0)</f>
        <v>Gold</v>
      </c>
      <c r="Q147" t="str">
        <f>VLOOKUP(B147,Customers!A:J,8,0)</f>
        <v>Female</v>
      </c>
      <c r="R147" t="b">
        <f t="shared" si="4"/>
        <v>1</v>
      </c>
      <c r="S147" s="18">
        <f t="shared" si="5"/>
        <v>44593</v>
      </c>
    </row>
    <row r="148" spans="1:19" x14ac:dyDescent="0.25">
      <c r="A148" s="3" t="s">
        <v>965</v>
      </c>
      <c r="B148" s="4" t="s">
        <v>100</v>
      </c>
      <c r="C148" s="14">
        <v>45426</v>
      </c>
      <c r="D148" s="4" t="s">
        <v>667</v>
      </c>
      <c r="E148" s="4" t="s">
        <v>696</v>
      </c>
      <c r="F148" s="4">
        <v>59.99</v>
      </c>
      <c r="G148" s="4">
        <v>4</v>
      </c>
      <c r="H148" s="4">
        <v>5</v>
      </c>
      <c r="I148" s="4">
        <v>56.99</v>
      </c>
      <c r="J148" s="4">
        <v>227.96</v>
      </c>
      <c r="K148" s="4" t="s">
        <v>669</v>
      </c>
      <c r="L148" s="4" t="s">
        <v>656</v>
      </c>
      <c r="M148" s="5">
        <v>4</v>
      </c>
      <c r="N148">
        <f>VLOOKUP(B148,Customers!A:J,7,0)</f>
        <v>62</v>
      </c>
      <c r="O148" t="str">
        <f>VLOOKUP(B148,Customers!A:J,5,0)</f>
        <v>San Antonio</v>
      </c>
      <c r="P148" t="str">
        <f>VLOOKUP(B148,Customers!A:J,10,0)</f>
        <v>Gold</v>
      </c>
      <c r="Q148" t="str">
        <f>VLOOKUP(B148,Customers!A:J,8,0)</f>
        <v>Female</v>
      </c>
      <c r="R148" t="b">
        <f t="shared" si="4"/>
        <v>1</v>
      </c>
      <c r="S148" s="18">
        <f t="shared" si="5"/>
        <v>45413</v>
      </c>
    </row>
    <row r="149" spans="1:19" x14ac:dyDescent="0.25">
      <c r="A149" s="6" t="s">
        <v>967</v>
      </c>
      <c r="B149" s="7" t="s">
        <v>100</v>
      </c>
      <c r="C149" s="15">
        <v>44593</v>
      </c>
      <c r="D149" s="7" t="s">
        <v>672</v>
      </c>
      <c r="E149" s="7" t="s">
        <v>673</v>
      </c>
      <c r="F149" s="7">
        <v>24.99</v>
      </c>
      <c r="G149" s="7">
        <v>3</v>
      </c>
      <c r="H149" s="7">
        <v>10</v>
      </c>
      <c r="I149" s="7">
        <v>22.49</v>
      </c>
      <c r="J149" s="7">
        <v>67.47</v>
      </c>
      <c r="K149" s="7" t="s">
        <v>661</v>
      </c>
      <c r="L149" s="7" t="s">
        <v>788</v>
      </c>
      <c r="M149" s="8">
        <v>5</v>
      </c>
      <c r="N149">
        <f>VLOOKUP(B149,Customers!A:J,7,0)</f>
        <v>62</v>
      </c>
      <c r="O149" t="str">
        <f>VLOOKUP(B149,Customers!A:J,5,0)</f>
        <v>San Antonio</v>
      </c>
      <c r="P149" t="str">
        <f>VLOOKUP(B149,Customers!A:J,10,0)</f>
        <v>Gold</v>
      </c>
      <c r="Q149" t="str">
        <f>VLOOKUP(B149,Customers!A:J,8,0)</f>
        <v>Female</v>
      </c>
      <c r="R149" t="b">
        <f t="shared" si="4"/>
        <v>1</v>
      </c>
      <c r="S149" s="18">
        <f t="shared" si="5"/>
        <v>44593</v>
      </c>
    </row>
    <row r="150" spans="1:19" x14ac:dyDescent="0.25">
      <c r="A150" s="3" t="s">
        <v>969</v>
      </c>
      <c r="B150" s="4" t="s">
        <v>100</v>
      </c>
      <c r="C150" s="14">
        <v>44800</v>
      </c>
      <c r="D150" s="4" t="s">
        <v>710</v>
      </c>
      <c r="E150" s="4" t="s">
        <v>744</v>
      </c>
      <c r="F150" s="4">
        <v>29.99</v>
      </c>
      <c r="G150" s="4">
        <v>1</v>
      </c>
      <c r="H150" s="4">
        <v>10</v>
      </c>
      <c r="I150" s="4">
        <v>26.99</v>
      </c>
      <c r="J150" s="4">
        <v>26.99</v>
      </c>
      <c r="K150" s="4" t="s">
        <v>661</v>
      </c>
      <c r="L150" s="4" t="s">
        <v>656</v>
      </c>
      <c r="M150" s="5">
        <v>3</v>
      </c>
      <c r="N150">
        <f>VLOOKUP(B150,Customers!A:J,7,0)</f>
        <v>62</v>
      </c>
      <c r="O150" t="str">
        <f>VLOOKUP(B150,Customers!A:J,5,0)</f>
        <v>San Antonio</v>
      </c>
      <c r="P150" t="str">
        <f>VLOOKUP(B150,Customers!A:J,10,0)</f>
        <v>Gold</v>
      </c>
      <c r="Q150" t="str">
        <f>VLOOKUP(B150,Customers!A:J,8,0)</f>
        <v>Female</v>
      </c>
      <c r="R150" t="b">
        <f t="shared" si="4"/>
        <v>1</v>
      </c>
      <c r="S150" s="18">
        <f t="shared" si="5"/>
        <v>44774</v>
      </c>
    </row>
    <row r="151" spans="1:19" x14ac:dyDescent="0.25">
      <c r="A151" s="6" t="s">
        <v>970</v>
      </c>
      <c r="B151" s="7" t="s">
        <v>100</v>
      </c>
      <c r="C151" s="15">
        <v>44675</v>
      </c>
      <c r="D151" s="7" t="s">
        <v>710</v>
      </c>
      <c r="E151" s="7" t="s">
        <v>744</v>
      </c>
      <c r="F151" s="7">
        <v>29.99</v>
      </c>
      <c r="G151" s="7">
        <v>3</v>
      </c>
      <c r="H151" s="7">
        <v>0</v>
      </c>
      <c r="I151" s="7">
        <v>29.99</v>
      </c>
      <c r="J151" s="7">
        <v>89.97</v>
      </c>
      <c r="K151" s="7" t="s">
        <v>655</v>
      </c>
      <c r="L151" s="7" t="s">
        <v>656</v>
      </c>
      <c r="M151" s="8">
        <v>5</v>
      </c>
      <c r="N151">
        <f>VLOOKUP(B151,Customers!A:J,7,0)</f>
        <v>62</v>
      </c>
      <c r="O151" t="str">
        <f>VLOOKUP(B151,Customers!A:J,5,0)</f>
        <v>San Antonio</v>
      </c>
      <c r="P151" t="str">
        <f>VLOOKUP(B151,Customers!A:J,10,0)</f>
        <v>Gold</v>
      </c>
      <c r="Q151" t="str">
        <f>VLOOKUP(B151,Customers!A:J,8,0)</f>
        <v>Female</v>
      </c>
      <c r="R151" t="b">
        <f t="shared" si="4"/>
        <v>1</v>
      </c>
      <c r="S151" s="18">
        <f t="shared" si="5"/>
        <v>44652</v>
      </c>
    </row>
    <row r="152" spans="1:19" x14ac:dyDescent="0.25">
      <c r="A152" s="3" t="s">
        <v>972</v>
      </c>
      <c r="B152" s="4" t="s">
        <v>103</v>
      </c>
      <c r="C152" s="14">
        <v>45196</v>
      </c>
      <c r="D152" s="4" t="s">
        <v>667</v>
      </c>
      <c r="E152" s="4" t="s">
        <v>696</v>
      </c>
      <c r="F152" s="4">
        <v>59.99</v>
      </c>
      <c r="G152" s="4">
        <v>2</v>
      </c>
      <c r="H152" s="4">
        <v>0</v>
      </c>
      <c r="I152" s="4">
        <v>59.99</v>
      </c>
      <c r="J152" s="4">
        <v>119.98</v>
      </c>
      <c r="K152" s="4" t="s">
        <v>661</v>
      </c>
      <c r="L152" s="4" t="s">
        <v>656</v>
      </c>
      <c r="M152" s="5">
        <v>3</v>
      </c>
      <c r="N152">
        <f>VLOOKUP(B152,Customers!A:J,7,0)</f>
        <v>51</v>
      </c>
      <c r="O152" t="str">
        <f>VLOOKUP(B152,Customers!A:J,5,0)</f>
        <v>Austin</v>
      </c>
      <c r="P152" t="str">
        <f>VLOOKUP(B152,Customers!A:J,10,0)</f>
        <v>Platinum</v>
      </c>
      <c r="Q152" t="str">
        <f>VLOOKUP(B152,Customers!A:J,8,0)</f>
        <v>Female</v>
      </c>
      <c r="R152" t="b">
        <f t="shared" si="4"/>
        <v>1</v>
      </c>
      <c r="S152" s="18">
        <f t="shared" si="5"/>
        <v>45170</v>
      </c>
    </row>
    <row r="153" spans="1:19" x14ac:dyDescent="0.25">
      <c r="A153" s="6" t="s">
        <v>974</v>
      </c>
      <c r="B153" s="7" t="s">
        <v>103</v>
      </c>
      <c r="C153" s="15">
        <v>45049</v>
      </c>
      <c r="D153" s="7" t="s">
        <v>680</v>
      </c>
      <c r="E153" s="7" t="s">
        <v>688</v>
      </c>
      <c r="F153" s="7">
        <v>29.99</v>
      </c>
      <c r="G153" s="7">
        <v>2</v>
      </c>
      <c r="H153" s="7">
        <v>0</v>
      </c>
      <c r="I153" s="7">
        <v>29.99</v>
      </c>
      <c r="J153" s="7">
        <v>59.98</v>
      </c>
      <c r="K153" s="7" t="s">
        <v>669</v>
      </c>
      <c r="L153" s="7" t="s">
        <v>656</v>
      </c>
      <c r="M153" s="8">
        <v>5</v>
      </c>
      <c r="N153">
        <f>VLOOKUP(B153,Customers!A:J,7,0)</f>
        <v>51</v>
      </c>
      <c r="O153" t="str">
        <f>VLOOKUP(B153,Customers!A:J,5,0)</f>
        <v>Austin</v>
      </c>
      <c r="P153" t="str">
        <f>VLOOKUP(B153,Customers!A:J,10,0)</f>
        <v>Platinum</v>
      </c>
      <c r="Q153" t="str">
        <f>VLOOKUP(B153,Customers!A:J,8,0)</f>
        <v>Female</v>
      </c>
      <c r="R153" t="b">
        <f t="shared" si="4"/>
        <v>1</v>
      </c>
      <c r="S153" s="18">
        <f t="shared" si="5"/>
        <v>45047</v>
      </c>
    </row>
    <row r="154" spans="1:19" x14ac:dyDescent="0.25">
      <c r="A154" s="3" t="s">
        <v>976</v>
      </c>
      <c r="B154" s="4" t="s">
        <v>103</v>
      </c>
      <c r="C154" s="14">
        <v>45176</v>
      </c>
      <c r="D154" s="4" t="s">
        <v>710</v>
      </c>
      <c r="E154" s="4" t="s">
        <v>711</v>
      </c>
      <c r="F154" s="4">
        <v>14.99</v>
      </c>
      <c r="G154" s="4">
        <v>1</v>
      </c>
      <c r="H154" s="4">
        <v>0</v>
      </c>
      <c r="I154" s="4">
        <v>14.99</v>
      </c>
      <c r="J154" s="4">
        <v>14.99</v>
      </c>
      <c r="K154" s="4" t="s">
        <v>655</v>
      </c>
      <c r="L154" s="4" t="s">
        <v>656</v>
      </c>
      <c r="M154" s="5">
        <v>4</v>
      </c>
      <c r="N154">
        <f>VLOOKUP(B154,Customers!A:J,7,0)</f>
        <v>51</v>
      </c>
      <c r="O154" t="str">
        <f>VLOOKUP(B154,Customers!A:J,5,0)</f>
        <v>Austin</v>
      </c>
      <c r="P154" t="str">
        <f>VLOOKUP(B154,Customers!A:J,10,0)</f>
        <v>Platinum</v>
      </c>
      <c r="Q154" t="str">
        <f>VLOOKUP(B154,Customers!A:J,8,0)</f>
        <v>Female</v>
      </c>
      <c r="R154" t="b">
        <f t="shared" si="4"/>
        <v>1</v>
      </c>
      <c r="S154" s="18">
        <f t="shared" si="5"/>
        <v>45170</v>
      </c>
    </row>
    <row r="155" spans="1:19" x14ac:dyDescent="0.25">
      <c r="A155" s="6" t="s">
        <v>978</v>
      </c>
      <c r="B155" s="7" t="s">
        <v>103</v>
      </c>
      <c r="C155" s="15">
        <v>45418</v>
      </c>
      <c r="D155" s="7" t="s">
        <v>667</v>
      </c>
      <c r="E155" s="7" t="s">
        <v>714</v>
      </c>
      <c r="F155" s="7">
        <v>44.99</v>
      </c>
      <c r="G155" s="7">
        <v>2</v>
      </c>
      <c r="H155" s="7">
        <v>5</v>
      </c>
      <c r="I155" s="7">
        <v>42.74</v>
      </c>
      <c r="J155" s="7">
        <v>85.48</v>
      </c>
      <c r="K155" s="7" t="s">
        <v>661</v>
      </c>
      <c r="L155" s="7" t="s">
        <v>656</v>
      </c>
      <c r="M155" s="8">
        <v>3</v>
      </c>
      <c r="N155">
        <f>VLOOKUP(B155,Customers!A:J,7,0)</f>
        <v>51</v>
      </c>
      <c r="O155" t="str">
        <f>VLOOKUP(B155,Customers!A:J,5,0)</f>
        <v>Austin</v>
      </c>
      <c r="P155" t="str">
        <f>VLOOKUP(B155,Customers!A:J,10,0)</f>
        <v>Platinum</v>
      </c>
      <c r="Q155" t="str">
        <f>VLOOKUP(B155,Customers!A:J,8,0)</f>
        <v>Female</v>
      </c>
      <c r="R155" t="b">
        <f t="shared" si="4"/>
        <v>1</v>
      </c>
      <c r="S155" s="18">
        <f t="shared" si="5"/>
        <v>45413</v>
      </c>
    </row>
    <row r="156" spans="1:19" x14ac:dyDescent="0.25">
      <c r="A156" s="3" t="s">
        <v>980</v>
      </c>
      <c r="B156" s="4" t="s">
        <v>103</v>
      </c>
      <c r="C156" s="14">
        <v>44811</v>
      </c>
      <c r="D156" s="4" t="s">
        <v>684</v>
      </c>
      <c r="E156" s="4" t="s">
        <v>685</v>
      </c>
      <c r="F156" s="4">
        <v>49.99</v>
      </c>
      <c r="G156" s="4">
        <v>2</v>
      </c>
      <c r="H156" s="4">
        <v>10</v>
      </c>
      <c r="I156" s="4">
        <v>44.99</v>
      </c>
      <c r="J156" s="4">
        <v>89.98</v>
      </c>
      <c r="K156" s="4" t="s">
        <v>682</v>
      </c>
      <c r="L156" s="4" t="s">
        <v>656</v>
      </c>
      <c r="M156" s="5"/>
      <c r="N156">
        <f>VLOOKUP(B156,Customers!A:J,7,0)</f>
        <v>51</v>
      </c>
      <c r="O156" t="str">
        <f>VLOOKUP(B156,Customers!A:J,5,0)</f>
        <v>Austin</v>
      </c>
      <c r="P156" t="str">
        <f>VLOOKUP(B156,Customers!A:J,10,0)</f>
        <v>Platinum</v>
      </c>
      <c r="Q156" t="str">
        <f>VLOOKUP(B156,Customers!A:J,8,0)</f>
        <v>Female</v>
      </c>
      <c r="R156" t="b">
        <f t="shared" si="4"/>
        <v>1</v>
      </c>
      <c r="S156" s="18">
        <f t="shared" si="5"/>
        <v>44805</v>
      </c>
    </row>
    <row r="157" spans="1:19" x14ac:dyDescent="0.25">
      <c r="A157" s="6" t="s">
        <v>982</v>
      </c>
      <c r="B157" s="7" t="s">
        <v>103</v>
      </c>
      <c r="C157" s="15">
        <v>45523</v>
      </c>
      <c r="D157" s="7" t="s">
        <v>659</v>
      </c>
      <c r="E157" s="7" t="s">
        <v>660</v>
      </c>
      <c r="F157" s="7">
        <v>19.989999999999998</v>
      </c>
      <c r="G157" s="7">
        <v>4</v>
      </c>
      <c r="H157" s="7">
        <v>20</v>
      </c>
      <c r="I157" s="7">
        <v>15.99</v>
      </c>
      <c r="J157" s="7">
        <v>63.96</v>
      </c>
      <c r="K157" s="7" t="s">
        <v>675</v>
      </c>
      <c r="L157" s="7" t="s">
        <v>739</v>
      </c>
      <c r="M157" s="8"/>
      <c r="N157">
        <f>VLOOKUP(B157,Customers!A:J,7,0)</f>
        <v>51</v>
      </c>
      <c r="O157" t="str">
        <f>VLOOKUP(B157,Customers!A:J,5,0)</f>
        <v>Austin</v>
      </c>
      <c r="P157" t="str">
        <f>VLOOKUP(B157,Customers!A:J,10,0)</f>
        <v>Platinum</v>
      </c>
      <c r="Q157" t="str">
        <f>VLOOKUP(B157,Customers!A:J,8,0)</f>
        <v>Female</v>
      </c>
      <c r="R157" t="b">
        <f t="shared" si="4"/>
        <v>1</v>
      </c>
      <c r="S157" s="18">
        <f t="shared" si="5"/>
        <v>45505</v>
      </c>
    </row>
    <row r="158" spans="1:19" x14ac:dyDescent="0.25">
      <c r="A158" s="3" t="s">
        <v>984</v>
      </c>
      <c r="B158" s="4" t="s">
        <v>103</v>
      </c>
      <c r="C158" s="14">
        <v>45182</v>
      </c>
      <c r="D158" s="4" t="s">
        <v>684</v>
      </c>
      <c r="E158" s="4" t="s">
        <v>702</v>
      </c>
      <c r="F158" s="4">
        <v>199.99</v>
      </c>
      <c r="G158" s="4">
        <v>1</v>
      </c>
      <c r="H158" s="4">
        <v>10</v>
      </c>
      <c r="I158" s="4">
        <v>179.99</v>
      </c>
      <c r="J158" s="4">
        <v>179.99</v>
      </c>
      <c r="K158" s="4" t="s">
        <v>661</v>
      </c>
      <c r="L158" s="4" t="s">
        <v>785</v>
      </c>
      <c r="M158" s="5"/>
      <c r="N158">
        <f>VLOOKUP(B158,Customers!A:J,7,0)</f>
        <v>51</v>
      </c>
      <c r="O158" t="str">
        <f>VLOOKUP(B158,Customers!A:J,5,0)</f>
        <v>Austin</v>
      </c>
      <c r="P158" t="str">
        <f>VLOOKUP(B158,Customers!A:J,10,0)</f>
        <v>Platinum</v>
      </c>
      <c r="Q158" t="str">
        <f>VLOOKUP(B158,Customers!A:J,8,0)</f>
        <v>Female</v>
      </c>
      <c r="R158" t="b">
        <f t="shared" si="4"/>
        <v>1</v>
      </c>
      <c r="S158" s="18">
        <f t="shared" si="5"/>
        <v>45170</v>
      </c>
    </row>
    <row r="159" spans="1:19" x14ac:dyDescent="0.25">
      <c r="A159" s="6" t="s">
        <v>986</v>
      </c>
      <c r="B159" s="7" t="s">
        <v>103</v>
      </c>
      <c r="C159" s="15">
        <v>45644</v>
      </c>
      <c r="D159" s="7" t="s">
        <v>659</v>
      </c>
      <c r="E159" s="7" t="s">
        <v>664</v>
      </c>
      <c r="F159" s="7">
        <v>24.99</v>
      </c>
      <c r="G159" s="7">
        <v>2</v>
      </c>
      <c r="H159" s="7">
        <v>0</v>
      </c>
      <c r="I159" s="7">
        <v>24.99</v>
      </c>
      <c r="J159" s="7">
        <v>49.98</v>
      </c>
      <c r="K159" s="7" t="s">
        <v>661</v>
      </c>
      <c r="L159" s="7" t="s">
        <v>656</v>
      </c>
      <c r="M159" s="8"/>
      <c r="N159">
        <f>VLOOKUP(B159,Customers!A:J,7,0)</f>
        <v>51</v>
      </c>
      <c r="O159" t="str">
        <f>VLOOKUP(B159,Customers!A:J,5,0)</f>
        <v>Austin</v>
      </c>
      <c r="P159" t="str">
        <f>VLOOKUP(B159,Customers!A:J,10,0)</f>
        <v>Platinum</v>
      </c>
      <c r="Q159" t="str">
        <f>VLOOKUP(B159,Customers!A:J,8,0)</f>
        <v>Female</v>
      </c>
      <c r="R159" t="b">
        <f t="shared" si="4"/>
        <v>1</v>
      </c>
      <c r="S159" s="18">
        <f t="shared" si="5"/>
        <v>45627</v>
      </c>
    </row>
    <row r="160" spans="1:19" x14ac:dyDescent="0.25">
      <c r="A160" s="3" t="s">
        <v>988</v>
      </c>
      <c r="B160" s="4" t="s">
        <v>103</v>
      </c>
      <c r="C160" s="14">
        <v>45121</v>
      </c>
      <c r="D160" s="4" t="s">
        <v>684</v>
      </c>
      <c r="E160" s="4" t="s">
        <v>705</v>
      </c>
      <c r="F160" s="4">
        <v>79.989999999999995</v>
      </c>
      <c r="G160" s="4">
        <v>3</v>
      </c>
      <c r="H160" s="4">
        <v>20</v>
      </c>
      <c r="I160" s="4">
        <v>63.99</v>
      </c>
      <c r="J160" s="4">
        <v>191.97</v>
      </c>
      <c r="K160" s="4" t="s">
        <v>661</v>
      </c>
      <c r="L160" s="4" t="s">
        <v>656</v>
      </c>
      <c r="M160" s="5">
        <v>4</v>
      </c>
      <c r="N160">
        <f>VLOOKUP(B160,Customers!A:J,7,0)</f>
        <v>51</v>
      </c>
      <c r="O160" t="str">
        <f>VLOOKUP(B160,Customers!A:J,5,0)</f>
        <v>Austin</v>
      </c>
      <c r="P160" t="str">
        <f>VLOOKUP(B160,Customers!A:J,10,0)</f>
        <v>Platinum</v>
      </c>
      <c r="Q160" t="str">
        <f>VLOOKUP(B160,Customers!A:J,8,0)</f>
        <v>Female</v>
      </c>
      <c r="R160" t="b">
        <f t="shared" si="4"/>
        <v>1</v>
      </c>
      <c r="S160" s="18">
        <f t="shared" si="5"/>
        <v>45108</v>
      </c>
    </row>
    <row r="161" spans="1:19" x14ac:dyDescent="0.25">
      <c r="A161" s="6" t="s">
        <v>990</v>
      </c>
      <c r="B161" s="7" t="s">
        <v>103</v>
      </c>
      <c r="C161" s="15">
        <v>44902</v>
      </c>
      <c r="D161" s="7" t="s">
        <v>672</v>
      </c>
      <c r="E161" s="7" t="s">
        <v>724</v>
      </c>
      <c r="F161" s="7">
        <v>89.99</v>
      </c>
      <c r="G161" s="7">
        <v>2</v>
      </c>
      <c r="H161" s="7">
        <v>5</v>
      </c>
      <c r="I161" s="7">
        <v>85.49</v>
      </c>
      <c r="J161" s="7">
        <v>170.98</v>
      </c>
      <c r="K161" s="7" t="s">
        <v>669</v>
      </c>
      <c r="L161" s="7" t="s">
        <v>656</v>
      </c>
      <c r="M161" s="8">
        <v>4</v>
      </c>
      <c r="N161">
        <f>VLOOKUP(B161,Customers!A:J,7,0)</f>
        <v>51</v>
      </c>
      <c r="O161" t="str">
        <f>VLOOKUP(B161,Customers!A:J,5,0)</f>
        <v>Austin</v>
      </c>
      <c r="P161" t="str">
        <f>VLOOKUP(B161,Customers!A:J,10,0)</f>
        <v>Platinum</v>
      </c>
      <c r="Q161" t="str">
        <f>VLOOKUP(B161,Customers!A:J,8,0)</f>
        <v>Female</v>
      </c>
      <c r="R161" t="b">
        <f t="shared" si="4"/>
        <v>1</v>
      </c>
      <c r="S161" s="18">
        <f t="shared" si="5"/>
        <v>44896</v>
      </c>
    </row>
    <row r="162" spans="1:19" x14ac:dyDescent="0.25">
      <c r="A162" s="3" t="s">
        <v>992</v>
      </c>
      <c r="B162" s="4" t="s">
        <v>103</v>
      </c>
      <c r="C162" s="14">
        <v>45200</v>
      </c>
      <c r="D162" s="4" t="s">
        <v>659</v>
      </c>
      <c r="E162" s="4" t="s">
        <v>664</v>
      </c>
      <c r="F162" s="4">
        <v>24.99</v>
      </c>
      <c r="G162" s="4">
        <v>3</v>
      </c>
      <c r="H162" s="4">
        <v>0</v>
      </c>
      <c r="I162" s="4">
        <v>24.99</v>
      </c>
      <c r="J162" s="4">
        <v>74.97</v>
      </c>
      <c r="K162" s="4" t="s">
        <v>669</v>
      </c>
      <c r="L162" s="4" t="s">
        <v>656</v>
      </c>
      <c r="M162" s="5"/>
      <c r="N162">
        <f>VLOOKUP(B162,Customers!A:J,7,0)</f>
        <v>51</v>
      </c>
      <c r="O162" t="str">
        <f>VLOOKUP(B162,Customers!A:J,5,0)</f>
        <v>Austin</v>
      </c>
      <c r="P162" t="str">
        <f>VLOOKUP(B162,Customers!A:J,10,0)</f>
        <v>Platinum</v>
      </c>
      <c r="Q162" t="str">
        <f>VLOOKUP(B162,Customers!A:J,8,0)</f>
        <v>Female</v>
      </c>
      <c r="R162" t="b">
        <f t="shared" si="4"/>
        <v>1</v>
      </c>
      <c r="S162" s="18">
        <f t="shared" si="5"/>
        <v>45200</v>
      </c>
    </row>
    <row r="163" spans="1:19" x14ac:dyDescent="0.25">
      <c r="A163" s="6" t="s">
        <v>994</v>
      </c>
      <c r="B163" s="7" t="s">
        <v>103</v>
      </c>
      <c r="C163" s="15">
        <v>45509</v>
      </c>
      <c r="D163" s="7" t="s">
        <v>667</v>
      </c>
      <c r="E163" s="7" t="s">
        <v>699</v>
      </c>
      <c r="F163" s="7">
        <v>89.99</v>
      </c>
      <c r="G163" s="7">
        <v>1</v>
      </c>
      <c r="H163" s="7">
        <v>10</v>
      </c>
      <c r="I163" s="7">
        <v>80.989999999999995</v>
      </c>
      <c r="J163" s="7">
        <v>80.989999999999995</v>
      </c>
      <c r="K163" s="7" t="s">
        <v>655</v>
      </c>
      <c r="L163" s="7" t="s">
        <v>656</v>
      </c>
      <c r="M163" s="8"/>
      <c r="N163">
        <f>VLOOKUP(B163,Customers!A:J,7,0)</f>
        <v>51</v>
      </c>
      <c r="O163" t="str">
        <f>VLOOKUP(B163,Customers!A:J,5,0)</f>
        <v>Austin</v>
      </c>
      <c r="P163" t="str">
        <f>VLOOKUP(B163,Customers!A:J,10,0)</f>
        <v>Platinum</v>
      </c>
      <c r="Q163" t="str">
        <f>VLOOKUP(B163,Customers!A:J,8,0)</f>
        <v>Female</v>
      </c>
      <c r="R163" t="b">
        <f t="shared" si="4"/>
        <v>1</v>
      </c>
      <c r="S163" s="18">
        <f t="shared" si="5"/>
        <v>45505</v>
      </c>
    </row>
    <row r="164" spans="1:19" x14ac:dyDescent="0.25">
      <c r="A164" s="3" t="s">
        <v>996</v>
      </c>
      <c r="B164" s="4" t="s">
        <v>107</v>
      </c>
      <c r="C164" s="14">
        <v>44964</v>
      </c>
      <c r="D164" s="4" t="s">
        <v>710</v>
      </c>
      <c r="E164" s="4" t="s">
        <v>711</v>
      </c>
      <c r="F164" s="4">
        <v>14.99</v>
      </c>
      <c r="G164" s="4">
        <v>1</v>
      </c>
      <c r="H164" s="4">
        <v>10</v>
      </c>
      <c r="I164" s="4">
        <v>13.49</v>
      </c>
      <c r="J164" s="4">
        <v>13.49</v>
      </c>
      <c r="K164" s="4" t="s">
        <v>682</v>
      </c>
      <c r="L164" s="4" t="s">
        <v>656</v>
      </c>
      <c r="M164" s="5">
        <v>4</v>
      </c>
      <c r="N164">
        <f>VLOOKUP(B164,Customers!A:J,7,0)</f>
        <v>43</v>
      </c>
      <c r="O164" t="str">
        <f>VLOOKUP(B164,Customers!A:J,5,0)</f>
        <v>Phoenix</v>
      </c>
      <c r="P164" t="str">
        <f>VLOOKUP(B164,Customers!A:J,10,0)</f>
        <v>Free</v>
      </c>
      <c r="Q164" t="str">
        <f>VLOOKUP(B164,Customers!A:J,8,0)</f>
        <v>Female</v>
      </c>
      <c r="R164" t="b">
        <f t="shared" si="4"/>
        <v>1</v>
      </c>
      <c r="S164" s="18">
        <f t="shared" si="5"/>
        <v>44958</v>
      </c>
    </row>
    <row r="165" spans="1:19" x14ac:dyDescent="0.25">
      <c r="A165" s="6" t="s">
        <v>998</v>
      </c>
      <c r="B165" s="7" t="s">
        <v>107</v>
      </c>
      <c r="C165" s="15">
        <v>45006</v>
      </c>
      <c r="D165" s="7" t="s">
        <v>684</v>
      </c>
      <c r="E165" s="7" t="s">
        <v>685</v>
      </c>
      <c r="F165" s="7">
        <v>49.99</v>
      </c>
      <c r="G165" s="7">
        <v>1</v>
      </c>
      <c r="H165" s="7">
        <v>10</v>
      </c>
      <c r="I165" s="7">
        <v>44.99</v>
      </c>
      <c r="J165" s="7">
        <v>44.99</v>
      </c>
      <c r="K165" s="7" t="s">
        <v>655</v>
      </c>
      <c r="L165" s="7" t="s">
        <v>656</v>
      </c>
      <c r="M165" s="8">
        <v>4</v>
      </c>
      <c r="N165">
        <f>VLOOKUP(B165,Customers!A:J,7,0)</f>
        <v>43</v>
      </c>
      <c r="O165" t="str">
        <f>VLOOKUP(B165,Customers!A:J,5,0)</f>
        <v>Phoenix</v>
      </c>
      <c r="P165" t="str">
        <f>VLOOKUP(B165,Customers!A:J,10,0)</f>
        <v>Free</v>
      </c>
      <c r="Q165" t="str">
        <f>VLOOKUP(B165,Customers!A:J,8,0)</f>
        <v>Female</v>
      </c>
      <c r="R165" t="b">
        <f t="shared" si="4"/>
        <v>1</v>
      </c>
      <c r="S165" s="18">
        <f t="shared" si="5"/>
        <v>44986</v>
      </c>
    </row>
    <row r="166" spans="1:19" x14ac:dyDescent="0.25">
      <c r="A166" s="3" t="s">
        <v>999</v>
      </c>
      <c r="B166" s="4" t="s">
        <v>107</v>
      </c>
      <c r="C166" s="14">
        <v>44658</v>
      </c>
      <c r="D166" s="4" t="s">
        <v>659</v>
      </c>
      <c r="E166" s="4" t="s">
        <v>820</v>
      </c>
      <c r="F166" s="4">
        <v>39.99</v>
      </c>
      <c r="G166" s="4">
        <v>3</v>
      </c>
      <c r="H166" s="4">
        <v>10</v>
      </c>
      <c r="I166" s="4">
        <v>35.99</v>
      </c>
      <c r="J166" s="4">
        <v>107.97</v>
      </c>
      <c r="K166" s="4" t="s">
        <v>675</v>
      </c>
      <c r="L166" s="4" t="s">
        <v>656</v>
      </c>
      <c r="M166" s="5">
        <v>4</v>
      </c>
      <c r="N166">
        <f>VLOOKUP(B166,Customers!A:J,7,0)</f>
        <v>43</v>
      </c>
      <c r="O166" t="str">
        <f>VLOOKUP(B166,Customers!A:J,5,0)</f>
        <v>Phoenix</v>
      </c>
      <c r="P166" t="str">
        <f>VLOOKUP(B166,Customers!A:J,10,0)</f>
        <v>Free</v>
      </c>
      <c r="Q166" t="str">
        <f>VLOOKUP(B166,Customers!A:J,8,0)</f>
        <v>Female</v>
      </c>
      <c r="R166" t="b">
        <f t="shared" si="4"/>
        <v>1</v>
      </c>
      <c r="S166" s="18">
        <f t="shared" si="5"/>
        <v>44652</v>
      </c>
    </row>
    <row r="167" spans="1:19" x14ac:dyDescent="0.25">
      <c r="A167" s="6" t="s">
        <v>1001</v>
      </c>
      <c r="B167" s="7" t="s">
        <v>107</v>
      </c>
      <c r="C167" s="15">
        <v>44693</v>
      </c>
      <c r="D167" s="7" t="s">
        <v>710</v>
      </c>
      <c r="E167" s="7" t="s">
        <v>721</v>
      </c>
      <c r="F167" s="7">
        <v>24.99</v>
      </c>
      <c r="G167" s="7">
        <v>4</v>
      </c>
      <c r="H167" s="7">
        <v>20</v>
      </c>
      <c r="I167" s="7">
        <v>19.989999999999998</v>
      </c>
      <c r="J167" s="7">
        <v>79.959999999999994</v>
      </c>
      <c r="K167" s="7" t="s">
        <v>661</v>
      </c>
      <c r="L167" s="7" t="s">
        <v>693</v>
      </c>
      <c r="M167" s="8"/>
      <c r="N167">
        <f>VLOOKUP(B167,Customers!A:J,7,0)</f>
        <v>43</v>
      </c>
      <c r="O167" t="str">
        <f>VLOOKUP(B167,Customers!A:J,5,0)</f>
        <v>Phoenix</v>
      </c>
      <c r="P167" t="str">
        <f>VLOOKUP(B167,Customers!A:J,10,0)</f>
        <v>Free</v>
      </c>
      <c r="Q167" t="str">
        <f>VLOOKUP(B167,Customers!A:J,8,0)</f>
        <v>Female</v>
      </c>
      <c r="R167" t="b">
        <f t="shared" si="4"/>
        <v>1</v>
      </c>
      <c r="S167" s="18">
        <f t="shared" si="5"/>
        <v>44682</v>
      </c>
    </row>
    <row r="168" spans="1:19" x14ac:dyDescent="0.25">
      <c r="A168" s="3" t="s">
        <v>1002</v>
      </c>
      <c r="B168" s="4" t="s">
        <v>107</v>
      </c>
      <c r="C168" s="14">
        <v>44617</v>
      </c>
      <c r="D168" s="4" t="s">
        <v>672</v>
      </c>
      <c r="E168" s="4" t="s">
        <v>803</v>
      </c>
      <c r="F168" s="4">
        <v>69.989999999999995</v>
      </c>
      <c r="G168" s="4">
        <v>2</v>
      </c>
      <c r="H168" s="4">
        <v>5</v>
      </c>
      <c r="I168" s="4">
        <v>66.489999999999995</v>
      </c>
      <c r="J168" s="4">
        <v>132.97999999999999</v>
      </c>
      <c r="K168" s="4" t="s">
        <v>669</v>
      </c>
      <c r="L168" s="4" t="s">
        <v>656</v>
      </c>
      <c r="M168" s="5">
        <v>3</v>
      </c>
      <c r="N168">
        <f>VLOOKUP(B168,Customers!A:J,7,0)</f>
        <v>43</v>
      </c>
      <c r="O168" t="str">
        <f>VLOOKUP(B168,Customers!A:J,5,0)</f>
        <v>Phoenix</v>
      </c>
      <c r="P168" t="str">
        <f>VLOOKUP(B168,Customers!A:J,10,0)</f>
        <v>Free</v>
      </c>
      <c r="Q168" t="str">
        <f>VLOOKUP(B168,Customers!A:J,8,0)</f>
        <v>Female</v>
      </c>
      <c r="R168" t="b">
        <f t="shared" si="4"/>
        <v>1</v>
      </c>
      <c r="S168" s="18">
        <f t="shared" si="5"/>
        <v>44593</v>
      </c>
    </row>
    <row r="169" spans="1:19" x14ac:dyDescent="0.25">
      <c r="A169" s="6" t="s">
        <v>1004</v>
      </c>
      <c r="B169" s="7" t="s">
        <v>107</v>
      </c>
      <c r="C169" s="15">
        <v>44763</v>
      </c>
      <c r="D169" s="7" t="s">
        <v>667</v>
      </c>
      <c r="E169" s="7" t="s">
        <v>714</v>
      </c>
      <c r="F169" s="7">
        <v>44.99</v>
      </c>
      <c r="G169" s="7">
        <v>3</v>
      </c>
      <c r="H169" s="7">
        <v>0</v>
      </c>
      <c r="I169" s="7">
        <v>44.99</v>
      </c>
      <c r="J169" s="7">
        <v>134.97</v>
      </c>
      <c r="K169" s="7" t="s">
        <v>682</v>
      </c>
      <c r="L169" s="7" t="s">
        <v>656</v>
      </c>
      <c r="M169" s="8">
        <v>3</v>
      </c>
      <c r="N169">
        <f>VLOOKUP(B169,Customers!A:J,7,0)</f>
        <v>43</v>
      </c>
      <c r="O169" t="str">
        <f>VLOOKUP(B169,Customers!A:J,5,0)</f>
        <v>Phoenix</v>
      </c>
      <c r="P169" t="str">
        <f>VLOOKUP(B169,Customers!A:J,10,0)</f>
        <v>Free</v>
      </c>
      <c r="Q169" t="str">
        <f>VLOOKUP(B169,Customers!A:J,8,0)</f>
        <v>Female</v>
      </c>
      <c r="R169" t="b">
        <f t="shared" si="4"/>
        <v>1</v>
      </c>
      <c r="S169" s="18">
        <f t="shared" si="5"/>
        <v>44743</v>
      </c>
    </row>
    <row r="170" spans="1:19" x14ac:dyDescent="0.25">
      <c r="A170" s="3" t="s">
        <v>1006</v>
      </c>
      <c r="B170" s="4" t="s">
        <v>107</v>
      </c>
      <c r="C170" s="14">
        <v>45446</v>
      </c>
      <c r="D170" s="4" t="s">
        <v>653</v>
      </c>
      <c r="E170" s="4" t="s">
        <v>769</v>
      </c>
      <c r="F170" s="4">
        <v>49.99</v>
      </c>
      <c r="G170" s="4">
        <v>4</v>
      </c>
      <c r="H170" s="4">
        <v>15</v>
      </c>
      <c r="I170" s="4">
        <v>42.49</v>
      </c>
      <c r="J170" s="4">
        <v>169.96</v>
      </c>
      <c r="K170" s="4" t="s">
        <v>682</v>
      </c>
      <c r="L170" s="4" t="s">
        <v>656</v>
      </c>
      <c r="M170" s="5">
        <v>5</v>
      </c>
      <c r="N170">
        <f>VLOOKUP(B170,Customers!A:J,7,0)</f>
        <v>43</v>
      </c>
      <c r="O170" t="str">
        <f>VLOOKUP(B170,Customers!A:J,5,0)</f>
        <v>Phoenix</v>
      </c>
      <c r="P170" t="str">
        <f>VLOOKUP(B170,Customers!A:J,10,0)</f>
        <v>Free</v>
      </c>
      <c r="Q170" t="str">
        <f>VLOOKUP(B170,Customers!A:J,8,0)</f>
        <v>Female</v>
      </c>
      <c r="R170" t="b">
        <f t="shared" si="4"/>
        <v>1</v>
      </c>
      <c r="S170" s="18">
        <f t="shared" si="5"/>
        <v>45444</v>
      </c>
    </row>
    <row r="171" spans="1:19" x14ac:dyDescent="0.25">
      <c r="A171" s="6" t="s">
        <v>1008</v>
      </c>
      <c r="B171" s="7" t="s">
        <v>107</v>
      </c>
      <c r="C171" s="15">
        <v>45012</v>
      </c>
      <c r="D171" s="7" t="s">
        <v>710</v>
      </c>
      <c r="E171" s="7" t="s">
        <v>721</v>
      </c>
      <c r="F171" s="7">
        <v>24.99</v>
      </c>
      <c r="G171" s="7">
        <v>1</v>
      </c>
      <c r="H171" s="7">
        <v>0</v>
      </c>
      <c r="I171" s="7">
        <v>24.99</v>
      </c>
      <c r="J171" s="7">
        <v>24.99</v>
      </c>
      <c r="K171" s="7" t="s">
        <v>655</v>
      </c>
      <c r="L171" s="7" t="s">
        <v>656</v>
      </c>
      <c r="M171" s="8">
        <v>5</v>
      </c>
      <c r="N171">
        <f>VLOOKUP(B171,Customers!A:J,7,0)</f>
        <v>43</v>
      </c>
      <c r="O171" t="str">
        <f>VLOOKUP(B171,Customers!A:J,5,0)</f>
        <v>Phoenix</v>
      </c>
      <c r="P171" t="str">
        <f>VLOOKUP(B171,Customers!A:J,10,0)</f>
        <v>Free</v>
      </c>
      <c r="Q171" t="str">
        <f>VLOOKUP(B171,Customers!A:J,8,0)</f>
        <v>Female</v>
      </c>
      <c r="R171" t="b">
        <f t="shared" si="4"/>
        <v>1</v>
      </c>
      <c r="S171" s="18">
        <f t="shared" si="5"/>
        <v>44986</v>
      </c>
    </row>
    <row r="172" spans="1:19" x14ac:dyDescent="0.25">
      <c r="A172" s="3" t="s">
        <v>1010</v>
      </c>
      <c r="B172" s="4" t="s">
        <v>107</v>
      </c>
      <c r="C172" s="14">
        <v>44694</v>
      </c>
      <c r="D172" s="4" t="s">
        <v>684</v>
      </c>
      <c r="E172" s="4" t="s">
        <v>702</v>
      </c>
      <c r="F172" s="4">
        <v>199.99</v>
      </c>
      <c r="G172" s="4">
        <v>1</v>
      </c>
      <c r="H172" s="4">
        <v>0</v>
      </c>
      <c r="I172" s="4">
        <v>199.99</v>
      </c>
      <c r="J172" s="4">
        <v>199.99</v>
      </c>
      <c r="K172" s="4" t="s">
        <v>661</v>
      </c>
      <c r="L172" s="4" t="s">
        <v>656</v>
      </c>
      <c r="M172" s="5"/>
      <c r="N172">
        <f>VLOOKUP(B172,Customers!A:J,7,0)</f>
        <v>43</v>
      </c>
      <c r="O172" t="str">
        <f>VLOOKUP(B172,Customers!A:J,5,0)</f>
        <v>Phoenix</v>
      </c>
      <c r="P172" t="str">
        <f>VLOOKUP(B172,Customers!A:J,10,0)</f>
        <v>Free</v>
      </c>
      <c r="Q172" t="str">
        <f>VLOOKUP(B172,Customers!A:J,8,0)</f>
        <v>Female</v>
      </c>
      <c r="R172" t="b">
        <f t="shared" si="4"/>
        <v>1</v>
      </c>
      <c r="S172" s="18">
        <f t="shared" si="5"/>
        <v>44682</v>
      </c>
    </row>
    <row r="173" spans="1:19" x14ac:dyDescent="0.25">
      <c r="A173" s="6" t="s">
        <v>1012</v>
      </c>
      <c r="B173" s="7" t="s">
        <v>107</v>
      </c>
      <c r="C173" s="15">
        <v>45172</v>
      </c>
      <c r="D173" s="7" t="s">
        <v>653</v>
      </c>
      <c r="E173" s="7" t="s">
        <v>769</v>
      </c>
      <c r="F173" s="7">
        <v>49.99</v>
      </c>
      <c r="G173" s="7">
        <v>1</v>
      </c>
      <c r="H173" s="7">
        <v>10</v>
      </c>
      <c r="I173" s="7">
        <v>44.99</v>
      </c>
      <c r="J173" s="7">
        <v>44.99</v>
      </c>
      <c r="K173" s="7" t="s">
        <v>661</v>
      </c>
      <c r="L173" s="7" t="s">
        <v>788</v>
      </c>
      <c r="M173" s="8">
        <v>4</v>
      </c>
      <c r="N173">
        <f>VLOOKUP(B173,Customers!A:J,7,0)</f>
        <v>43</v>
      </c>
      <c r="O173" t="str">
        <f>VLOOKUP(B173,Customers!A:J,5,0)</f>
        <v>Phoenix</v>
      </c>
      <c r="P173" t="str">
        <f>VLOOKUP(B173,Customers!A:J,10,0)</f>
        <v>Free</v>
      </c>
      <c r="Q173" t="str">
        <f>VLOOKUP(B173,Customers!A:J,8,0)</f>
        <v>Female</v>
      </c>
      <c r="R173" t="b">
        <f t="shared" si="4"/>
        <v>1</v>
      </c>
      <c r="S173" s="18">
        <f t="shared" si="5"/>
        <v>45170</v>
      </c>
    </row>
    <row r="174" spans="1:19" x14ac:dyDescent="0.25">
      <c r="A174" s="3" t="s">
        <v>1014</v>
      </c>
      <c r="B174" s="4" t="s">
        <v>107</v>
      </c>
      <c r="C174" s="14">
        <v>44636</v>
      </c>
      <c r="D174" s="4" t="s">
        <v>667</v>
      </c>
      <c r="E174" s="4" t="s">
        <v>696</v>
      </c>
      <c r="F174" s="4">
        <v>59.99</v>
      </c>
      <c r="G174" s="4">
        <v>4</v>
      </c>
      <c r="H174" s="4">
        <v>0</v>
      </c>
      <c r="I174" s="4">
        <v>59.99</v>
      </c>
      <c r="J174" s="4">
        <v>239.96</v>
      </c>
      <c r="K174" s="4" t="s">
        <v>675</v>
      </c>
      <c r="L174" s="4" t="s">
        <v>656</v>
      </c>
      <c r="M174" s="5">
        <v>5</v>
      </c>
      <c r="N174">
        <f>VLOOKUP(B174,Customers!A:J,7,0)</f>
        <v>43</v>
      </c>
      <c r="O174" t="str">
        <f>VLOOKUP(B174,Customers!A:J,5,0)</f>
        <v>Phoenix</v>
      </c>
      <c r="P174" t="str">
        <f>VLOOKUP(B174,Customers!A:J,10,0)</f>
        <v>Free</v>
      </c>
      <c r="Q174" t="str">
        <f>VLOOKUP(B174,Customers!A:J,8,0)</f>
        <v>Female</v>
      </c>
      <c r="R174" t="b">
        <f t="shared" si="4"/>
        <v>1</v>
      </c>
      <c r="S174" s="18">
        <f t="shared" si="5"/>
        <v>44621</v>
      </c>
    </row>
    <row r="175" spans="1:19" x14ac:dyDescent="0.25">
      <c r="A175" s="6" t="s">
        <v>1016</v>
      </c>
      <c r="B175" s="7" t="s">
        <v>107</v>
      </c>
      <c r="C175" s="15">
        <v>44700</v>
      </c>
      <c r="D175" s="7" t="s">
        <v>680</v>
      </c>
      <c r="E175" s="7" t="s">
        <v>688</v>
      </c>
      <c r="F175" s="7">
        <v>29.99</v>
      </c>
      <c r="G175" s="7">
        <v>3</v>
      </c>
      <c r="H175" s="7">
        <v>20</v>
      </c>
      <c r="I175" s="7">
        <v>23.99</v>
      </c>
      <c r="J175" s="7">
        <v>71.97</v>
      </c>
      <c r="K175" s="7" t="s">
        <v>682</v>
      </c>
      <c r="L175" s="7" t="s">
        <v>656</v>
      </c>
      <c r="M175" s="8"/>
      <c r="N175">
        <f>VLOOKUP(B175,Customers!A:J,7,0)</f>
        <v>43</v>
      </c>
      <c r="O175" t="str">
        <f>VLOOKUP(B175,Customers!A:J,5,0)</f>
        <v>Phoenix</v>
      </c>
      <c r="P175" t="str">
        <f>VLOOKUP(B175,Customers!A:J,10,0)</f>
        <v>Free</v>
      </c>
      <c r="Q175" t="str">
        <f>VLOOKUP(B175,Customers!A:J,8,0)</f>
        <v>Female</v>
      </c>
      <c r="R175" t="b">
        <f t="shared" si="4"/>
        <v>1</v>
      </c>
      <c r="S175" s="18">
        <f t="shared" si="5"/>
        <v>44682</v>
      </c>
    </row>
    <row r="176" spans="1:19" x14ac:dyDescent="0.25">
      <c r="A176" s="3" t="s">
        <v>1017</v>
      </c>
      <c r="B176" s="4" t="s">
        <v>107</v>
      </c>
      <c r="C176" s="14">
        <v>45475</v>
      </c>
      <c r="D176" s="4" t="s">
        <v>659</v>
      </c>
      <c r="E176" s="4" t="s">
        <v>664</v>
      </c>
      <c r="F176" s="4">
        <v>24.99</v>
      </c>
      <c r="G176" s="4">
        <v>4</v>
      </c>
      <c r="H176" s="4">
        <v>15</v>
      </c>
      <c r="I176" s="4">
        <v>21.24</v>
      </c>
      <c r="J176" s="4">
        <v>84.96</v>
      </c>
      <c r="K176" s="4" t="s">
        <v>661</v>
      </c>
      <c r="L176" s="4" t="s">
        <v>656</v>
      </c>
      <c r="M176" s="5">
        <v>3</v>
      </c>
      <c r="N176">
        <f>VLOOKUP(B176,Customers!A:J,7,0)</f>
        <v>43</v>
      </c>
      <c r="O176" t="str">
        <f>VLOOKUP(B176,Customers!A:J,5,0)</f>
        <v>Phoenix</v>
      </c>
      <c r="P176" t="str">
        <f>VLOOKUP(B176,Customers!A:J,10,0)</f>
        <v>Free</v>
      </c>
      <c r="Q176" t="str">
        <f>VLOOKUP(B176,Customers!A:J,8,0)</f>
        <v>Female</v>
      </c>
      <c r="R176" t="b">
        <f t="shared" si="4"/>
        <v>1</v>
      </c>
      <c r="S176" s="18">
        <f t="shared" si="5"/>
        <v>45474</v>
      </c>
    </row>
    <row r="177" spans="1:19" x14ac:dyDescent="0.25">
      <c r="A177" s="6" t="s">
        <v>1019</v>
      </c>
      <c r="B177" s="7" t="s">
        <v>107</v>
      </c>
      <c r="C177" s="15">
        <v>44836</v>
      </c>
      <c r="D177" s="7" t="s">
        <v>684</v>
      </c>
      <c r="E177" s="7" t="s">
        <v>702</v>
      </c>
      <c r="F177" s="7">
        <v>199.99</v>
      </c>
      <c r="G177" s="7">
        <v>3</v>
      </c>
      <c r="H177" s="7">
        <v>0</v>
      </c>
      <c r="I177" s="7">
        <v>199.99</v>
      </c>
      <c r="J177" s="7">
        <v>599.97</v>
      </c>
      <c r="K177" s="7" t="s">
        <v>655</v>
      </c>
      <c r="L177" s="7" t="s">
        <v>739</v>
      </c>
      <c r="M177" s="8"/>
      <c r="N177">
        <f>VLOOKUP(B177,Customers!A:J,7,0)</f>
        <v>43</v>
      </c>
      <c r="O177" t="str">
        <f>VLOOKUP(B177,Customers!A:J,5,0)</f>
        <v>Phoenix</v>
      </c>
      <c r="P177" t="str">
        <f>VLOOKUP(B177,Customers!A:J,10,0)</f>
        <v>Free</v>
      </c>
      <c r="Q177" t="str">
        <f>VLOOKUP(B177,Customers!A:J,8,0)</f>
        <v>Female</v>
      </c>
      <c r="R177" t="b">
        <f t="shared" si="4"/>
        <v>1</v>
      </c>
      <c r="S177" s="18">
        <f t="shared" si="5"/>
        <v>44835</v>
      </c>
    </row>
    <row r="178" spans="1:19" x14ac:dyDescent="0.25">
      <c r="A178" s="3" t="s">
        <v>1021</v>
      </c>
      <c r="B178" s="4" t="s">
        <v>107</v>
      </c>
      <c r="C178" s="14">
        <v>44769</v>
      </c>
      <c r="D178" s="4" t="s">
        <v>659</v>
      </c>
      <c r="E178" s="4" t="s">
        <v>820</v>
      </c>
      <c r="F178" s="4">
        <v>39.99</v>
      </c>
      <c r="G178" s="4">
        <v>2</v>
      </c>
      <c r="H178" s="4">
        <v>15</v>
      </c>
      <c r="I178" s="4">
        <v>33.99</v>
      </c>
      <c r="J178" s="4">
        <v>67.98</v>
      </c>
      <c r="K178" s="4" t="s">
        <v>661</v>
      </c>
      <c r="L178" s="4" t="s">
        <v>656</v>
      </c>
      <c r="M178" s="5">
        <v>3</v>
      </c>
      <c r="N178">
        <f>VLOOKUP(B178,Customers!A:J,7,0)</f>
        <v>43</v>
      </c>
      <c r="O178" t="str">
        <f>VLOOKUP(B178,Customers!A:J,5,0)</f>
        <v>Phoenix</v>
      </c>
      <c r="P178" t="str">
        <f>VLOOKUP(B178,Customers!A:J,10,0)</f>
        <v>Free</v>
      </c>
      <c r="Q178" t="str">
        <f>VLOOKUP(B178,Customers!A:J,8,0)</f>
        <v>Female</v>
      </c>
      <c r="R178" t="b">
        <f t="shared" si="4"/>
        <v>1</v>
      </c>
      <c r="S178" s="18">
        <f t="shared" si="5"/>
        <v>44743</v>
      </c>
    </row>
    <row r="179" spans="1:19" x14ac:dyDescent="0.25">
      <c r="A179" s="6" t="s">
        <v>1022</v>
      </c>
      <c r="B179" s="7" t="s">
        <v>110</v>
      </c>
      <c r="C179" s="15">
        <v>44702</v>
      </c>
      <c r="D179" s="7" t="s">
        <v>659</v>
      </c>
      <c r="E179" s="7" t="s">
        <v>762</v>
      </c>
      <c r="F179" s="7">
        <v>49.99</v>
      </c>
      <c r="G179" s="7">
        <v>3</v>
      </c>
      <c r="H179" s="7">
        <v>5</v>
      </c>
      <c r="I179" s="7">
        <v>47.49</v>
      </c>
      <c r="J179" s="7">
        <v>142.47</v>
      </c>
      <c r="K179" s="7" t="s">
        <v>675</v>
      </c>
      <c r="L179" s="7" t="s">
        <v>788</v>
      </c>
      <c r="M179" s="8">
        <v>3</v>
      </c>
      <c r="N179">
        <f>VLOOKUP(B179,Customers!A:J,7,0)</f>
        <v>27</v>
      </c>
      <c r="O179" t="str">
        <f>VLOOKUP(B179,Customers!A:J,5,0)</f>
        <v>Jacksonville</v>
      </c>
      <c r="P179" t="str">
        <f>VLOOKUP(B179,Customers!A:J,10,0)</f>
        <v>Platinum</v>
      </c>
      <c r="Q179" t="str">
        <f>VLOOKUP(B179,Customers!A:J,8,0)</f>
        <v>Male</v>
      </c>
      <c r="R179" t="b">
        <f t="shared" si="4"/>
        <v>1</v>
      </c>
      <c r="S179" s="18">
        <f t="shared" si="5"/>
        <v>44682</v>
      </c>
    </row>
    <row r="180" spans="1:19" x14ac:dyDescent="0.25">
      <c r="A180" s="3" t="s">
        <v>1024</v>
      </c>
      <c r="B180" s="4" t="s">
        <v>110</v>
      </c>
      <c r="C180" s="14">
        <v>44881</v>
      </c>
      <c r="D180" s="4" t="s">
        <v>672</v>
      </c>
      <c r="E180" s="4" t="s">
        <v>735</v>
      </c>
      <c r="F180" s="4">
        <v>44.99</v>
      </c>
      <c r="G180" s="4">
        <v>2</v>
      </c>
      <c r="H180" s="4">
        <v>10</v>
      </c>
      <c r="I180" s="4">
        <v>40.49</v>
      </c>
      <c r="J180" s="4">
        <v>80.98</v>
      </c>
      <c r="K180" s="4" t="s">
        <v>675</v>
      </c>
      <c r="L180" s="4" t="s">
        <v>656</v>
      </c>
      <c r="M180" s="5">
        <v>5</v>
      </c>
      <c r="N180">
        <f>VLOOKUP(B180,Customers!A:J,7,0)</f>
        <v>27</v>
      </c>
      <c r="O180" t="str">
        <f>VLOOKUP(B180,Customers!A:J,5,0)</f>
        <v>Jacksonville</v>
      </c>
      <c r="P180" t="str">
        <f>VLOOKUP(B180,Customers!A:J,10,0)</f>
        <v>Platinum</v>
      </c>
      <c r="Q180" t="str">
        <f>VLOOKUP(B180,Customers!A:J,8,0)</f>
        <v>Male</v>
      </c>
      <c r="R180" t="b">
        <f t="shared" si="4"/>
        <v>1</v>
      </c>
      <c r="S180" s="18">
        <f t="shared" si="5"/>
        <v>44866</v>
      </c>
    </row>
    <row r="181" spans="1:19" x14ac:dyDescent="0.25">
      <c r="A181" s="6" t="s">
        <v>1026</v>
      </c>
      <c r="B181" s="7" t="s">
        <v>110</v>
      </c>
      <c r="C181" s="15">
        <v>44625</v>
      </c>
      <c r="D181" s="7" t="s">
        <v>667</v>
      </c>
      <c r="E181" s="7" t="s">
        <v>714</v>
      </c>
      <c r="F181" s="7">
        <v>44.99</v>
      </c>
      <c r="G181" s="7">
        <v>4</v>
      </c>
      <c r="H181" s="7">
        <v>20</v>
      </c>
      <c r="I181" s="7">
        <v>35.99</v>
      </c>
      <c r="J181" s="7">
        <v>143.96</v>
      </c>
      <c r="K181" s="7" t="s">
        <v>675</v>
      </c>
      <c r="L181" s="7" t="s">
        <v>656</v>
      </c>
      <c r="M181" s="8">
        <v>3</v>
      </c>
      <c r="N181">
        <f>VLOOKUP(B181,Customers!A:J,7,0)</f>
        <v>27</v>
      </c>
      <c r="O181" t="str">
        <f>VLOOKUP(B181,Customers!A:J,5,0)</f>
        <v>Jacksonville</v>
      </c>
      <c r="P181" t="str">
        <f>VLOOKUP(B181,Customers!A:J,10,0)</f>
        <v>Platinum</v>
      </c>
      <c r="Q181" t="str">
        <f>VLOOKUP(B181,Customers!A:J,8,0)</f>
        <v>Male</v>
      </c>
      <c r="R181" t="b">
        <f t="shared" si="4"/>
        <v>1</v>
      </c>
      <c r="S181" s="18">
        <f t="shared" si="5"/>
        <v>44621</v>
      </c>
    </row>
    <row r="182" spans="1:19" x14ac:dyDescent="0.25">
      <c r="A182" s="3" t="s">
        <v>1028</v>
      </c>
      <c r="B182" s="4" t="s">
        <v>110</v>
      </c>
      <c r="C182" s="14">
        <v>45078</v>
      </c>
      <c r="D182" s="4" t="s">
        <v>667</v>
      </c>
      <c r="E182" s="4" t="s">
        <v>699</v>
      </c>
      <c r="F182" s="4">
        <v>89.99</v>
      </c>
      <c r="G182" s="4">
        <v>2</v>
      </c>
      <c r="H182" s="4">
        <v>0</v>
      </c>
      <c r="I182" s="4">
        <v>89.99</v>
      </c>
      <c r="J182" s="4">
        <v>179.98</v>
      </c>
      <c r="K182" s="4" t="s">
        <v>669</v>
      </c>
      <c r="L182" s="4" t="s">
        <v>656</v>
      </c>
      <c r="M182" s="5">
        <v>3</v>
      </c>
      <c r="N182">
        <f>VLOOKUP(B182,Customers!A:J,7,0)</f>
        <v>27</v>
      </c>
      <c r="O182" t="str">
        <f>VLOOKUP(B182,Customers!A:J,5,0)</f>
        <v>Jacksonville</v>
      </c>
      <c r="P182" t="str">
        <f>VLOOKUP(B182,Customers!A:J,10,0)</f>
        <v>Platinum</v>
      </c>
      <c r="Q182" t="str">
        <f>VLOOKUP(B182,Customers!A:J,8,0)</f>
        <v>Male</v>
      </c>
      <c r="R182" t="b">
        <f t="shared" si="4"/>
        <v>1</v>
      </c>
      <c r="S182" s="18">
        <f t="shared" si="5"/>
        <v>45078</v>
      </c>
    </row>
    <row r="183" spans="1:19" x14ac:dyDescent="0.25">
      <c r="A183" s="6" t="s">
        <v>1029</v>
      </c>
      <c r="B183" s="7" t="s">
        <v>113</v>
      </c>
      <c r="C183" s="15">
        <v>45197</v>
      </c>
      <c r="D183" s="7" t="s">
        <v>672</v>
      </c>
      <c r="E183" s="7" t="s">
        <v>724</v>
      </c>
      <c r="F183" s="7">
        <v>89.99</v>
      </c>
      <c r="G183" s="7">
        <v>4</v>
      </c>
      <c r="H183" s="7">
        <v>5</v>
      </c>
      <c r="I183" s="7">
        <v>85.49</v>
      </c>
      <c r="J183" s="7">
        <v>341.96</v>
      </c>
      <c r="K183" s="7" t="s">
        <v>682</v>
      </c>
      <c r="L183" s="7" t="s">
        <v>788</v>
      </c>
      <c r="M183" s="8">
        <v>5</v>
      </c>
      <c r="N183">
        <f>VLOOKUP(B183,Customers!A:J,7,0)</f>
        <v>56</v>
      </c>
      <c r="O183" t="str">
        <f>VLOOKUP(B183,Customers!A:J,5,0)</f>
        <v>Jacksonville</v>
      </c>
      <c r="P183" t="str">
        <f>VLOOKUP(B183,Customers!A:J,10,0)</f>
        <v>Free</v>
      </c>
      <c r="Q183" t="str">
        <f>VLOOKUP(B183,Customers!A:J,8,0)</f>
        <v>Male</v>
      </c>
      <c r="R183" t="b">
        <f t="shared" si="4"/>
        <v>1</v>
      </c>
      <c r="S183" s="18">
        <f t="shared" si="5"/>
        <v>45170</v>
      </c>
    </row>
    <row r="184" spans="1:19" x14ac:dyDescent="0.25">
      <c r="A184" s="3" t="s">
        <v>1030</v>
      </c>
      <c r="B184" s="4" t="s">
        <v>113</v>
      </c>
      <c r="C184" s="14">
        <v>45082</v>
      </c>
      <c r="D184" s="4" t="s">
        <v>653</v>
      </c>
      <c r="E184" s="4" t="s">
        <v>827</v>
      </c>
      <c r="F184" s="4">
        <v>29.99</v>
      </c>
      <c r="G184" s="4">
        <v>1</v>
      </c>
      <c r="H184" s="4">
        <v>10</v>
      </c>
      <c r="I184" s="4">
        <v>26.99</v>
      </c>
      <c r="J184" s="4">
        <v>26.99</v>
      </c>
      <c r="K184" s="4" t="s">
        <v>675</v>
      </c>
      <c r="L184" s="4" t="s">
        <v>656</v>
      </c>
      <c r="M184" s="5">
        <v>4</v>
      </c>
      <c r="N184">
        <f>VLOOKUP(B184,Customers!A:J,7,0)</f>
        <v>56</v>
      </c>
      <c r="O184" t="str">
        <f>VLOOKUP(B184,Customers!A:J,5,0)</f>
        <v>Jacksonville</v>
      </c>
      <c r="P184" t="str">
        <f>VLOOKUP(B184,Customers!A:J,10,0)</f>
        <v>Free</v>
      </c>
      <c r="Q184" t="str">
        <f>VLOOKUP(B184,Customers!A:J,8,0)</f>
        <v>Male</v>
      </c>
      <c r="R184" t="b">
        <f t="shared" si="4"/>
        <v>1</v>
      </c>
      <c r="S184" s="18">
        <f t="shared" si="5"/>
        <v>45078</v>
      </c>
    </row>
    <row r="185" spans="1:19" x14ac:dyDescent="0.25">
      <c r="A185" s="6" t="s">
        <v>1031</v>
      </c>
      <c r="B185" s="7" t="s">
        <v>113</v>
      </c>
      <c r="C185" s="15">
        <v>44574</v>
      </c>
      <c r="D185" s="7" t="s">
        <v>659</v>
      </c>
      <c r="E185" s="7" t="s">
        <v>660</v>
      </c>
      <c r="F185" s="7">
        <v>19.989999999999998</v>
      </c>
      <c r="G185" s="7">
        <v>4</v>
      </c>
      <c r="H185" s="7">
        <v>0</v>
      </c>
      <c r="I185" s="7">
        <v>19.989999999999998</v>
      </c>
      <c r="J185" s="7">
        <v>79.959999999999994</v>
      </c>
      <c r="K185" s="7" t="s">
        <v>675</v>
      </c>
      <c r="L185" s="7" t="s">
        <v>739</v>
      </c>
      <c r="M185" s="8"/>
      <c r="N185">
        <f>VLOOKUP(B185,Customers!A:J,7,0)</f>
        <v>56</v>
      </c>
      <c r="O185" t="str">
        <f>VLOOKUP(B185,Customers!A:J,5,0)</f>
        <v>Jacksonville</v>
      </c>
      <c r="P185" t="str">
        <f>VLOOKUP(B185,Customers!A:J,10,0)</f>
        <v>Free</v>
      </c>
      <c r="Q185" t="str">
        <f>VLOOKUP(B185,Customers!A:J,8,0)</f>
        <v>Male</v>
      </c>
      <c r="R185" t="b">
        <f t="shared" si="4"/>
        <v>1</v>
      </c>
      <c r="S185" s="18">
        <f t="shared" si="5"/>
        <v>44562</v>
      </c>
    </row>
    <row r="186" spans="1:19" x14ac:dyDescent="0.25">
      <c r="A186" s="3" t="s">
        <v>1033</v>
      </c>
      <c r="B186" s="4" t="s">
        <v>113</v>
      </c>
      <c r="C186" s="14">
        <v>44950</v>
      </c>
      <c r="D186" s="4" t="s">
        <v>667</v>
      </c>
      <c r="E186" s="4" t="s">
        <v>668</v>
      </c>
      <c r="F186" s="4">
        <v>64.989999999999995</v>
      </c>
      <c r="G186" s="4">
        <v>4</v>
      </c>
      <c r="H186" s="4">
        <v>15</v>
      </c>
      <c r="I186" s="4">
        <v>55.24</v>
      </c>
      <c r="J186" s="4">
        <v>220.96</v>
      </c>
      <c r="K186" s="4" t="s">
        <v>669</v>
      </c>
      <c r="L186" s="4" t="s">
        <v>656</v>
      </c>
      <c r="M186" s="5">
        <v>3</v>
      </c>
      <c r="N186">
        <f>VLOOKUP(B186,Customers!A:J,7,0)</f>
        <v>56</v>
      </c>
      <c r="O186" t="str">
        <f>VLOOKUP(B186,Customers!A:J,5,0)</f>
        <v>Jacksonville</v>
      </c>
      <c r="P186" t="str">
        <f>VLOOKUP(B186,Customers!A:J,10,0)</f>
        <v>Free</v>
      </c>
      <c r="Q186" t="str">
        <f>VLOOKUP(B186,Customers!A:J,8,0)</f>
        <v>Male</v>
      </c>
      <c r="R186" t="b">
        <f t="shared" si="4"/>
        <v>1</v>
      </c>
      <c r="S186" s="18">
        <f t="shared" si="5"/>
        <v>44927</v>
      </c>
    </row>
    <row r="187" spans="1:19" x14ac:dyDescent="0.25">
      <c r="A187" s="6" t="s">
        <v>1035</v>
      </c>
      <c r="B187" s="7" t="s">
        <v>113</v>
      </c>
      <c r="C187" s="15">
        <v>45337</v>
      </c>
      <c r="D187" s="7" t="s">
        <v>710</v>
      </c>
      <c r="E187" s="7" t="s">
        <v>730</v>
      </c>
      <c r="F187" s="7">
        <v>39.99</v>
      </c>
      <c r="G187" s="7">
        <v>1</v>
      </c>
      <c r="H187" s="7">
        <v>0</v>
      </c>
      <c r="I187" s="7">
        <v>39.99</v>
      </c>
      <c r="J187" s="7">
        <v>39.99</v>
      </c>
      <c r="K187" s="7" t="s">
        <v>669</v>
      </c>
      <c r="L187" s="7" t="s">
        <v>656</v>
      </c>
      <c r="M187" s="8">
        <v>5</v>
      </c>
      <c r="N187">
        <f>VLOOKUP(B187,Customers!A:J,7,0)</f>
        <v>56</v>
      </c>
      <c r="O187" t="str">
        <f>VLOOKUP(B187,Customers!A:J,5,0)</f>
        <v>Jacksonville</v>
      </c>
      <c r="P187" t="str">
        <f>VLOOKUP(B187,Customers!A:J,10,0)</f>
        <v>Free</v>
      </c>
      <c r="Q187" t="str">
        <f>VLOOKUP(B187,Customers!A:J,8,0)</f>
        <v>Male</v>
      </c>
      <c r="R187" t="b">
        <f t="shared" si="4"/>
        <v>1</v>
      </c>
      <c r="S187" s="18">
        <f t="shared" si="5"/>
        <v>45323</v>
      </c>
    </row>
    <row r="188" spans="1:19" x14ac:dyDescent="0.25">
      <c r="A188" s="3" t="s">
        <v>1037</v>
      </c>
      <c r="B188" s="4" t="s">
        <v>113</v>
      </c>
      <c r="C188" s="14">
        <v>45092</v>
      </c>
      <c r="D188" s="4" t="s">
        <v>672</v>
      </c>
      <c r="E188" s="4" t="s">
        <v>724</v>
      </c>
      <c r="F188" s="4">
        <v>89.99</v>
      </c>
      <c r="G188" s="4">
        <v>1</v>
      </c>
      <c r="H188" s="4">
        <v>0</v>
      </c>
      <c r="I188" s="4">
        <v>89.99</v>
      </c>
      <c r="J188" s="4">
        <v>89.99</v>
      </c>
      <c r="K188" s="4" t="s">
        <v>655</v>
      </c>
      <c r="L188" s="4" t="s">
        <v>656</v>
      </c>
      <c r="M188" s="5">
        <v>5</v>
      </c>
      <c r="N188">
        <f>VLOOKUP(B188,Customers!A:J,7,0)</f>
        <v>56</v>
      </c>
      <c r="O188" t="str">
        <f>VLOOKUP(B188,Customers!A:J,5,0)</f>
        <v>Jacksonville</v>
      </c>
      <c r="P188" t="str">
        <f>VLOOKUP(B188,Customers!A:J,10,0)</f>
        <v>Free</v>
      </c>
      <c r="Q188" t="str">
        <f>VLOOKUP(B188,Customers!A:J,8,0)</f>
        <v>Male</v>
      </c>
      <c r="R188" t="b">
        <f t="shared" si="4"/>
        <v>1</v>
      </c>
      <c r="S188" s="18">
        <f t="shared" si="5"/>
        <v>45078</v>
      </c>
    </row>
    <row r="189" spans="1:19" x14ac:dyDescent="0.25">
      <c r="A189" s="6" t="s">
        <v>1039</v>
      </c>
      <c r="B189" s="7" t="s">
        <v>113</v>
      </c>
      <c r="C189" s="15">
        <v>44850</v>
      </c>
      <c r="D189" s="7" t="s">
        <v>680</v>
      </c>
      <c r="E189" s="7" t="s">
        <v>708</v>
      </c>
      <c r="F189" s="7">
        <v>24.99</v>
      </c>
      <c r="G189" s="7">
        <v>1</v>
      </c>
      <c r="H189" s="7">
        <v>0</v>
      </c>
      <c r="I189" s="7">
        <v>24.99</v>
      </c>
      <c r="J189" s="7">
        <v>24.99</v>
      </c>
      <c r="K189" s="7" t="s">
        <v>661</v>
      </c>
      <c r="L189" s="7" t="s">
        <v>785</v>
      </c>
      <c r="M189" s="8"/>
      <c r="N189">
        <f>VLOOKUP(B189,Customers!A:J,7,0)</f>
        <v>56</v>
      </c>
      <c r="O189" t="str">
        <f>VLOOKUP(B189,Customers!A:J,5,0)</f>
        <v>Jacksonville</v>
      </c>
      <c r="P189" t="str">
        <f>VLOOKUP(B189,Customers!A:J,10,0)</f>
        <v>Free</v>
      </c>
      <c r="Q189" t="str">
        <f>VLOOKUP(B189,Customers!A:J,8,0)</f>
        <v>Male</v>
      </c>
      <c r="R189" t="b">
        <f t="shared" si="4"/>
        <v>1</v>
      </c>
      <c r="S189" s="18">
        <f t="shared" si="5"/>
        <v>44835</v>
      </c>
    </row>
    <row r="190" spans="1:19" x14ac:dyDescent="0.25">
      <c r="A190" s="3" t="s">
        <v>1040</v>
      </c>
      <c r="B190" s="4" t="s">
        <v>113</v>
      </c>
      <c r="C190" s="14">
        <v>45060</v>
      </c>
      <c r="D190" s="4" t="s">
        <v>667</v>
      </c>
      <c r="E190" s="4" t="s">
        <v>668</v>
      </c>
      <c r="F190" s="4">
        <v>64.989999999999995</v>
      </c>
      <c r="G190" s="4">
        <v>4</v>
      </c>
      <c r="H190" s="4">
        <v>0</v>
      </c>
      <c r="I190" s="4">
        <v>64.989999999999995</v>
      </c>
      <c r="J190" s="4">
        <v>259.95999999999998</v>
      </c>
      <c r="K190" s="4" t="s">
        <v>682</v>
      </c>
      <c r="L190" s="4" t="s">
        <v>656</v>
      </c>
      <c r="M190" s="5">
        <v>4</v>
      </c>
      <c r="N190">
        <f>VLOOKUP(B190,Customers!A:J,7,0)</f>
        <v>56</v>
      </c>
      <c r="O190" t="str">
        <f>VLOOKUP(B190,Customers!A:J,5,0)</f>
        <v>Jacksonville</v>
      </c>
      <c r="P190" t="str">
        <f>VLOOKUP(B190,Customers!A:J,10,0)</f>
        <v>Free</v>
      </c>
      <c r="Q190" t="str">
        <f>VLOOKUP(B190,Customers!A:J,8,0)</f>
        <v>Male</v>
      </c>
      <c r="R190" t="b">
        <f t="shared" si="4"/>
        <v>1</v>
      </c>
      <c r="S190" s="18">
        <f t="shared" si="5"/>
        <v>45047</v>
      </c>
    </row>
    <row r="191" spans="1:19" x14ac:dyDescent="0.25">
      <c r="A191" s="6" t="s">
        <v>1042</v>
      </c>
      <c r="B191" s="7" t="s">
        <v>113</v>
      </c>
      <c r="C191" s="15">
        <v>45010</v>
      </c>
      <c r="D191" s="7" t="s">
        <v>684</v>
      </c>
      <c r="E191" s="7" t="s">
        <v>705</v>
      </c>
      <c r="F191" s="7">
        <v>79.989999999999995</v>
      </c>
      <c r="G191" s="7">
        <v>2</v>
      </c>
      <c r="H191" s="7">
        <v>5</v>
      </c>
      <c r="I191" s="7">
        <v>75.989999999999995</v>
      </c>
      <c r="J191" s="7">
        <v>151.97999999999999</v>
      </c>
      <c r="K191" s="7" t="s">
        <v>682</v>
      </c>
      <c r="L191" s="7" t="s">
        <v>656</v>
      </c>
      <c r="M191" s="8">
        <v>5</v>
      </c>
      <c r="N191">
        <f>VLOOKUP(B191,Customers!A:J,7,0)</f>
        <v>56</v>
      </c>
      <c r="O191" t="str">
        <f>VLOOKUP(B191,Customers!A:J,5,0)</f>
        <v>Jacksonville</v>
      </c>
      <c r="P191" t="str">
        <f>VLOOKUP(B191,Customers!A:J,10,0)</f>
        <v>Free</v>
      </c>
      <c r="Q191" t="str">
        <f>VLOOKUP(B191,Customers!A:J,8,0)</f>
        <v>Male</v>
      </c>
      <c r="R191" t="b">
        <f t="shared" si="4"/>
        <v>1</v>
      </c>
      <c r="S191" s="18">
        <f t="shared" si="5"/>
        <v>44986</v>
      </c>
    </row>
    <row r="192" spans="1:19" x14ac:dyDescent="0.25">
      <c r="A192" s="3" t="s">
        <v>1043</v>
      </c>
      <c r="B192" s="4" t="s">
        <v>113</v>
      </c>
      <c r="C192" s="14">
        <v>44752</v>
      </c>
      <c r="D192" s="4" t="s">
        <v>672</v>
      </c>
      <c r="E192" s="4" t="s">
        <v>803</v>
      </c>
      <c r="F192" s="4">
        <v>69.989999999999995</v>
      </c>
      <c r="G192" s="4">
        <v>2</v>
      </c>
      <c r="H192" s="4">
        <v>20</v>
      </c>
      <c r="I192" s="4">
        <v>55.99</v>
      </c>
      <c r="J192" s="4">
        <v>111.98</v>
      </c>
      <c r="K192" s="4" t="s">
        <v>661</v>
      </c>
      <c r="L192" s="4" t="s">
        <v>656</v>
      </c>
      <c r="M192" s="5"/>
      <c r="N192">
        <f>VLOOKUP(B192,Customers!A:J,7,0)</f>
        <v>56</v>
      </c>
      <c r="O192" t="str">
        <f>VLOOKUP(B192,Customers!A:J,5,0)</f>
        <v>Jacksonville</v>
      </c>
      <c r="P192" t="str">
        <f>VLOOKUP(B192,Customers!A:J,10,0)</f>
        <v>Free</v>
      </c>
      <c r="Q192" t="str">
        <f>VLOOKUP(B192,Customers!A:J,8,0)</f>
        <v>Male</v>
      </c>
      <c r="R192" t="b">
        <f t="shared" si="4"/>
        <v>1</v>
      </c>
      <c r="S192" s="18">
        <f t="shared" si="5"/>
        <v>44743</v>
      </c>
    </row>
    <row r="193" spans="1:19" x14ac:dyDescent="0.25">
      <c r="A193" s="6" t="s">
        <v>1045</v>
      </c>
      <c r="B193" s="7" t="s">
        <v>113</v>
      </c>
      <c r="C193" s="15">
        <v>44805</v>
      </c>
      <c r="D193" s="7" t="s">
        <v>659</v>
      </c>
      <c r="E193" s="7" t="s">
        <v>664</v>
      </c>
      <c r="F193" s="7">
        <v>24.99</v>
      </c>
      <c r="G193" s="7">
        <v>3</v>
      </c>
      <c r="H193" s="7">
        <v>20</v>
      </c>
      <c r="I193" s="7">
        <v>19.989999999999998</v>
      </c>
      <c r="J193" s="7">
        <v>59.97</v>
      </c>
      <c r="K193" s="7" t="s">
        <v>675</v>
      </c>
      <c r="L193" s="7" t="s">
        <v>693</v>
      </c>
      <c r="M193" s="8"/>
      <c r="N193">
        <f>VLOOKUP(B193,Customers!A:J,7,0)</f>
        <v>56</v>
      </c>
      <c r="O193" t="str">
        <f>VLOOKUP(B193,Customers!A:J,5,0)</f>
        <v>Jacksonville</v>
      </c>
      <c r="P193" t="str">
        <f>VLOOKUP(B193,Customers!A:J,10,0)</f>
        <v>Free</v>
      </c>
      <c r="Q193" t="str">
        <f>VLOOKUP(B193,Customers!A:J,8,0)</f>
        <v>Male</v>
      </c>
      <c r="R193" t="b">
        <f t="shared" si="4"/>
        <v>1</v>
      </c>
      <c r="S193" s="18">
        <f t="shared" si="5"/>
        <v>44805</v>
      </c>
    </row>
    <row r="194" spans="1:19" x14ac:dyDescent="0.25">
      <c r="A194" s="3" t="s">
        <v>1047</v>
      </c>
      <c r="B194" s="4" t="s">
        <v>113</v>
      </c>
      <c r="C194" s="14">
        <v>44860</v>
      </c>
      <c r="D194" s="4" t="s">
        <v>672</v>
      </c>
      <c r="E194" s="4" t="s">
        <v>803</v>
      </c>
      <c r="F194" s="4">
        <v>69.989999999999995</v>
      </c>
      <c r="G194" s="4">
        <v>2</v>
      </c>
      <c r="H194" s="4">
        <v>10</v>
      </c>
      <c r="I194" s="4">
        <v>62.99</v>
      </c>
      <c r="J194" s="4">
        <v>125.98</v>
      </c>
      <c r="K194" s="4" t="s">
        <v>661</v>
      </c>
      <c r="L194" s="4" t="s">
        <v>785</v>
      </c>
      <c r="M194" s="5">
        <v>5</v>
      </c>
      <c r="N194">
        <f>VLOOKUP(B194,Customers!A:J,7,0)</f>
        <v>56</v>
      </c>
      <c r="O194" t="str">
        <f>VLOOKUP(B194,Customers!A:J,5,0)</f>
        <v>Jacksonville</v>
      </c>
      <c r="P194" t="str">
        <f>VLOOKUP(B194,Customers!A:J,10,0)</f>
        <v>Free</v>
      </c>
      <c r="Q194" t="str">
        <f>VLOOKUP(B194,Customers!A:J,8,0)</f>
        <v>Male</v>
      </c>
      <c r="R194" t="b">
        <f t="shared" si="4"/>
        <v>1</v>
      </c>
      <c r="S194" s="18">
        <f t="shared" si="5"/>
        <v>44835</v>
      </c>
    </row>
    <row r="195" spans="1:19" x14ac:dyDescent="0.25">
      <c r="A195" s="6" t="s">
        <v>1049</v>
      </c>
      <c r="B195" s="7" t="s">
        <v>116</v>
      </c>
      <c r="C195" s="15">
        <v>45027</v>
      </c>
      <c r="D195" s="7" t="s">
        <v>667</v>
      </c>
      <c r="E195" s="7" t="s">
        <v>696</v>
      </c>
      <c r="F195" s="7">
        <v>59.99</v>
      </c>
      <c r="G195" s="7">
        <v>4</v>
      </c>
      <c r="H195" s="7">
        <v>0</v>
      </c>
      <c r="I195" s="7">
        <v>59.99</v>
      </c>
      <c r="J195" s="7">
        <v>239.96</v>
      </c>
      <c r="K195" s="7" t="s">
        <v>661</v>
      </c>
      <c r="L195" s="7" t="s">
        <v>656</v>
      </c>
      <c r="M195" s="8"/>
      <c r="N195">
        <f>VLOOKUP(B195,Customers!A:J,7,0)</f>
        <v>28</v>
      </c>
      <c r="O195" t="str">
        <f>VLOOKUP(B195,Customers!A:J,5,0)</f>
        <v>Jacksonville</v>
      </c>
      <c r="P195" t="str">
        <f>VLOOKUP(B195,Customers!A:J,10,0)</f>
        <v>Silver</v>
      </c>
      <c r="Q195" t="str">
        <f>VLOOKUP(B195,Customers!A:J,8,0)</f>
        <v>Female</v>
      </c>
      <c r="R195" t="b">
        <f t="shared" ref="R195:R258" si="6">ISNUMBER(C195)</f>
        <v>1</v>
      </c>
      <c r="S195" s="18">
        <f t="shared" ref="S195:S258" si="7">DATE(YEAR(C195),MONTH(C195),1)</f>
        <v>45017</v>
      </c>
    </row>
    <row r="196" spans="1:19" x14ac:dyDescent="0.25">
      <c r="A196" s="3" t="s">
        <v>1051</v>
      </c>
      <c r="B196" s="4" t="s">
        <v>116</v>
      </c>
      <c r="C196" s="14">
        <v>45430</v>
      </c>
      <c r="D196" s="4" t="s">
        <v>684</v>
      </c>
      <c r="E196" s="4" t="s">
        <v>815</v>
      </c>
      <c r="F196" s="4">
        <v>34.99</v>
      </c>
      <c r="G196" s="4">
        <v>3</v>
      </c>
      <c r="H196" s="4">
        <v>15</v>
      </c>
      <c r="I196" s="4">
        <v>29.74</v>
      </c>
      <c r="J196" s="4">
        <v>89.22</v>
      </c>
      <c r="K196" s="4" t="s">
        <v>675</v>
      </c>
      <c r="L196" s="4" t="s">
        <v>656</v>
      </c>
      <c r="M196" s="5">
        <v>3</v>
      </c>
      <c r="N196">
        <f>VLOOKUP(B196,Customers!A:J,7,0)</f>
        <v>28</v>
      </c>
      <c r="O196" t="str">
        <f>VLOOKUP(B196,Customers!A:J,5,0)</f>
        <v>Jacksonville</v>
      </c>
      <c r="P196" t="str">
        <f>VLOOKUP(B196,Customers!A:J,10,0)</f>
        <v>Silver</v>
      </c>
      <c r="Q196" t="str">
        <f>VLOOKUP(B196,Customers!A:J,8,0)</f>
        <v>Female</v>
      </c>
      <c r="R196" t="b">
        <f t="shared" si="6"/>
        <v>1</v>
      </c>
      <c r="S196" s="18">
        <f t="shared" si="7"/>
        <v>45413</v>
      </c>
    </row>
    <row r="197" spans="1:19" x14ac:dyDescent="0.25">
      <c r="A197" s="6" t="s">
        <v>1053</v>
      </c>
      <c r="B197" s="7" t="s">
        <v>116</v>
      </c>
      <c r="C197" s="15">
        <v>45531</v>
      </c>
      <c r="D197" s="7" t="s">
        <v>684</v>
      </c>
      <c r="E197" s="7" t="s">
        <v>705</v>
      </c>
      <c r="F197" s="7">
        <v>79.989999999999995</v>
      </c>
      <c r="G197" s="7">
        <v>1</v>
      </c>
      <c r="H197" s="7">
        <v>0</v>
      </c>
      <c r="I197" s="7">
        <v>79.989999999999995</v>
      </c>
      <c r="J197" s="7">
        <v>79.989999999999995</v>
      </c>
      <c r="K197" s="7" t="s">
        <v>655</v>
      </c>
      <c r="L197" s="7" t="s">
        <v>788</v>
      </c>
      <c r="M197" s="8">
        <v>5</v>
      </c>
      <c r="N197">
        <f>VLOOKUP(B197,Customers!A:J,7,0)</f>
        <v>28</v>
      </c>
      <c r="O197" t="str">
        <f>VLOOKUP(B197,Customers!A:J,5,0)</f>
        <v>Jacksonville</v>
      </c>
      <c r="P197" t="str">
        <f>VLOOKUP(B197,Customers!A:J,10,0)</f>
        <v>Silver</v>
      </c>
      <c r="Q197" t="str">
        <f>VLOOKUP(B197,Customers!A:J,8,0)</f>
        <v>Female</v>
      </c>
      <c r="R197" t="b">
        <f t="shared" si="6"/>
        <v>1</v>
      </c>
      <c r="S197" s="18">
        <f t="shared" si="7"/>
        <v>45505</v>
      </c>
    </row>
    <row r="198" spans="1:19" x14ac:dyDescent="0.25">
      <c r="A198" s="3" t="s">
        <v>1055</v>
      </c>
      <c r="B198" s="4" t="s">
        <v>116</v>
      </c>
      <c r="C198" s="14">
        <v>45418</v>
      </c>
      <c r="D198" s="4" t="s">
        <v>659</v>
      </c>
      <c r="E198" s="4" t="s">
        <v>820</v>
      </c>
      <c r="F198" s="4">
        <v>39.99</v>
      </c>
      <c r="G198" s="4">
        <v>3</v>
      </c>
      <c r="H198" s="4">
        <v>5</v>
      </c>
      <c r="I198" s="4">
        <v>37.99</v>
      </c>
      <c r="J198" s="4">
        <v>113.97</v>
      </c>
      <c r="K198" s="4" t="s">
        <v>675</v>
      </c>
      <c r="L198" s="4" t="s">
        <v>656</v>
      </c>
      <c r="M198" s="5"/>
      <c r="N198">
        <f>VLOOKUP(B198,Customers!A:J,7,0)</f>
        <v>28</v>
      </c>
      <c r="O198" t="str">
        <f>VLOOKUP(B198,Customers!A:J,5,0)</f>
        <v>Jacksonville</v>
      </c>
      <c r="P198" t="str">
        <f>VLOOKUP(B198,Customers!A:J,10,0)</f>
        <v>Silver</v>
      </c>
      <c r="Q198" t="str">
        <f>VLOOKUP(B198,Customers!A:J,8,0)</f>
        <v>Female</v>
      </c>
      <c r="R198" t="b">
        <f t="shared" si="6"/>
        <v>1</v>
      </c>
      <c r="S198" s="18">
        <f t="shared" si="7"/>
        <v>45413</v>
      </c>
    </row>
    <row r="199" spans="1:19" x14ac:dyDescent="0.25">
      <c r="A199" s="6" t="s">
        <v>1056</v>
      </c>
      <c r="B199" s="7" t="s">
        <v>116</v>
      </c>
      <c r="C199" s="15">
        <v>44809</v>
      </c>
      <c r="D199" s="7" t="s">
        <v>659</v>
      </c>
      <c r="E199" s="7" t="s">
        <v>820</v>
      </c>
      <c r="F199" s="7">
        <v>39.99</v>
      </c>
      <c r="G199" s="7">
        <v>1</v>
      </c>
      <c r="H199" s="7">
        <v>0</v>
      </c>
      <c r="I199" s="7">
        <v>39.99</v>
      </c>
      <c r="J199" s="7">
        <v>39.99</v>
      </c>
      <c r="K199" s="7" t="s">
        <v>682</v>
      </c>
      <c r="L199" s="7" t="s">
        <v>656</v>
      </c>
      <c r="M199" s="8">
        <v>3</v>
      </c>
      <c r="N199">
        <f>VLOOKUP(B199,Customers!A:J,7,0)</f>
        <v>28</v>
      </c>
      <c r="O199" t="str">
        <f>VLOOKUP(B199,Customers!A:J,5,0)</f>
        <v>Jacksonville</v>
      </c>
      <c r="P199" t="str">
        <f>VLOOKUP(B199,Customers!A:J,10,0)</f>
        <v>Silver</v>
      </c>
      <c r="Q199" t="str">
        <f>VLOOKUP(B199,Customers!A:J,8,0)</f>
        <v>Female</v>
      </c>
      <c r="R199" t="b">
        <f t="shared" si="6"/>
        <v>1</v>
      </c>
      <c r="S199" s="18">
        <f t="shared" si="7"/>
        <v>44805</v>
      </c>
    </row>
    <row r="200" spans="1:19" x14ac:dyDescent="0.25">
      <c r="A200" s="3" t="s">
        <v>1058</v>
      </c>
      <c r="B200" s="4" t="s">
        <v>116</v>
      </c>
      <c r="C200" s="14">
        <v>44968</v>
      </c>
      <c r="D200" s="4" t="s">
        <v>653</v>
      </c>
      <c r="E200" s="4" t="s">
        <v>727</v>
      </c>
      <c r="F200" s="4">
        <v>14.99</v>
      </c>
      <c r="G200" s="4">
        <v>2</v>
      </c>
      <c r="H200" s="4">
        <v>0</v>
      </c>
      <c r="I200" s="4">
        <v>14.99</v>
      </c>
      <c r="J200" s="4">
        <v>29.98</v>
      </c>
      <c r="K200" s="4" t="s">
        <v>661</v>
      </c>
      <c r="L200" s="4" t="s">
        <v>788</v>
      </c>
      <c r="M200" s="5"/>
      <c r="N200">
        <f>VLOOKUP(B200,Customers!A:J,7,0)</f>
        <v>28</v>
      </c>
      <c r="O200" t="str">
        <f>VLOOKUP(B200,Customers!A:J,5,0)</f>
        <v>Jacksonville</v>
      </c>
      <c r="P200" t="str">
        <f>VLOOKUP(B200,Customers!A:J,10,0)</f>
        <v>Silver</v>
      </c>
      <c r="Q200" t="str">
        <f>VLOOKUP(B200,Customers!A:J,8,0)</f>
        <v>Female</v>
      </c>
      <c r="R200" t="b">
        <f t="shared" si="6"/>
        <v>1</v>
      </c>
      <c r="S200" s="18">
        <f t="shared" si="7"/>
        <v>44958</v>
      </c>
    </row>
    <row r="201" spans="1:19" x14ac:dyDescent="0.25">
      <c r="A201" s="6" t="s">
        <v>1060</v>
      </c>
      <c r="B201" s="7" t="s">
        <v>116</v>
      </c>
      <c r="C201" s="15">
        <v>45196</v>
      </c>
      <c r="D201" s="7" t="s">
        <v>659</v>
      </c>
      <c r="E201" s="7" t="s">
        <v>664</v>
      </c>
      <c r="F201" s="7">
        <v>24.99</v>
      </c>
      <c r="G201" s="7">
        <v>1</v>
      </c>
      <c r="H201" s="7">
        <v>15</v>
      </c>
      <c r="I201" s="7">
        <v>21.24</v>
      </c>
      <c r="J201" s="7">
        <v>21.24</v>
      </c>
      <c r="K201" s="7" t="s">
        <v>661</v>
      </c>
      <c r="L201" s="7" t="s">
        <v>788</v>
      </c>
      <c r="M201" s="8">
        <v>5</v>
      </c>
      <c r="N201">
        <f>VLOOKUP(B201,Customers!A:J,7,0)</f>
        <v>28</v>
      </c>
      <c r="O201" t="str">
        <f>VLOOKUP(B201,Customers!A:J,5,0)</f>
        <v>Jacksonville</v>
      </c>
      <c r="P201" t="str">
        <f>VLOOKUP(B201,Customers!A:J,10,0)</f>
        <v>Silver</v>
      </c>
      <c r="Q201" t="str">
        <f>VLOOKUP(B201,Customers!A:J,8,0)</f>
        <v>Female</v>
      </c>
      <c r="R201" t="b">
        <f t="shared" si="6"/>
        <v>1</v>
      </c>
      <c r="S201" s="18">
        <f t="shared" si="7"/>
        <v>45170</v>
      </c>
    </row>
    <row r="202" spans="1:19" x14ac:dyDescent="0.25">
      <c r="A202" s="3" t="s">
        <v>1061</v>
      </c>
      <c r="B202" s="4" t="s">
        <v>116</v>
      </c>
      <c r="C202" s="14">
        <v>45480</v>
      </c>
      <c r="D202" s="4" t="s">
        <v>659</v>
      </c>
      <c r="E202" s="4" t="s">
        <v>664</v>
      </c>
      <c r="F202" s="4">
        <v>24.99</v>
      </c>
      <c r="G202" s="4">
        <v>2</v>
      </c>
      <c r="H202" s="4">
        <v>0</v>
      </c>
      <c r="I202" s="4">
        <v>24.99</v>
      </c>
      <c r="J202" s="4">
        <v>49.98</v>
      </c>
      <c r="K202" s="4" t="s">
        <v>669</v>
      </c>
      <c r="L202" s="4" t="s">
        <v>656</v>
      </c>
      <c r="M202" s="5">
        <v>5</v>
      </c>
      <c r="N202">
        <f>VLOOKUP(B202,Customers!A:J,7,0)</f>
        <v>28</v>
      </c>
      <c r="O202" t="str">
        <f>VLOOKUP(B202,Customers!A:J,5,0)</f>
        <v>Jacksonville</v>
      </c>
      <c r="P202" t="str">
        <f>VLOOKUP(B202,Customers!A:J,10,0)</f>
        <v>Silver</v>
      </c>
      <c r="Q202" t="str">
        <f>VLOOKUP(B202,Customers!A:J,8,0)</f>
        <v>Female</v>
      </c>
      <c r="R202" t="b">
        <f t="shared" si="6"/>
        <v>1</v>
      </c>
      <c r="S202" s="18">
        <f t="shared" si="7"/>
        <v>45474</v>
      </c>
    </row>
    <row r="203" spans="1:19" x14ac:dyDescent="0.25">
      <c r="A203" s="6" t="s">
        <v>1063</v>
      </c>
      <c r="B203" s="7" t="s">
        <v>116</v>
      </c>
      <c r="C203" s="15">
        <v>44719</v>
      </c>
      <c r="D203" s="7" t="s">
        <v>653</v>
      </c>
      <c r="E203" s="7" t="s">
        <v>769</v>
      </c>
      <c r="F203" s="7">
        <v>49.99</v>
      </c>
      <c r="G203" s="7">
        <v>4</v>
      </c>
      <c r="H203" s="7">
        <v>0</v>
      </c>
      <c r="I203" s="7">
        <v>49.99</v>
      </c>
      <c r="J203" s="7">
        <v>199.96</v>
      </c>
      <c r="K203" s="7" t="s">
        <v>669</v>
      </c>
      <c r="L203" s="7" t="s">
        <v>656</v>
      </c>
      <c r="M203" s="8"/>
      <c r="N203">
        <f>VLOOKUP(B203,Customers!A:J,7,0)</f>
        <v>28</v>
      </c>
      <c r="O203" t="str">
        <f>VLOOKUP(B203,Customers!A:J,5,0)</f>
        <v>Jacksonville</v>
      </c>
      <c r="P203" t="str">
        <f>VLOOKUP(B203,Customers!A:J,10,0)</f>
        <v>Silver</v>
      </c>
      <c r="Q203" t="str">
        <f>VLOOKUP(B203,Customers!A:J,8,0)</f>
        <v>Female</v>
      </c>
      <c r="R203" t="b">
        <f t="shared" si="6"/>
        <v>1</v>
      </c>
      <c r="S203" s="18">
        <f t="shared" si="7"/>
        <v>44713</v>
      </c>
    </row>
    <row r="204" spans="1:19" x14ac:dyDescent="0.25">
      <c r="A204" s="3" t="s">
        <v>1065</v>
      </c>
      <c r="B204" s="4" t="s">
        <v>116</v>
      </c>
      <c r="C204" s="14">
        <v>45354</v>
      </c>
      <c r="D204" s="4" t="s">
        <v>684</v>
      </c>
      <c r="E204" s="4" t="s">
        <v>705</v>
      </c>
      <c r="F204" s="4">
        <v>79.989999999999995</v>
      </c>
      <c r="G204" s="4">
        <v>3</v>
      </c>
      <c r="H204" s="4">
        <v>20</v>
      </c>
      <c r="I204" s="4">
        <v>63.99</v>
      </c>
      <c r="J204" s="4">
        <v>191.97</v>
      </c>
      <c r="K204" s="4" t="s">
        <v>675</v>
      </c>
      <c r="L204" s="4" t="s">
        <v>739</v>
      </c>
      <c r="M204" s="5">
        <v>3</v>
      </c>
      <c r="N204">
        <f>VLOOKUP(B204,Customers!A:J,7,0)</f>
        <v>28</v>
      </c>
      <c r="O204" t="str">
        <f>VLOOKUP(B204,Customers!A:J,5,0)</f>
        <v>Jacksonville</v>
      </c>
      <c r="P204" t="str">
        <f>VLOOKUP(B204,Customers!A:J,10,0)</f>
        <v>Silver</v>
      </c>
      <c r="Q204" t="str">
        <f>VLOOKUP(B204,Customers!A:J,8,0)</f>
        <v>Female</v>
      </c>
      <c r="R204" t="b">
        <f t="shared" si="6"/>
        <v>1</v>
      </c>
      <c r="S204" s="18">
        <f t="shared" si="7"/>
        <v>45352</v>
      </c>
    </row>
    <row r="205" spans="1:19" x14ac:dyDescent="0.25">
      <c r="A205" s="6" t="s">
        <v>1067</v>
      </c>
      <c r="B205" s="7" t="s">
        <v>116</v>
      </c>
      <c r="C205" s="15">
        <v>44713</v>
      </c>
      <c r="D205" s="7" t="s">
        <v>680</v>
      </c>
      <c r="E205" s="7" t="s">
        <v>749</v>
      </c>
      <c r="F205" s="7">
        <v>14.99</v>
      </c>
      <c r="G205" s="7">
        <v>2</v>
      </c>
      <c r="H205" s="7">
        <v>0</v>
      </c>
      <c r="I205" s="7">
        <v>14.99</v>
      </c>
      <c r="J205" s="7">
        <v>29.98</v>
      </c>
      <c r="K205" s="7" t="s">
        <v>675</v>
      </c>
      <c r="L205" s="7" t="s">
        <v>656</v>
      </c>
      <c r="M205" s="8">
        <v>4</v>
      </c>
      <c r="N205">
        <f>VLOOKUP(B205,Customers!A:J,7,0)</f>
        <v>28</v>
      </c>
      <c r="O205" t="str">
        <f>VLOOKUP(B205,Customers!A:J,5,0)</f>
        <v>Jacksonville</v>
      </c>
      <c r="P205" t="str">
        <f>VLOOKUP(B205,Customers!A:J,10,0)</f>
        <v>Silver</v>
      </c>
      <c r="Q205" t="str">
        <f>VLOOKUP(B205,Customers!A:J,8,0)</f>
        <v>Female</v>
      </c>
      <c r="R205" t="b">
        <f t="shared" si="6"/>
        <v>1</v>
      </c>
      <c r="S205" s="18">
        <f t="shared" si="7"/>
        <v>44713</v>
      </c>
    </row>
    <row r="206" spans="1:19" x14ac:dyDescent="0.25">
      <c r="A206" s="3" t="s">
        <v>1069</v>
      </c>
      <c r="B206" s="4" t="s">
        <v>120</v>
      </c>
      <c r="C206" s="14">
        <v>45205</v>
      </c>
      <c r="D206" s="4" t="s">
        <v>684</v>
      </c>
      <c r="E206" s="4" t="s">
        <v>702</v>
      </c>
      <c r="F206" s="4">
        <v>199.99</v>
      </c>
      <c r="G206" s="4">
        <v>4</v>
      </c>
      <c r="H206" s="4">
        <v>0</v>
      </c>
      <c r="I206" s="4">
        <v>199.99</v>
      </c>
      <c r="J206" s="4">
        <v>799.96</v>
      </c>
      <c r="K206" s="4" t="s">
        <v>661</v>
      </c>
      <c r="L206" s="4" t="s">
        <v>656</v>
      </c>
      <c r="M206" s="5"/>
      <c r="N206">
        <f>VLOOKUP(B206,Customers!A:J,7,0)</f>
        <v>41</v>
      </c>
      <c r="O206" t="str">
        <f>VLOOKUP(B206,Customers!A:J,5,0)</f>
        <v>Jacksonville</v>
      </c>
      <c r="P206" t="str">
        <f>VLOOKUP(B206,Customers!A:J,10,0)</f>
        <v>Silver</v>
      </c>
      <c r="Q206" t="str">
        <f>VLOOKUP(B206,Customers!A:J,8,0)</f>
        <v>Female</v>
      </c>
      <c r="R206" t="b">
        <f t="shared" si="6"/>
        <v>1</v>
      </c>
      <c r="S206" s="18">
        <f t="shared" si="7"/>
        <v>45200</v>
      </c>
    </row>
    <row r="207" spans="1:19" x14ac:dyDescent="0.25">
      <c r="A207" s="6" t="s">
        <v>1071</v>
      </c>
      <c r="B207" s="7" t="s">
        <v>120</v>
      </c>
      <c r="C207" s="15">
        <v>44941</v>
      </c>
      <c r="D207" s="7" t="s">
        <v>667</v>
      </c>
      <c r="E207" s="7" t="s">
        <v>668</v>
      </c>
      <c r="F207" s="7">
        <v>64.989999999999995</v>
      </c>
      <c r="G207" s="7">
        <v>2</v>
      </c>
      <c r="H207" s="7">
        <v>0</v>
      </c>
      <c r="I207" s="7">
        <v>64.989999999999995</v>
      </c>
      <c r="J207" s="7">
        <v>129.97999999999999</v>
      </c>
      <c r="K207" s="7" t="s">
        <v>682</v>
      </c>
      <c r="L207" s="7" t="s">
        <v>656</v>
      </c>
      <c r="M207" s="8">
        <v>5</v>
      </c>
      <c r="N207">
        <f>VLOOKUP(B207,Customers!A:J,7,0)</f>
        <v>41</v>
      </c>
      <c r="O207" t="str">
        <f>VLOOKUP(B207,Customers!A:J,5,0)</f>
        <v>Jacksonville</v>
      </c>
      <c r="P207" t="str">
        <f>VLOOKUP(B207,Customers!A:J,10,0)</f>
        <v>Silver</v>
      </c>
      <c r="Q207" t="str">
        <f>VLOOKUP(B207,Customers!A:J,8,0)</f>
        <v>Female</v>
      </c>
      <c r="R207" t="b">
        <f t="shared" si="6"/>
        <v>1</v>
      </c>
      <c r="S207" s="18">
        <f t="shared" si="7"/>
        <v>44927</v>
      </c>
    </row>
    <row r="208" spans="1:19" x14ac:dyDescent="0.25">
      <c r="A208" s="3" t="s">
        <v>1073</v>
      </c>
      <c r="B208" s="4" t="s">
        <v>120</v>
      </c>
      <c r="C208" s="14">
        <v>45232</v>
      </c>
      <c r="D208" s="4" t="s">
        <v>672</v>
      </c>
      <c r="E208" s="4" t="s">
        <v>673</v>
      </c>
      <c r="F208" s="4">
        <v>24.99</v>
      </c>
      <c r="G208" s="4">
        <v>2</v>
      </c>
      <c r="H208" s="4">
        <v>0</v>
      </c>
      <c r="I208" s="4">
        <v>24.99</v>
      </c>
      <c r="J208" s="4">
        <v>49.98</v>
      </c>
      <c r="K208" s="4" t="s">
        <v>655</v>
      </c>
      <c r="L208" s="4" t="s">
        <v>656</v>
      </c>
      <c r="M208" s="5">
        <v>3</v>
      </c>
      <c r="N208">
        <f>VLOOKUP(B208,Customers!A:J,7,0)</f>
        <v>41</v>
      </c>
      <c r="O208" t="str">
        <f>VLOOKUP(B208,Customers!A:J,5,0)</f>
        <v>Jacksonville</v>
      </c>
      <c r="P208" t="str">
        <f>VLOOKUP(B208,Customers!A:J,10,0)</f>
        <v>Silver</v>
      </c>
      <c r="Q208" t="str">
        <f>VLOOKUP(B208,Customers!A:J,8,0)</f>
        <v>Female</v>
      </c>
      <c r="R208" t="b">
        <f t="shared" si="6"/>
        <v>1</v>
      </c>
      <c r="S208" s="18">
        <f t="shared" si="7"/>
        <v>45231</v>
      </c>
    </row>
    <row r="209" spans="1:19" x14ac:dyDescent="0.25">
      <c r="A209" s="6" t="s">
        <v>1075</v>
      </c>
      <c r="B209" s="7" t="s">
        <v>120</v>
      </c>
      <c r="C209" s="15">
        <v>45512</v>
      </c>
      <c r="D209" s="7" t="s">
        <v>653</v>
      </c>
      <c r="E209" s="7" t="s">
        <v>769</v>
      </c>
      <c r="F209" s="7">
        <v>49.99</v>
      </c>
      <c r="G209" s="7">
        <v>1</v>
      </c>
      <c r="H209" s="7">
        <v>20</v>
      </c>
      <c r="I209" s="7">
        <v>39.99</v>
      </c>
      <c r="J209" s="7">
        <v>39.99</v>
      </c>
      <c r="K209" s="7" t="s">
        <v>675</v>
      </c>
      <c r="L209" s="7" t="s">
        <v>656</v>
      </c>
      <c r="M209" s="8">
        <v>3</v>
      </c>
      <c r="N209">
        <f>VLOOKUP(B209,Customers!A:J,7,0)</f>
        <v>41</v>
      </c>
      <c r="O209" t="str">
        <f>VLOOKUP(B209,Customers!A:J,5,0)</f>
        <v>Jacksonville</v>
      </c>
      <c r="P209" t="str">
        <f>VLOOKUP(B209,Customers!A:J,10,0)</f>
        <v>Silver</v>
      </c>
      <c r="Q209" t="str">
        <f>VLOOKUP(B209,Customers!A:J,8,0)</f>
        <v>Female</v>
      </c>
      <c r="R209" t="b">
        <f t="shared" si="6"/>
        <v>1</v>
      </c>
      <c r="S209" s="18">
        <f t="shared" si="7"/>
        <v>45505</v>
      </c>
    </row>
    <row r="210" spans="1:19" x14ac:dyDescent="0.25">
      <c r="A210" s="3" t="s">
        <v>1077</v>
      </c>
      <c r="B210" s="4" t="s">
        <v>120</v>
      </c>
      <c r="C210" s="14">
        <v>44730</v>
      </c>
      <c r="D210" s="4" t="s">
        <v>653</v>
      </c>
      <c r="E210" s="4" t="s">
        <v>727</v>
      </c>
      <c r="F210" s="4">
        <v>14.99</v>
      </c>
      <c r="G210" s="4">
        <v>1</v>
      </c>
      <c r="H210" s="4">
        <v>5</v>
      </c>
      <c r="I210" s="4">
        <v>14.24</v>
      </c>
      <c r="J210" s="4">
        <v>14.24</v>
      </c>
      <c r="K210" s="4" t="s">
        <v>682</v>
      </c>
      <c r="L210" s="4" t="s">
        <v>656</v>
      </c>
      <c r="M210" s="5">
        <v>5</v>
      </c>
      <c r="N210">
        <f>VLOOKUP(B210,Customers!A:J,7,0)</f>
        <v>41</v>
      </c>
      <c r="O210" t="str">
        <f>VLOOKUP(B210,Customers!A:J,5,0)</f>
        <v>Jacksonville</v>
      </c>
      <c r="P210" t="str">
        <f>VLOOKUP(B210,Customers!A:J,10,0)</f>
        <v>Silver</v>
      </c>
      <c r="Q210" t="str">
        <f>VLOOKUP(B210,Customers!A:J,8,0)</f>
        <v>Female</v>
      </c>
      <c r="R210" t="b">
        <f t="shared" si="6"/>
        <v>1</v>
      </c>
      <c r="S210" s="18">
        <f t="shared" si="7"/>
        <v>44713</v>
      </c>
    </row>
    <row r="211" spans="1:19" x14ac:dyDescent="0.25">
      <c r="A211" s="6" t="s">
        <v>1079</v>
      </c>
      <c r="B211" s="7" t="s">
        <v>120</v>
      </c>
      <c r="C211" s="15">
        <v>45093</v>
      </c>
      <c r="D211" s="7" t="s">
        <v>684</v>
      </c>
      <c r="E211" s="7" t="s">
        <v>815</v>
      </c>
      <c r="F211" s="7">
        <v>34.99</v>
      </c>
      <c r="G211" s="7">
        <v>2</v>
      </c>
      <c r="H211" s="7">
        <v>5</v>
      </c>
      <c r="I211" s="7">
        <v>33.24</v>
      </c>
      <c r="J211" s="7">
        <v>66.48</v>
      </c>
      <c r="K211" s="7" t="s">
        <v>675</v>
      </c>
      <c r="L211" s="7" t="s">
        <v>656</v>
      </c>
      <c r="M211" s="8">
        <v>3</v>
      </c>
      <c r="N211">
        <f>VLOOKUP(B211,Customers!A:J,7,0)</f>
        <v>41</v>
      </c>
      <c r="O211" t="str">
        <f>VLOOKUP(B211,Customers!A:J,5,0)</f>
        <v>Jacksonville</v>
      </c>
      <c r="P211" t="str">
        <f>VLOOKUP(B211,Customers!A:J,10,0)</f>
        <v>Silver</v>
      </c>
      <c r="Q211" t="str">
        <f>VLOOKUP(B211,Customers!A:J,8,0)</f>
        <v>Female</v>
      </c>
      <c r="R211" t="b">
        <f t="shared" si="6"/>
        <v>1</v>
      </c>
      <c r="S211" s="18">
        <f t="shared" si="7"/>
        <v>45078</v>
      </c>
    </row>
    <row r="212" spans="1:19" x14ac:dyDescent="0.25">
      <c r="A212" s="3" t="s">
        <v>1080</v>
      </c>
      <c r="B212" s="4" t="s">
        <v>120</v>
      </c>
      <c r="C212" s="14">
        <v>45523</v>
      </c>
      <c r="D212" s="4" t="s">
        <v>672</v>
      </c>
      <c r="E212" s="4" t="s">
        <v>803</v>
      </c>
      <c r="F212" s="4">
        <v>69.989999999999995</v>
      </c>
      <c r="G212" s="4">
        <v>3</v>
      </c>
      <c r="H212" s="4">
        <v>5</v>
      </c>
      <c r="I212" s="4">
        <v>66.489999999999995</v>
      </c>
      <c r="J212" s="4">
        <v>199.47</v>
      </c>
      <c r="K212" s="4" t="s">
        <v>661</v>
      </c>
      <c r="L212" s="4" t="s">
        <v>656</v>
      </c>
      <c r="M212" s="5">
        <v>4</v>
      </c>
      <c r="N212">
        <f>VLOOKUP(B212,Customers!A:J,7,0)</f>
        <v>41</v>
      </c>
      <c r="O212" t="str">
        <f>VLOOKUP(B212,Customers!A:J,5,0)</f>
        <v>Jacksonville</v>
      </c>
      <c r="P212" t="str">
        <f>VLOOKUP(B212,Customers!A:J,10,0)</f>
        <v>Silver</v>
      </c>
      <c r="Q212" t="str">
        <f>VLOOKUP(B212,Customers!A:J,8,0)</f>
        <v>Female</v>
      </c>
      <c r="R212" t="b">
        <f t="shared" si="6"/>
        <v>1</v>
      </c>
      <c r="S212" s="18">
        <f t="shared" si="7"/>
        <v>45505</v>
      </c>
    </row>
    <row r="213" spans="1:19" x14ac:dyDescent="0.25">
      <c r="A213" s="6" t="s">
        <v>1081</v>
      </c>
      <c r="B213" s="7" t="s">
        <v>120</v>
      </c>
      <c r="C213" s="15">
        <v>45529</v>
      </c>
      <c r="D213" s="7" t="s">
        <v>680</v>
      </c>
      <c r="E213" s="7" t="s">
        <v>688</v>
      </c>
      <c r="F213" s="7">
        <v>29.99</v>
      </c>
      <c r="G213" s="7">
        <v>3</v>
      </c>
      <c r="H213" s="7">
        <v>10</v>
      </c>
      <c r="I213" s="7">
        <v>26.99</v>
      </c>
      <c r="J213" s="7">
        <v>80.97</v>
      </c>
      <c r="K213" s="7" t="s">
        <v>682</v>
      </c>
      <c r="L213" s="7" t="s">
        <v>656</v>
      </c>
      <c r="M213" s="8"/>
      <c r="N213">
        <f>VLOOKUP(B213,Customers!A:J,7,0)</f>
        <v>41</v>
      </c>
      <c r="O213" t="str">
        <f>VLOOKUP(B213,Customers!A:J,5,0)</f>
        <v>Jacksonville</v>
      </c>
      <c r="P213" t="str">
        <f>VLOOKUP(B213,Customers!A:J,10,0)</f>
        <v>Silver</v>
      </c>
      <c r="Q213" t="str">
        <f>VLOOKUP(B213,Customers!A:J,8,0)</f>
        <v>Female</v>
      </c>
      <c r="R213" t="b">
        <f t="shared" si="6"/>
        <v>1</v>
      </c>
      <c r="S213" s="18">
        <f t="shared" si="7"/>
        <v>45505</v>
      </c>
    </row>
    <row r="214" spans="1:19" x14ac:dyDescent="0.25">
      <c r="A214" s="3" t="s">
        <v>1083</v>
      </c>
      <c r="B214" s="4" t="s">
        <v>120</v>
      </c>
      <c r="C214" s="14">
        <v>44809</v>
      </c>
      <c r="D214" s="4" t="s">
        <v>710</v>
      </c>
      <c r="E214" s="4" t="s">
        <v>721</v>
      </c>
      <c r="F214" s="4">
        <v>24.99</v>
      </c>
      <c r="G214" s="4">
        <v>1</v>
      </c>
      <c r="H214" s="4">
        <v>0</v>
      </c>
      <c r="I214" s="4">
        <v>24.99</v>
      </c>
      <c r="J214" s="4">
        <v>24.99</v>
      </c>
      <c r="K214" s="4" t="s">
        <v>675</v>
      </c>
      <c r="L214" s="4" t="s">
        <v>656</v>
      </c>
      <c r="M214" s="5">
        <v>5</v>
      </c>
      <c r="N214">
        <f>VLOOKUP(B214,Customers!A:J,7,0)</f>
        <v>41</v>
      </c>
      <c r="O214" t="str">
        <f>VLOOKUP(B214,Customers!A:J,5,0)</f>
        <v>Jacksonville</v>
      </c>
      <c r="P214" t="str">
        <f>VLOOKUP(B214,Customers!A:J,10,0)</f>
        <v>Silver</v>
      </c>
      <c r="Q214" t="str">
        <f>VLOOKUP(B214,Customers!A:J,8,0)</f>
        <v>Female</v>
      </c>
      <c r="R214" t="b">
        <f t="shared" si="6"/>
        <v>1</v>
      </c>
      <c r="S214" s="18">
        <f t="shared" si="7"/>
        <v>44805</v>
      </c>
    </row>
    <row r="215" spans="1:19" x14ac:dyDescent="0.25">
      <c r="A215" s="6" t="s">
        <v>1084</v>
      </c>
      <c r="B215" s="7" t="s">
        <v>120</v>
      </c>
      <c r="C215" s="15">
        <v>44971</v>
      </c>
      <c r="D215" s="7" t="s">
        <v>672</v>
      </c>
      <c r="E215" s="7" t="s">
        <v>673</v>
      </c>
      <c r="F215" s="7">
        <v>24.99</v>
      </c>
      <c r="G215" s="7">
        <v>2</v>
      </c>
      <c r="H215" s="7">
        <v>10</v>
      </c>
      <c r="I215" s="7">
        <v>22.49</v>
      </c>
      <c r="J215" s="7">
        <v>44.98</v>
      </c>
      <c r="K215" s="7" t="s">
        <v>661</v>
      </c>
      <c r="L215" s="7" t="s">
        <v>656</v>
      </c>
      <c r="M215" s="8">
        <v>5</v>
      </c>
      <c r="N215">
        <f>VLOOKUP(B215,Customers!A:J,7,0)</f>
        <v>41</v>
      </c>
      <c r="O215" t="str">
        <f>VLOOKUP(B215,Customers!A:J,5,0)</f>
        <v>Jacksonville</v>
      </c>
      <c r="P215" t="str">
        <f>VLOOKUP(B215,Customers!A:J,10,0)</f>
        <v>Silver</v>
      </c>
      <c r="Q215" t="str">
        <f>VLOOKUP(B215,Customers!A:J,8,0)</f>
        <v>Female</v>
      </c>
      <c r="R215" t="b">
        <f t="shared" si="6"/>
        <v>1</v>
      </c>
      <c r="S215" s="18">
        <f t="shared" si="7"/>
        <v>44958</v>
      </c>
    </row>
    <row r="216" spans="1:19" x14ac:dyDescent="0.25">
      <c r="A216" s="3" t="s">
        <v>1086</v>
      </c>
      <c r="B216" s="4" t="s">
        <v>120</v>
      </c>
      <c r="C216" s="14">
        <v>44950</v>
      </c>
      <c r="D216" s="4" t="s">
        <v>684</v>
      </c>
      <c r="E216" s="4" t="s">
        <v>685</v>
      </c>
      <c r="F216" s="4">
        <v>49.99</v>
      </c>
      <c r="G216" s="4">
        <v>4</v>
      </c>
      <c r="H216" s="4">
        <v>0</v>
      </c>
      <c r="I216" s="4">
        <v>49.99</v>
      </c>
      <c r="J216" s="4">
        <v>199.96</v>
      </c>
      <c r="K216" s="4" t="s">
        <v>682</v>
      </c>
      <c r="L216" s="4" t="s">
        <v>656</v>
      </c>
      <c r="M216" s="5">
        <v>5</v>
      </c>
      <c r="N216">
        <f>VLOOKUP(B216,Customers!A:J,7,0)</f>
        <v>41</v>
      </c>
      <c r="O216" t="str">
        <f>VLOOKUP(B216,Customers!A:J,5,0)</f>
        <v>Jacksonville</v>
      </c>
      <c r="P216" t="str">
        <f>VLOOKUP(B216,Customers!A:J,10,0)</f>
        <v>Silver</v>
      </c>
      <c r="Q216" t="str">
        <f>VLOOKUP(B216,Customers!A:J,8,0)</f>
        <v>Female</v>
      </c>
      <c r="R216" t="b">
        <f t="shared" si="6"/>
        <v>1</v>
      </c>
      <c r="S216" s="18">
        <f t="shared" si="7"/>
        <v>44927</v>
      </c>
    </row>
    <row r="217" spans="1:19" x14ac:dyDescent="0.25">
      <c r="A217" s="6" t="s">
        <v>1087</v>
      </c>
      <c r="B217" s="7" t="s">
        <v>120</v>
      </c>
      <c r="C217" s="15">
        <v>45151</v>
      </c>
      <c r="D217" s="7" t="s">
        <v>667</v>
      </c>
      <c r="E217" s="7" t="s">
        <v>714</v>
      </c>
      <c r="F217" s="7">
        <v>44.99</v>
      </c>
      <c r="G217" s="7">
        <v>4</v>
      </c>
      <c r="H217" s="7">
        <v>5</v>
      </c>
      <c r="I217" s="7">
        <v>42.74</v>
      </c>
      <c r="J217" s="7">
        <v>170.96</v>
      </c>
      <c r="K217" s="7" t="s">
        <v>675</v>
      </c>
      <c r="L217" s="7" t="s">
        <v>656</v>
      </c>
      <c r="M217" s="8">
        <v>4</v>
      </c>
      <c r="N217">
        <f>VLOOKUP(B217,Customers!A:J,7,0)</f>
        <v>41</v>
      </c>
      <c r="O217" t="str">
        <f>VLOOKUP(B217,Customers!A:J,5,0)</f>
        <v>Jacksonville</v>
      </c>
      <c r="P217" t="str">
        <f>VLOOKUP(B217,Customers!A:J,10,0)</f>
        <v>Silver</v>
      </c>
      <c r="Q217" t="str">
        <f>VLOOKUP(B217,Customers!A:J,8,0)</f>
        <v>Female</v>
      </c>
      <c r="R217" t="b">
        <f t="shared" si="6"/>
        <v>1</v>
      </c>
      <c r="S217" s="18">
        <f t="shared" si="7"/>
        <v>45139</v>
      </c>
    </row>
    <row r="218" spans="1:19" x14ac:dyDescent="0.25">
      <c r="A218" s="3" t="s">
        <v>1089</v>
      </c>
      <c r="B218" s="4" t="s">
        <v>120</v>
      </c>
      <c r="C218" s="14">
        <v>44624</v>
      </c>
      <c r="D218" s="4" t="s">
        <v>672</v>
      </c>
      <c r="E218" s="4" t="s">
        <v>673</v>
      </c>
      <c r="F218" s="4">
        <v>24.99</v>
      </c>
      <c r="G218" s="4">
        <v>1</v>
      </c>
      <c r="H218" s="4">
        <v>0</v>
      </c>
      <c r="I218" s="4">
        <v>24.99</v>
      </c>
      <c r="J218" s="4">
        <v>24.99</v>
      </c>
      <c r="K218" s="4" t="s">
        <v>661</v>
      </c>
      <c r="L218" s="4" t="s">
        <v>656</v>
      </c>
      <c r="M218" s="5"/>
      <c r="N218">
        <f>VLOOKUP(B218,Customers!A:J,7,0)</f>
        <v>41</v>
      </c>
      <c r="O218" t="str">
        <f>VLOOKUP(B218,Customers!A:J,5,0)</f>
        <v>Jacksonville</v>
      </c>
      <c r="P218" t="str">
        <f>VLOOKUP(B218,Customers!A:J,10,0)</f>
        <v>Silver</v>
      </c>
      <c r="Q218" t="str">
        <f>VLOOKUP(B218,Customers!A:J,8,0)</f>
        <v>Female</v>
      </c>
      <c r="R218" t="b">
        <f t="shared" si="6"/>
        <v>1</v>
      </c>
      <c r="S218" s="18">
        <f t="shared" si="7"/>
        <v>44621</v>
      </c>
    </row>
    <row r="219" spans="1:19" x14ac:dyDescent="0.25">
      <c r="A219" s="6" t="s">
        <v>1091</v>
      </c>
      <c r="B219" s="7" t="s">
        <v>120</v>
      </c>
      <c r="C219" s="15">
        <v>45616</v>
      </c>
      <c r="D219" s="7" t="s">
        <v>653</v>
      </c>
      <c r="E219" s="7" t="s">
        <v>827</v>
      </c>
      <c r="F219" s="7">
        <v>29.99</v>
      </c>
      <c r="G219" s="7">
        <v>3</v>
      </c>
      <c r="H219" s="7">
        <v>0</v>
      </c>
      <c r="I219" s="7">
        <v>29.99</v>
      </c>
      <c r="J219" s="7">
        <v>89.97</v>
      </c>
      <c r="K219" s="7" t="s">
        <v>675</v>
      </c>
      <c r="L219" s="7" t="s">
        <v>656</v>
      </c>
      <c r="M219" s="8"/>
      <c r="N219">
        <f>VLOOKUP(B219,Customers!A:J,7,0)</f>
        <v>41</v>
      </c>
      <c r="O219" t="str">
        <f>VLOOKUP(B219,Customers!A:J,5,0)</f>
        <v>Jacksonville</v>
      </c>
      <c r="P219" t="str">
        <f>VLOOKUP(B219,Customers!A:J,10,0)</f>
        <v>Silver</v>
      </c>
      <c r="Q219" t="str">
        <f>VLOOKUP(B219,Customers!A:J,8,0)</f>
        <v>Female</v>
      </c>
      <c r="R219" t="b">
        <f t="shared" si="6"/>
        <v>1</v>
      </c>
      <c r="S219" s="18">
        <f t="shared" si="7"/>
        <v>45597</v>
      </c>
    </row>
    <row r="220" spans="1:19" x14ac:dyDescent="0.25">
      <c r="A220" s="3" t="s">
        <v>1093</v>
      </c>
      <c r="B220" s="4" t="s">
        <v>120</v>
      </c>
      <c r="C220" s="14">
        <v>44938</v>
      </c>
      <c r="D220" s="4" t="s">
        <v>672</v>
      </c>
      <c r="E220" s="4" t="s">
        <v>803</v>
      </c>
      <c r="F220" s="4">
        <v>69.989999999999995</v>
      </c>
      <c r="G220" s="4">
        <v>2</v>
      </c>
      <c r="H220" s="4">
        <v>0</v>
      </c>
      <c r="I220" s="4">
        <v>69.989999999999995</v>
      </c>
      <c r="J220" s="4">
        <v>139.97999999999999</v>
      </c>
      <c r="K220" s="4" t="s">
        <v>661</v>
      </c>
      <c r="L220" s="4" t="s">
        <v>656</v>
      </c>
      <c r="M220" s="5">
        <v>5</v>
      </c>
      <c r="N220">
        <f>VLOOKUP(B220,Customers!A:J,7,0)</f>
        <v>41</v>
      </c>
      <c r="O220" t="str">
        <f>VLOOKUP(B220,Customers!A:J,5,0)</f>
        <v>Jacksonville</v>
      </c>
      <c r="P220" t="str">
        <f>VLOOKUP(B220,Customers!A:J,10,0)</f>
        <v>Silver</v>
      </c>
      <c r="Q220" t="str">
        <f>VLOOKUP(B220,Customers!A:J,8,0)</f>
        <v>Female</v>
      </c>
      <c r="R220" t="b">
        <f t="shared" si="6"/>
        <v>1</v>
      </c>
      <c r="S220" s="18">
        <f t="shared" si="7"/>
        <v>44927</v>
      </c>
    </row>
    <row r="221" spans="1:19" x14ac:dyDescent="0.25">
      <c r="A221" s="6" t="s">
        <v>1095</v>
      </c>
      <c r="B221" s="7" t="s">
        <v>123</v>
      </c>
      <c r="C221" s="15">
        <v>45387</v>
      </c>
      <c r="D221" s="7" t="s">
        <v>680</v>
      </c>
      <c r="E221" s="7" t="s">
        <v>681</v>
      </c>
      <c r="F221" s="7">
        <v>19.989999999999998</v>
      </c>
      <c r="G221" s="7">
        <v>3</v>
      </c>
      <c r="H221" s="7">
        <v>10</v>
      </c>
      <c r="I221" s="7">
        <v>17.989999999999998</v>
      </c>
      <c r="J221" s="7">
        <v>53.97</v>
      </c>
      <c r="K221" s="7" t="s">
        <v>675</v>
      </c>
      <c r="L221" s="7" t="s">
        <v>656</v>
      </c>
      <c r="M221" s="8">
        <v>5</v>
      </c>
      <c r="N221">
        <f>VLOOKUP(B221,Customers!A:J,7,0)</f>
        <v>43</v>
      </c>
      <c r="O221" t="str">
        <f>VLOOKUP(B221,Customers!A:J,5,0)</f>
        <v>New York</v>
      </c>
      <c r="P221" t="str">
        <f>VLOOKUP(B221,Customers!A:J,10,0)</f>
        <v>Free</v>
      </c>
      <c r="Q221" t="str">
        <f>VLOOKUP(B221,Customers!A:J,8,0)</f>
        <v>Male</v>
      </c>
      <c r="R221" t="b">
        <f t="shared" si="6"/>
        <v>1</v>
      </c>
      <c r="S221" s="18">
        <f t="shared" si="7"/>
        <v>45383</v>
      </c>
    </row>
    <row r="222" spans="1:19" x14ac:dyDescent="0.25">
      <c r="A222" s="3" t="s">
        <v>1096</v>
      </c>
      <c r="B222" s="4" t="s">
        <v>123</v>
      </c>
      <c r="C222" s="14">
        <v>44701</v>
      </c>
      <c r="D222" s="4" t="s">
        <v>667</v>
      </c>
      <c r="E222" s="4" t="s">
        <v>714</v>
      </c>
      <c r="F222" s="4">
        <v>44.99</v>
      </c>
      <c r="G222" s="4">
        <v>3</v>
      </c>
      <c r="H222" s="4">
        <v>10</v>
      </c>
      <c r="I222" s="4">
        <v>40.49</v>
      </c>
      <c r="J222" s="4">
        <v>121.47</v>
      </c>
      <c r="K222" s="4" t="s">
        <v>682</v>
      </c>
      <c r="L222" s="4" t="s">
        <v>656</v>
      </c>
      <c r="M222" s="5">
        <v>5</v>
      </c>
      <c r="N222">
        <f>VLOOKUP(B222,Customers!A:J,7,0)</f>
        <v>43</v>
      </c>
      <c r="O222" t="str">
        <f>VLOOKUP(B222,Customers!A:J,5,0)</f>
        <v>New York</v>
      </c>
      <c r="P222" t="str">
        <f>VLOOKUP(B222,Customers!A:J,10,0)</f>
        <v>Free</v>
      </c>
      <c r="Q222" t="str">
        <f>VLOOKUP(B222,Customers!A:J,8,0)</f>
        <v>Male</v>
      </c>
      <c r="R222" t="b">
        <f t="shared" si="6"/>
        <v>1</v>
      </c>
      <c r="S222" s="18">
        <f t="shared" si="7"/>
        <v>44682</v>
      </c>
    </row>
    <row r="223" spans="1:19" x14ac:dyDescent="0.25">
      <c r="A223" s="6" t="s">
        <v>1098</v>
      </c>
      <c r="B223" s="7" t="s">
        <v>123</v>
      </c>
      <c r="C223" s="15">
        <v>45013</v>
      </c>
      <c r="D223" s="7" t="s">
        <v>680</v>
      </c>
      <c r="E223" s="7" t="s">
        <v>681</v>
      </c>
      <c r="F223" s="7">
        <v>19.989999999999998</v>
      </c>
      <c r="G223" s="7">
        <v>2</v>
      </c>
      <c r="H223" s="7">
        <v>0</v>
      </c>
      <c r="I223" s="7">
        <v>19.989999999999998</v>
      </c>
      <c r="J223" s="7">
        <v>39.979999999999997</v>
      </c>
      <c r="K223" s="7" t="s">
        <v>669</v>
      </c>
      <c r="L223" s="7" t="s">
        <v>656</v>
      </c>
      <c r="M223" s="8">
        <v>4</v>
      </c>
      <c r="N223">
        <f>VLOOKUP(B223,Customers!A:J,7,0)</f>
        <v>43</v>
      </c>
      <c r="O223" t="str">
        <f>VLOOKUP(B223,Customers!A:J,5,0)</f>
        <v>New York</v>
      </c>
      <c r="P223" t="str">
        <f>VLOOKUP(B223,Customers!A:J,10,0)</f>
        <v>Free</v>
      </c>
      <c r="Q223" t="str">
        <f>VLOOKUP(B223,Customers!A:J,8,0)</f>
        <v>Male</v>
      </c>
      <c r="R223" t="b">
        <f t="shared" si="6"/>
        <v>1</v>
      </c>
      <c r="S223" s="18">
        <f t="shared" si="7"/>
        <v>44986</v>
      </c>
    </row>
    <row r="224" spans="1:19" x14ac:dyDescent="0.25">
      <c r="A224" s="3" t="s">
        <v>1100</v>
      </c>
      <c r="B224" s="4" t="s">
        <v>126</v>
      </c>
      <c r="C224" s="14">
        <v>45329</v>
      </c>
      <c r="D224" s="4" t="s">
        <v>672</v>
      </c>
      <c r="E224" s="4" t="s">
        <v>803</v>
      </c>
      <c r="F224" s="4">
        <v>69.989999999999995</v>
      </c>
      <c r="G224" s="4">
        <v>2</v>
      </c>
      <c r="H224" s="4">
        <v>0</v>
      </c>
      <c r="I224" s="4">
        <v>69.989999999999995</v>
      </c>
      <c r="J224" s="4">
        <v>139.97999999999999</v>
      </c>
      <c r="K224" s="4" t="s">
        <v>661</v>
      </c>
      <c r="L224" s="4" t="s">
        <v>656</v>
      </c>
      <c r="M224" s="5">
        <v>4</v>
      </c>
      <c r="N224">
        <f>VLOOKUP(B224,Customers!A:J,7,0)</f>
        <v>56</v>
      </c>
      <c r="O224" t="str">
        <f>VLOOKUP(B224,Customers!A:J,5,0)</f>
        <v>New York</v>
      </c>
      <c r="P224" t="str">
        <f>VLOOKUP(B224,Customers!A:J,10,0)</f>
        <v>Platinum</v>
      </c>
      <c r="Q224" t="str">
        <f>VLOOKUP(B224,Customers!A:J,8,0)</f>
        <v>Female</v>
      </c>
      <c r="R224" t="b">
        <f t="shared" si="6"/>
        <v>1</v>
      </c>
      <c r="S224" s="18">
        <f t="shared" si="7"/>
        <v>45323</v>
      </c>
    </row>
    <row r="225" spans="1:19" x14ac:dyDescent="0.25">
      <c r="A225" s="6" t="s">
        <v>1102</v>
      </c>
      <c r="B225" s="7" t="s">
        <v>126</v>
      </c>
      <c r="C225" s="15">
        <v>45611</v>
      </c>
      <c r="D225" s="7" t="s">
        <v>659</v>
      </c>
      <c r="E225" s="7" t="s">
        <v>762</v>
      </c>
      <c r="F225" s="7">
        <v>49.99</v>
      </c>
      <c r="G225" s="7">
        <v>2</v>
      </c>
      <c r="H225" s="7">
        <v>0</v>
      </c>
      <c r="I225" s="7">
        <v>49.99</v>
      </c>
      <c r="J225" s="7">
        <v>99.98</v>
      </c>
      <c r="K225" s="7" t="s">
        <v>661</v>
      </c>
      <c r="L225" s="7" t="s">
        <v>656</v>
      </c>
      <c r="M225" s="8">
        <v>4</v>
      </c>
      <c r="N225">
        <f>VLOOKUP(B225,Customers!A:J,7,0)</f>
        <v>56</v>
      </c>
      <c r="O225" t="str">
        <f>VLOOKUP(B225,Customers!A:J,5,0)</f>
        <v>New York</v>
      </c>
      <c r="P225" t="str">
        <f>VLOOKUP(B225,Customers!A:J,10,0)</f>
        <v>Platinum</v>
      </c>
      <c r="Q225" t="str">
        <f>VLOOKUP(B225,Customers!A:J,8,0)</f>
        <v>Female</v>
      </c>
      <c r="R225" t="b">
        <f t="shared" si="6"/>
        <v>1</v>
      </c>
      <c r="S225" s="18">
        <f t="shared" si="7"/>
        <v>45597</v>
      </c>
    </row>
    <row r="226" spans="1:19" x14ac:dyDescent="0.25">
      <c r="A226" s="3" t="s">
        <v>1104</v>
      </c>
      <c r="B226" s="4" t="s">
        <v>126</v>
      </c>
      <c r="C226" s="14">
        <v>45151</v>
      </c>
      <c r="D226" s="4" t="s">
        <v>684</v>
      </c>
      <c r="E226" s="4" t="s">
        <v>815</v>
      </c>
      <c r="F226" s="4">
        <v>34.99</v>
      </c>
      <c r="G226" s="4">
        <v>4</v>
      </c>
      <c r="H226" s="4">
        <v>0</v>
      </c>
      <c r="I226" s="4">
        <v>34.99</v>
      </c>
      <c r="J226" s="4">
        <v>139.96</v>
      </c>
      <c r="K226" s="4" t="s">
        <v>675</v>
      </c>
      <c r="L226" s="4" t="s">
        <v>656</v>
      </c>
      <c r="M226" s="5">
        <v>4</v>
      </c>
      <c r="N226">
        <f>VLOOKUP(B226,Customers!A:J,7,0)</f>
        <v>56</v>
      </c>
      <c r="O226" t="str">
        <f>VLOOKUP(B226,Customers!A:J,5,0)</f>
        <v>New York</v>
      </c>
      <c r="P226" t="str">
        <f>VLOOKUP(B226,Customers!A:J,10,0)</f>
        <v>Platinum</v>
      </c>
      <c r="Q226" t="str">
        <f>VLOOKUP(B226,Customers!A:J,8,0)</f>
        <v>Female</v>
      </c>
      <c r="R226" t="b">
        <f t="shared" si="6"/>
        <v>1</v>
      </c>
      <c r="S226" s="18">
        <f t="shared" si="7"/>
        <v>45139</v>
      </c>
    </row>
    <row r="227" spans="1:19" x14ac:dyDescent="0.25">
      <c r="A227" s="6" t="s">
        <v>1105</v>
      </c>
      <c r="B227" s="7" t="s">
        <v>126</v>
      </c>
      <c r="C227" s="15">
        <v>44725</v>
      </c>
      <c r="D227" s="7" t="s">
        <v>667</v>
      </c>
      <c r="E227" s="7" t="s">
        <v>696</v>
      </c>
      <c r="F227" s="7">
        <v>59.99</v>
      </c>
      <c r="G227" s="7">
        <v>3</v>
      </c>
      <c r="H227" s="7">
        <v>0</v>
      </c>
      <c r="I227" s="7">
        <v>59.99</v>
      </c>
      <c r="J227" s="7">
        <v>179.97</v>
      </c>
      <c r="K227" s="7" t="s">
        <v>661</v>
      </c>
      <c r="L227" s="7" t="s">
        <v>656</v>
      </c>
      <c r="M227" s="8"/>
      <c r="N227">
        <f>VLOOKUP(B227,Customers!A:J,7,0)</f>
        <v>56</v>
      </c>
      <c r="O227" t="str">
        <f>VLOOKUP(B227,Customers!A:J,5,0)</f>
        <v>New York</v>
      </c>
      <c r="P227" t="str">
        <f>VLOOKUP(B227,Customers!A:J,10,0)</f>
        <v>Platinum</v>
      </c>
      <c r="Q227" t="str">
        <f>VLOOKUP(B227,Customers!A:J,8,0)</f>
        <v>Female</v>
      </c>
      <c r="R227" t="b">
        <f t="shared" si="6"/>
        <v>1</v>
      </c>
      <c r="S227" s="18">
        <f t="shared" si="7"/>
        <v>44713</v>
      </c>
    </row>
    <row r="228" spans="1:19" x14ac:dyDescent="0.25">
      <c r="A228" s="3" t="s">
        <v>1107</v>
      </c>
      <c r="B228" s="4" t="s">
        <v>129</v>
      </c>
      <c r="C228" s="14">
        <v>45506</v>
      </c>
      <c r="D228" s="4" t="s">
        <v>659</v>
      </c>
      <c r="E228" s="4" t="s">
        <v>664</v>
      </c>
      <c r="F228" s="4">
        <v>24.99</v>
      </c>
      <c r="G228" s="4">
        <v>4</v>
      </c>
      <c r="H228" s="4">
        <v>5</v>
      </c>
      <c r="I228" s="4">
        <v>23.74</v>
      </c>
      <c r="J228" s="4">
        <v>94.96</v>
      </c>
      <c r="K228" s="4" t="s">
        <v>682</v>
      </c>
      <c r="L228" s="4" t="s">
        <v>656</v>
      </c>
      <c r="M228" s="5">
        <v>3</v>
      </c>
      <c r="N228">
        <f>VLOOKUP(B228,Customers!A:J,7,0)</f>
        <v>64</v>
      </c>
      <c r="O228" t="str">
        <f>VLOOKUP(B228,Customers!A:J,5,0)</f>
        <v>Chicago</v>
      </c>
      <c r="P228" t="str">
        <f>VLOOKUP(B228,Customers!A:J,10,0)</f>
        <v>Silver</v>
      </c>
      <c r="Q228" t="str">
        <f>VLOOKUP(B228,Customers!A:J,8,0)</f>
        <v>Female</v>
      </c>
      <c r="R228" t="b">
        <f t="shared" si="6"/>
        <v>1</v>
      </c>
      <c r="S228" s="18">
        <f t="shared" si="7"/>
        <v>45505</v>
      </c>
    </row>
    <row r="229" spans="1:19" x14ac:dyDescent="0.25">
      <c r="A229" s="6" t="s">
        <v>1109</v>
      </c>
      <c r="B229" s="7" t="s">
        <v>129</v>
      </c>
      <c r="C229" s="15">
        <v>45059</v>
      </c>
      <c r="D229" s="7" t="s">
        <v>653</v>
      </c>
      <c r="E229" s="7" t="s">
        <v>654</v>
      </c>
      <c r="F229" s="7">
        <v>39.99</v>
      </c>
      <c r="G229" s="7">
        <v>1</v>
      </c>
      <c r="H229" s="7">
        <v>0</v>
      </c>
      <c r="I229" s="7">
        <v>39.99</v>
      </c>
      <c r="J229" s="7">
        <v>39.99</v>
      </c>
      <c r="K229" s="7" t="s">
        <v>682</v>
      </c>
      <c r="L229" s="7" t="s">
        <v>656</v>
      </c>
      <c r="M229" s="8"/>
      <c r="N229">
        <f>VLOOKUP(B229,Customers!A:J,7,0)</f>
        <v>64</v>
      </c>
      <c r="O229" t="str">
        <f>VLOOKUP(B229,Customers!A:J,5,0)</f>
        <v>Chicago</v>
      </c>
      <c r="P229" t="str">
        <f>VLOOKUP(B229,Customers!A:J,10,0)</f>
        <v>Silver</v>
      </c>
      <c r="Q229" t="str">
        <f>VLOOKUP(B229,Customers!A:J,8,0)</f>
        <v>Female</v>
      </c>
      <c r="R229" t="b">
        <f t="shared" si="6"/>
        <v>1</v>
      </c>
      <c r="S229" s="18">
        <f t="shared" si="7"/>
        <v>45047</v>
      </c>
    </row>
    <row r="230" spans="1:19" x14ac:dyDescent="0.25">
      <c r="A230" s="3" t="s">
        <v>1111</v>
      </c>
      <c r="B230" s="4" t="s">
        <v>132</v>
      </c>
      <c r="C230" s="14">
        <v>45517</v>
      </c>
      <c r="D230" s="4" t="s">
        <v>672</v>
      </c>
      <c r="E230" s="4" t="s">
        <v>673</v>
      </c>
      <c r="F230" s="4">
        <v>24.99</v>
      </c>
      <c r="G230" s="4">
        <v>4</v>
      </c>
      <c r="H230" s="4">
        <v>0</v>
      </c>
      <c r="I230" s="4">
        <v>24.99</v>
      </c>
      <c r="J230" s="4">
        <v>99.96</v>
      </c>
      <c r="K230" s="4" t="s">
        <v>669</v>
      </c>
      <c r="L230" s="4" t="s">
        <v>656</v>
      </c>
      <c r="M230" s="5">
        <v>4</v>
      </c>
      <c r="N230">
        <f>VLOOKUP(B230,Customers!A:J,7,0)</f>
        <v>38</v>
      </c>
      <c r="O230" t="str">
        <f>VLOOKUP(B230,Customers!A:J,5,0)</f>
        <v>Chicago</v>
      </c>
      <c r="P230" t="str">
        <f>VLOOKUP(B230,Customers!A:J,10,0)</f>
        <v>Free</v>
      </c>
      <c r="Q230" t="str">
        <f>VLOOKUP(B230,Customers!A:J,8,0)</f>
        <v>Female</v>
      </c>
      <c r="R230" t="b">
        <f t="shared" si="6"/>
        <v>1</v>
      </c>
      <c r="S230" s="18">
        <f t="shared" si="7"/>
        <v>45505</v>
      </c>
    </row>
    <row r="231" spans="1:19" x14ac:dyDescent="0.25">
      <c r="A231" s="6" t="s">
        <v>1112</v>
      </c>
      <c r="B231" s="7" t="s">
        <v>132</v>
      </c>
      <c r="C231" s="15">
        <v>44881</v>
      </c>
      <c r="D231" s="7" t="s">
        <v>653</v>
      </c>
      <c r="E231" s="7" t="s">
        <v>827</v>
      </c>
      <c r="F231" s="7">
        <v>29.99</v>
      </c>
      <c r="G231" s="7">
        <v>3</v>
      </c>
      <c r="H231" s="7">
        <v>15</v>
      </c>
      <c r="I231" s="7">
        <v>25.49</v>
      </c>
      <c r="J231" s="7">
        <v>76.47</v>
      </c>
      <c r="K231" s="7" t="s">
        <v>669</v>
      </c>
      <c r="L231" s="7" t="s">
        <v>656</v>
      </c>
      <c r="M231" s="8">
        <v>4</v>
      </c>
      <c r="N231">
        <f>VLOOKUP(B231,Customers!A:J,7,0)</f>
        <v>38</v>
      </c>
      <c r="O231" t="str">
        <f>VLOOKUP(B231,Customers!A:J,5,0)</f>
        <v>Chicago</v>
      </c>
      <c r="P231" t="str">
        <f>VLOOKUP(B231,Customers!A:J,10,0)</f>
        <v>Free</v>
      </c>
      <c r="Q231" t="str">
        <f>VLOOKUP(B231,Customers!A:J,8,0)</f>
        <v>Female</v>
      </c>
      <c r="R231" t="b">
        <f t="shared" si="6"/>
        <v>1</v>
      </c>
      <c r="S231" s="18">
        <f t="shared" si="7"/>
        <v>44866</v>
      </c>
    </row>
    <row r="232" spans="1:19" x14ac:dyDescent="0.25">
      <c r="A232" s="3" t="s">
        <v>1113</v>
      </c>
      <c r="B232" s="4" t="s">
        <v>132</v>
      </c>
      <c r="C232" s="14">
        <v>44582</v>
      </c>
      <c r="D232" s="4" t="s">
        <v>672</v>
      </c>
      <c r="E232" s="4" t="s">
        <v>803</v>
      </c>
      <c r="F232" s="4">
        <v>69.989999999999995</v>
      </c>
      <c r="G232" s="4">
        <v>2</v>
      </c>
      <c r="H232" s="4">
        <v>0</v>
      </c>
      <c r="I232" s="4">
        <v>69.989999999999995</v>
      </c>
      <c r="J232" s="4">
        <v>139.97999999999999</v>
      </c>
      <c r="K232" s="4" t="s">
        <v>675</v>
      </c>
      <c r="L232" s="4" t="s">
        <v>656</v>
      </c>
      <c r="M232" s="5">
        <v>4</v>
      </c>
      <c r="N232">
        <f>VLOOKUP(B232,Customers!A:J,7,0)</f>
        <v>38</v>
      </c>
      <c r="O232" t="str">
        <f>VLOOKUP(B232,Customers!A:J,5,0)</f>
        <v>Chicago</v>
      </c>
      <c r="P232" t="str">
        <f>VLOOKUP(B232,Customers!A:J,10,0)</f>
        <v>Free</v>
      </c>
      <c r="Q232" t="str">
        <f>VLOOKUP(B232,Customers!A:J,8,0)</f>
        <v>Female</v>
      </c>
      <c r="R232" t="b">
        <f t="shared" si="6"/>
        <v>1</v>
      </c>
      <c r="S232" s="18">
        <f t="shared" si="7"/>
        <v>44562</v>
      </c>
    </row>
    <row r="233" spans="1:19" x14ac:dyDescent="0.25">
      <c r="A233" s="6" t="s">
        <v>1115</v>
      </c>
      <c r="B233" s="7" t="s">
        <v>132</v>
      </c>
      <c r="C233" s="15">
        <v>44939</v>
      </c>
      <c r="D233" s="7" t="s">
        <v>710</v>
      </c>
      <c r="E233" s="7" t="s">
        <v>711</v>
      </c>
      <c r="F233" s="7">
        <v>14.99</v>
      </c>
      <c r="G233" s="7">
        <v>1</v>
      </c>
      <c r="H233" s="7">
        <v>0</v>
      </c>
      <c r="I233" s="7">
        <v>14.99</v>
      </c>
      <c r="J233" s="7">
        <v>14.99</v>
      </c>
      <c r="K233" s="7" t="s">
        <v>655</v>
      </c>
      <c r="L233" s="7" t="s">
        <v>788</v>
      </c>
      <c r="M233" s="8">
        <v>5</v>
      </c>
      <c r="N233">
        <f>VLOOKUP(B233,Customers!A:J,7,0)</f>
        <v>38</v>
      </c>
      <c r="O233" t="str">
        <f>VLOOKUP(B233,Customers!A:J,5,0)</f>
        <v>Chicago</v>
      </c>
      <c r="P233" t="str">
        <f>VLOOKUP(B233,Customers!A:J,10,0)</f>
        <v>Free</v>
      </c>
      <c r="Q233" t="str">
        <f>VLOOKUP(B233,Customers!A:J,8,0)</f>
        <v>Female</v>
      </c>
      <c r="R233" t="b">
        <f t="shared" si="6"/>
        <v>1</v>
      </c>
      <c r="S233" s="18">
        <f t="shared" si="7"/>
        <v>44927</v>
      </c>
    </row>
    <row r="234" spans="1:19" x14ac:dyDescent="0.25">
      <c r="A234" s="3" t="s">
        <v>1116</v>
      </c>
      <c r="B234" s="4" t="s">
        <v>132</v>
      </c>
      <c r="C234" s="14">
        <v>44684</v>
      </c>
      <c r="D234" s="4" t="s">
        <v>680</v>
      </c>
      <c r="E234" s="4" t="s">
        <v>708</v>
      </c>
      <c r="F234" s="4">
        <v>24.99</v>
      </c>
      <c r="G234" s="4">
        <v>4</v>
      </c>
      <c r="H234" s="4">
        <v>10</v>
      </c>
      <c r="I234" s="4">
        <v>22.49</v>
      </c>
      <c r="J234" s="4">
        <v>89.96</v>
      </c>
      <c r="K234" s="4" t="s">
        <v>655</v>
      </c>
      <c r="L234" s="4" t="s">
        <v>656</v>
      </c>
      <c r="M234" s="5">
        <v>4</v>
      </c>
      <c r="N234">
        <f>VLOOKUP(B234,Customers!A:J,7,0)</f>
        <v>38</v>
      </c>
      <c r="O234" t="str">
        <f>VLOOKUP(B234,Customers!A:J,5,0)</f>
        <v>Chicago</v>
      </c>
      <c r="P234" t="str">
        <f>VLOOKUP(B234,Customers!A:J,10,0)</f>
        <v>Free</v>
      </c>
      <c r="Q234" t="str">
        <f>VLOOKUP(B234,Customers!A:J,8,0)</f>
        <v>Female</v>
      </c>
      <c r="R234" t="b">
        <f t="shared" si="6"/>
        <v>1</v>
      </c>
      <c r="S234" s="18">
        <f t="shared" si="7"/>
        <v>44682</v>
      </c>
    </row>
    <row r="235" spans="1:19" x14ac:dyDescent="0.25">
      <c r="A235" s="6" t="s">
        <v>1118</v>
      </c>
      <c r="B235" s="7" t="s">
        <v>132</v>
      </c>
      <c r="C235" s="15">
        <v>45254</v>
      </c>
      <c r="D235" s="7" t="s">
        <v>672</v>
      </c>
      <c r="E235" s="7" t="s">
        <v>673</v>
      </c>
      <c r="F235" s="7">
        <v>24.99</v>
      </c>
      <c r="G235" s="7">
        <v>3</v>
      </c>
      <c r="H235" s="7">
        <v>0</v>
      </c>
      <c r="I235" s="7">
        <v>24.99</v>
      </c>
      <c r="J235" s="7">
        <v>74.97</v>
      </c>
      <c r="K235" s="7" t="s">
        <v>682</v>
      </c>
      <c r="L235" s="7" t="s">
        <v>656</v>
      </c>
      <c r="M235" s="8"/>
      <c r="N235">
        <f>VLOOKUP(B235,Customers!A:J,7,0)</f>
        <v>38</v>
      </c>
      <c r="O235" t="str">
        <f>VLOOKUP(B235,Customers!A:J,5,0)</f>
        <v>Chicago</v>
      </c>
      <c r="P235" t="str">
        <f>VLOOKUP(B235,Customers!A:J,10,0)</f>
        <v>Free</v>
      </c>
      <c r="Q235" t="str">
        <f>VLOOKUP(B235,Customers!A:J,8,0)</f>
        <v>Female</v>
      </c>
      <c r="R235" t="b">
        <f t="shared" si="6"/>
        <v>1</v>
      </c>
      <c r="S235" s="18">
        <f t="shared" si="7"/>
        <v>45231</v>
      </c>
    </row>
    <row r="236" spans="1:19" x14ac:dyDescent="0.25">
      <c r="A236" s="3" t="s">
        <v>1120</v>
      </c>
      <c r="B236" s="4" t="s">
        <v>132</v>
      </c>
      <c r="C236" s="14">
        <v>44611</v>
      </c>
      <c r="D236" s="4" t="s">
        <v>672</v>
      </c>
      <c r="E236" s="4" t="s">
        <v>724</v>
      </c>
      <c r="F236" s="4">
        <v>89.99</v>
      </c>
      <c r="G236" s="4">
        <v>4</v>
      </c>
      <c r="H236" s="4">
        <v>20</v>
      </c>
      <c r="I236" s="4">
        <v>71.989999999999995</v>
      </c>
      <c r="J236" s="4">
        <v>287.95999999999998</v>
      </c>
      <c r="K236" s="4" t="s">
        <v>675</v>
      </c>
      <c r="L236" s="4" t="s">
        <v>656</v>
      </c>
      <c r="M236" s="5"/>
      <c r="N236">
        <f>VLOOKUP(B236,Customers!A:J,7,0)</f>
        <v>38</v>
      </c>
      <c r="O236" t="str">
        <f>VLOOKUP(B236,Customers!A:J,5,0)</f>
        <v>Chicago</v>
      </c>
      <c r="P236" t="str">
        <f>VLOOKUP(B236,Customers!A:J,10,0)</f>
        <v>Free</v>
      </c>
      <c r="Q236" t="str">
        <f>VLOOKUP(B236,Customers!A:J,8,0)</f>
        <v>Female</v>
      </c>
      <c r="R236" t="b">
        <f t="shared" si="6"/>
        <v>1</v>
      </c>
      <c r="S236" s="18">
        <f t="shared" si="7"/>
        <v>44593</v>
      </c>
    </row>
    <row r="237" spans="1:19" x14ac:dyDescent="0.25">
      <c r="A237" s="6" t="s">
        <v>1121</v>
      </c>
      <c r="B237" s="7" t="s">
        <v>132</v>
      </c>
      <c r="C237" s="15">
        <v>44757</v>
      </c>
      <c r="D237" s="7" t="s">
        <v>659</v>
      </c>
      <c r="E237" s="7" t="s">
        <v>820</v>
      </c>
      <c r="F237" s="7">
        <v>39.99</v>
      </c>
      <c r="G237" s="7">
        <v>1</v>
      </c>
      <c r="H237" s="7">
        <v>0</v>
      </c>
      <c r="I237" s="7">
        <v>39.99</v>
      </c>
      <c r="J237" s="7">
        <v>39.99</v>
      </c>
      <c r="K237" s="7" t="s">
        <v>655</v>
      </c>
      <c r="L237" s="7" t="s">
        <v>788</v>
      </c>
      <c r="M237" s="8">
        <v>5</v>
      </c>
      <c r="N237">
        <f>VLOOKUP(B237,Customers!A:J,7,0)</f>
        <v>38</v>
      </c>
      <c r="O237" t="str">
        <f>VLOOKUP(B237,Customers!A:J,5,0)</f>
        <v>Chicago</v>
      </c>
      <c r="P237" t="str">
        <f>VLOOKUP(B237,Customers!A:J,10,0)</f>
        <v>Free</v>
      </c>
      <c r="Q237" t="str">
        <f>VLOOKUP(B237,Customers!A:J,8,0)</f>
        <v>Female</v>
      </c>
      <c r="R237" t="b">
        <f t="shared" si="6"/>
        <v>1</v>
      </c>
      <c r="S237" s="18">
        <f t="shared" si="7"/>
        <v>44743</v>
      </c>
    </row>
    <row r="238" spans="1:19" x14ac:dyDescent="0.25">
      <c r="A238" s="3" t="s">
        <v>1123</v>
      </c>
      <c r="B238" s="4" t="s">
        <v>136</v>
      </c>
      <c r="C238" s="14">
        <v>44621</v>
      </c>
      <c r="D238" s="4" t="s">
        <v>667</v>
      </c>
      <c r="E238" s="4" t="s">
        <v>714</v>
      </c>
      <c r="F238" s="4">
        <v>44.99</v>
      </c>
      <c r="G238" s="4">
        <v>2</v>
      </c>
      <c r="H238" s="4">
        <v>15</v>
      </c>
      <c r="I238" s="4">
        <v>38.24</v>
      </c>
      <c r="J238" s="4">
        <v>76.48</v>
      </c>
      <c r="K238" s="4" t="s">
        <v>682</v>
      </c>
      <c r="L238" s="4" t="s">
        <v>656</v>
      </c>
      <c r="M238" s="5">
        <v>5</v>
      </c>
      <c r="N238">
        <f>VLOOKUP(B238,Customers!A:J,7,0)</f>
        <v>30</v>
      </c>
      <c r="O238" t="str">
        <f>VLOOKUP(B238,Customers!A:J,5,0)</f>
        <v>San Jose</v>
      </c>
      <c r="P238" t="str">
        <f>VLOOKUP(B238,Customers!A:J,10,0)</f>
        <v>Free</v>
      </c>
      <c r="Q238" t="str">
        <f>VLOOKUP(B238,Customers!A:J,8,0)</f>
        <v>Female</v>
      </c>
      <c r="R238" t="b">
        <f t="shared" si="6"/>
        <v>1</v>
      </c>
      <c r="S238" s="18">
        <f t="shared" si="7"/>
        <v>44621</v>
      </c>
    </row>
    <row r="239" spans="1:19" x14ac:dyDescent="0.25">
      <c r="A239" s="6" t="s">
        <v>1124</v>
      </c>
      <c r="B239" s="7" t="s">
        <v>136</v>
      </c>
      <c r="C239" s="15">
        <v>45236</v>
      </c>
      <c r="D239" s="7" t="s">
        <v>659</v>
      </c>
      <c r="E239" s="7" t="s">
        <v>664</v>
      </c>
      <c r="F239" s="7">
        <v>24.99</v>
      </c>
      <c r="G239" s="7">
        <v>3</v>
      </c>
      <c r="H239" s="7">
        <v>0</v>
      </c>
      <c r="I239" s="7">
        <v>24.99</v>
      </c>
      <c r="J239" s="7">
        <v>74.97</v>
      </c>
      <c r="K239" s="7" t="s">
        <v>655</v>
      </c>
      <c r="L239" s="7" t="s">
        <v>656</v>
      </c>
      <c r="M239" s="8">
        <v>4</v>
      </c>
      <c r="N239">
        <f>VLOOKUP(B239,Customers!A:J,7,0)</f>
        <v>30</v>
      </c>
      <c r="O239" t="str">
        <f>VLOOKUP(B239,Customers!A:J,5,0)</f>
        <v>San Jose</v>
      </c>
      <c r="P239" t="str">
        <f>VLOOKUP(B239,Customers!A:J,10,0)</f>
        <v>Free</v>
      </c>
      <c r="Q239" t="str">
        <f>VLOOKUP(B239,Customers!A:J,8,0)</f>
        <v>Female</v>
      </c>
      <c r="R239" t="b">
        <f t="shared" si="6"/>
        <v>1</v>
      </c>
      <c r="S239" s="18">
        <f t="shared" si="7"/>
        <v>45231</v>
      </c>
    </row>
    <row r="240" spans="1:19" x14ac:dyDescent="0.25">
      <c r="A240" s="3" t="s">
        <v>1125</v>
      </c>
      <c r="B240" s="4" t="s">
        <v>136</v>
      </c>
      <c r="C240" s="14">
        <v>45202</v>
      </c>
      <c r="D240" s="4" t="s">
        <v>659</v>
      </c>
      <c r="E240" s="4" t="s">
        <v>664</v>
      </c>
      <c r="F240" s="4">
        <v>24.99</v>
      </c>
      <c r="G240" s="4">
        <v>1</v>
      </c>
      <c r="H240" s="4">
        <v>0</v>
      </c>
      <c r="I240" s="4">
        <v>24.99</v>
      </c>
      <c r="J240" s="4">
        <v>24.99</v>
      </c>
      <c r="K240" s="4" t="s">
        <v>675</v>
      </c>
      <c r="L240" s="4" t="s">
        <v>788</v>
      </c>
      <c r="M240" s="5">
        <v>4</v>
      </c>
      <c r="N240">
        <f>VLOOKUP(B240,Customers!A:J,7,0)</f>
        <v>30</v>
      </c>
      <c r="O240" t="str">
        <f>VLOOKUP(B240,Customers!A:J,5,0)</f>
        <v>San Jose</v>
      </c>
      <c r="P240" t="str">
        <f>VLOOKUP(B240,Customers!A:J,10,0)</f>
        <v>Free</v>
      </c>
      <c r="Q240" t="str">
        <f>VLOOKUP(B240,Customers!A:J,8,0)</f>
        <v>Female</v>
      </c>
      <c r="R240" t="b">
        <f t="shared" si="6"/>
        <v>1</v>
      </c>
      <c r="S240" s="18">
        <f t="shared" si="7"/>
        <v>45200</v>
      </c>
    </row>
    <row r="241" spans="1:19" x14ac:dyDescent="0.25">
      <c r="A241" s="6" t="s">
        <v>1127</v>
      </c>
      <c r="B241" s="7" t="s">
        <v>136</v>
      </c>
      <c r="C241" s="15">
        <v>45539</v>
      </c>
      <c r="D241" s="7" t="s">
        <v>684</v>
      </c>
      <c r="E241" s="7" t="s">
        <v>702</v>
      </c>
      <c r="F241" s="7">
        <v>199.99</v>
      </c>
      <c r="G241" s="7">
        <v>2</v>
      </c>
      <c r="H241" s="7">
        <v>10</v>
      </c>
      <c r="I241" s="7">
        <v>179.99</v>
      </c>
      <c r="J241" s="7">
        <v>359.98</v>
      </c>
      <c r="K241" s="7" t="s">
        <v>682</v>
      </c>
      <c r="L241" s="7" t="s">
        <v>656</v>
      </c>
      <c r="M241" s="8">
        <v>4</v>
      </c>
      <c r="N241">
        <f>VLOOKUP(B241,Customers!A:J,7,0)</f>
        <v>30</v>
      </c>
      <c r="O241" t="str">
        <f>VLOOKUP(B241,Customers!A:J,5,0)</f>
        <v>San Jose</v>
      </c>
      <c r="P241" t="str">
        <f>VLOOKUP(B241,Customers!A:J,10,0)</f>
        <v>Free</v>
      </c>
      <c r="Q241" t="str">
        <f>VLOOKUP(B241,Customers!A:J,8,0)</f>
        <v>Female</v>
      </c>
      <c r="R241" t="b">
        <f t="shared" si="6"/>
        <v>1</v>
      </c>
      <c r="S241" s="18">
        <f t="shared" si="7"/>
        <v>45536</v>
      </c>
    </row>
    <row r="242" spans="1:19" x14ac:dyDescent="0.25">
      <c r="A242" s="3" t="s">
        <v>1129</v>
      </c>
      <c r="B242" s="4" t="s">
        <v>136</v>
      </c>
      <c r="C242" s="14">
        <v>45243</v>
      </c>
      <c r="D242" s="4" t="s">
        <v>710</v>
      </c>
      <c r="E242" s="4" t="s">
        <v>721</v>
      </c>
      <c r="F242" s="4">
        <v>24.99</v>
      </c>
      <c r="G242" s="4">
        <v>3</v>
      </c>
      <c r="H242" s="4">
        <v>10</v>
      </c>
      <c r="I242" s="4">
        <v>22.49</v>
      </c>
      <c r="J242" s="4">
        <v>67.47</v>
      </c>
      <c r="K242" s="4" t="s">
        <v>655</v>
      </c>
      <c r="L242" s="4" t="s">
        <v>656</v>
      </c>
      <c r="M242" s="5">
        <v>5</v>
      </c>
      <c r="N242">
        <f>VLOOKUP(B242,Customers!A:J,7,0)</f>
        <v>30</v>
      </c>
      <c r="O242" t="str">
        <f>VLOOKUP(B242,Customers!A:J,5,0)</f>
        <v>San Jose</v>
      </c>
      <c r="P242" t="str">
        <f>VLOOKUP(B242,Customers!A:J,10,0)</f>
        <v>Free</v>
      </c>
      <c r="Q242" t="str">
        <f>VLOOKUP(B242,Customers!A:J,8,0)</f>
        <v>Female</v>
      </c>
      <c r="R242" t="b">
        <f t="shared" si="6"/>
        <v>1</v>
      </c>
      <c r="S242" s="18">
        <f t="shared" si="7"/>
        <v>45231</v>
      </c>
    </row>
    <row r="243" spans="1:19" x14ac:dyDescent="0.25">
      <c r="A243" s="6" t="s">
        <v>1131</v>
      </c>
      <c r="B243" s="7" t="s">
        <v>136</v>
      </c>
      <c r="C243" s="15">
        <v>44851</v>
      </c>
      <c r="D243" s="7" t="s">
        <v>659</v>
      </c>
      <c r="E243" s="7" t="s">
        <v>820</v>
      </c>
      <c r="F243" s="7">
        <v>39.99</v>
      </c>
      <c r="G243" s="7">
        <v>1</v>
      </c>
      <c r="H243" s="7">
        <v>20</v>
      </c>
      <c r="I243" s="7">
        <v>31.99</v>
      </c>
      <c r="J243" s="7">
        <v>31.99</v>
      </c>
      <c r="K243" s="7" t="s">
        <v>655</v>
      </c>
      <c r="L243" s="7" t="s">
        <v>739</v>
      </c>
      <c r="M243" s="8"/>
      <c r="N243">
        <f>VLOOKUP(B243,Customers!A:J,7,0)</f>
        <v>30</v>
      </c>
      <c r="O243" t="str">
        <f>VLOOKUP(B243,Customers!A:J,5,0)</f>
        <v>San Jose</v>
      </c>
      <c r="P243" t="str">
        <f>VLOOKUP(B243,Customers!A:J,10,0)</f>
        <v>Free</v>
      </c>
      <c r="Q243" t="str">
        <f>VLOOKUP(B243,Customers!A:J,8,0)</f>
        <v>Female</v>
      </c>
      <c r="R243" t="b">
        <f t="shared" si="6"/>
        <v>1</v>
      </c>
      <c r="S243" s="18">
        <f t="shared" si="7"/>
        <v>44835</v>
      </c>
    </row>
    <row r="244" spans="1:19" x14ac:dyDescent="0.25">
      <c r="A244" s="3" t="s">
        <v>1132</v>
      </c>
      <c r="B244" s="4" t="s">
        <v>136</v>
      </c>
      <c r="C244" s="14">
        <v>45353</v>
      </c>
      <c r="D244" s="4" t="s">
        <v>672</v>
      </c>
      <c r="E244" s="4" t="s">
        <v>673</v>
      </c>
      <c r="F244" s="4">
        <v>24.99</v>
      </c>
      <c r="G244" s="4">
        <v>3</v>
      </c>
      <c r="H244" s="4">
        <v>15</v>
      </c>
      <c r="I244" s="4">
        <v>21.24</v>
      </c>
      <c r="J244" s="4">
        <v>63.72</v>
      </c>
      <c r="K244" s="4" t="s">
        <v>661</v>
      </c>
      <c r="L244" s="4" t="s">
        <v>656</v>
      </c>
      <c r="M244" s="5">
        <v>5</v>
      </c>
      <c r="N244">
        <f>VLOOKUP(B244,Customers!A:J,7,0)</f>
        <v>30</v>
      </c>
      <c r="O244" t="str">
        <f>VLOOKUP(B244,Customers!A:J,5,0)</f>
        <v>San Jose</v>
      </c>
      <c r="P244" t="str">
        <f>VLOOKUP(B244,Customers!A:J,10,0)</f>
        <v>Free</v>
      </c>
      <c r="Q244" t="str">
        <f>VLOOKUP(B244,Customers!A:J,8,0)</f>
        <v>Female</v>
      </c>
      <c r="R244" t="b">
        <f t="shared" si="6"/>
        <v>1</v>
      </c>
      <c r="S244" s="18">
        <f t="shared" si="7"/>
        <v>45352</v>
      </c>
    </row>
    <row r="245" spans="1:19" x14ac:dyDescent="0.25">
      <c r="A245" s="6" t="s">
        <v>1134</v>
      </c>
      <c r="B245" s="7" t="s">
        <v>136</v>
      </c>
      <c r="C245" s="15">
        <v>44786</v>
      </c>
      <c r="D245" s="7" t="s">
        <v>667</v>
      </c>
      <c r="E245" s="7" t="s">
        <v>714</v>
      </c>
      <c r="F245" s="7">
        <v>44.99</v>
      </c>
      <c r="G245" s="7">
        <v>2</v>
      </c>
      <c r="H245" s="7">
        <v>5</v>
      </c>
      <c r="I245" s="7">
        <v>42.74</v>
      </c>
      <c r="J245" s="7">
        <v>85.48</v>
      </c>
      <c r="K245" s="7" t="s">
        <v>675</v>
      </c>
      <c r="L245" s="7" t="s">
        <v>656</v>
      </c>
      <c r="M245" s="8"/>
      <c r="N245">
        <f>VLOOKUP(B245,Customers!A:J,7,0)</f>
        <v>30</v>
      </c>
      <c r="O245" t="str">
        <f>VLOOKUP(B245,Customers!A:J,5,0)</f>
        <v>San Jose</v>
      </c>
      <c r="P245" t="str">
        <f>VLOOKUP(B245,Customers!A:J,10,0)</f>
        <v>Free</v>
      </c>
      <c r="Q245" t="str">
        <f>VLOOKUP(B245,Customers!A:J,8,0)</f>
        <v>Female</v>
      </c>
      <c r="R245" t="b">
        <f t="shared" si="6"/>
        <v>1</v>
      </c>
      <c r="S245" s="18">
        <f t="shared" si="7"/>
        <v>44774</v>
      </c>
    </row>
    <row r="246" spans="1:19" x14ac:dyDescent="0.25">
      <c r="A246" s="3" t="s">
        <v>1136</v>
      </c>
      <c r="B246" s="4" t="s">
        <v>136</v>
      </c>
      <c r="C246" s="14">
        <v>45491</v>
      </c>
      <c r="D246" s="4" t="s">
        <v>653</v>
      </c>
      <c r="E246" s="4" t="s">
        <v>769</v>
      </c>
      <c r="F246" s="4">
        <v>49.99</v>
      </c>
      <c r="G246" s="4">
        <v>1</v>
      </c>
      <c r="H246" s="4">
        <v>20</v>
      </c>
      <c r="I246" s="4">
        <v>39.99</v>
      </c>
      <c r="J246" s="4">
        <v>39.99</v>
      </c>
      <c r="K246" s="4" t="s">
        <v>661</v>
      </c>
      <c r="L246" s="4" t="s">
        <v>656</v>
      </c>
      <c r="M246" s="5">
        <v>4</v>
      </c>
      <c r="N246">
        <f>VLOOKUP(B246,Customers!A:J,7,0)</f>
        <v>30</v>
      </c>
      <c r="O246" t="str">
        <f>VLOOKUP(B246,Customers!A:J,5,0)</f>
        <v>San Jose</v>
      </c>
      <c r="P246" t="str">
        <f>VLOOKUP(B246,Customers!A:J,10,0)</f>
        <v>Free</v>
      </c>
      <c r="Q246" t="str">
        <f>VLOOKUP(B246,Customers!A:J,8,0)</f>
        <v>Female</v>
      </c>
      <c r="R246" t="b">
        <f t="shared" si="6"/>
        <v>1</v>
      </c>
      <c r="S246" s="18">
        <f t="shared" si="7"/>
        <v>45474</v>
      </c>
    </row>
    <row r="247" spans="1:19" x14ac:dyDescent="0.25">
      <c r="A247" s="6" t="s">
        <v>1137</v>
      </c>
      <c r="B247" s="7" t="s">
        <v>136</v>
      </c>
      <c r="C247" s="15">
        <v>45521</v>
      </c>
      <c r="D247" s="7" t="s">
        <v>672</v>
      </c>
      <c r="E247" s="7" t="s">
        <v>724</v>
      </c>
      <c r="F247" s="7">
        <v>89.99</v>
      </c>
      <c r="G247" s="7">
        <v>1</v>
      </c>
      <c r="H247" s="7">
        <v>20</v>
      </c>
      <c r="I247" s="7">
        <v>71.989999999999995</v>
      </c>
      <c r="J247" s="7">
        <v>71.989999999999995</v>
      </c>
      <c r="K247" s="7" t="s">
        <v>682</v>
      </c>
      <c r="L247" s="7" t="s">
        <v>656</v>
      </c>
      <c r="M247" s="8"/>
      <c r="N247">
        <f>VLOOKUP(B247,Customers!A:J,7,0)</f>
        <v>30</v>
      </c>
      <c r="O247" t="str">
        <f>VLOOKUP(B247,Customers!A:J,5,0)</f>
        <v>San Jose</v>
      </c>
      <c r="P247" t="str">
        <f>VLOOKUP(B247,Customers!A:J,10,0)</f>
        <v>Free</v>
      </c>
      <c r="Q247" t="str">
        <f>VLOOKUP(B247,Customers!A:J,8,0)</f>
        <v>Female</v>
      </c>
      <c r="R247" t="b">
        <f t="shared" si="6"/>
        <v>1</v>
      </c>
      <c r="S247" s="18">
        <f t="shared" si="7"/>
        <v>45505</v>
      </c>
    </row>
    <row r="248" spans="1:19" x14ac:dyDescent="0.25">
      <c r="A248" s="3" t="s">
        <v>1139</v>
      </c>
      <c r="B248" s="4" t="s">
        <v>136</v>
      </c>
      <c r="C248" s="14">
        <v>45025</v>
      </c>
      <c r="D248" s="4" t="s">
        <v>672</v>
      </c>
      <c r="E248" s="4" t="s">
        <v>803</v>
      </c>
      <c r="F248" s="4">
        <v>69.989999999999995</v>
      </c>
      <c r="G248" s="4">
        <v>4</v>
      </c>
      <c r="H248" s="4">
        <v>0</v>
      </c>
      <c r="I248" s="4">
        <v>69.989999999999995</v>
      </c>
      <c r="J248" s="4">
        <v>279.95999999999998</v>
      </c>
      <c r="K248" s="4" t="s">
        <v>675</v>
      </c>
      <c r="L248" s="4" t="s">
        <v>739</v>
      </c>
      <c r="M248" s="5">
        <v>5</v>
      </c>
      <c r="N248">
        <f>VLOOKUP(B248,Customers!A:J,7,0)</f>
        <v>30</v>
      </c>
      <c r="O248" t="str">
        <f>VLOOKUP(B248,Customers!A:J,5,0)</f>
        <v>San Jose</v>
      </c>
      <c r="P248" t="str">
        <f>VLOOKUP(B248,Customers!A:J,10,0)</f>
        <v>Free</v>
      </c>
      <c r="Q248" t="str">
        <f>VLOOKUP(B248,Customers!A:J,8,0)</f>
        <v>Female</v>
      </c>
      <c r="R248" t="b">
        <f t="shared" si="6"/>
        <v>1</v>
      </c>
      <c r="S248" s="18">
        <f t="shared" si="7"/>
        <v>45017</v>
      </c>
    </row>
    <row r="249" spans="1:19" x14ac:dyDescent="0.25">
      <c r="A249" s="6" t="s">
        <v>1141</v>
      </c>
      <c r="B249" s="7" t="s">
        <v>136</v>
      </c>
      <c r="C249" s="15">
        <v>44839</v>
      </c>
      <c r="D249" s="7" t="s">
        <v>653</v>
      </c>
      <c r="E249" s="7" t="s">
        <v>827</v>
      </c>
      <c r="F249" s="7">
        <v>29.99</v>
      </c>
      <c r="G249" s="7">
        <v>2</v>
      </c>
      <c r="H249" s="7">
        <v>5</v>
      </c>
      <c r="I249" s="7">
        <v>28.49</v>
      </c>
      <c r="J249" s="7">
        <v>56.98</v>
      </c>
      <c r="K249" s="7" t="s">
        <v>682</v>
      </c>
      <c r="L249" s="7" t="s">
        <v>656</v>
      </c>
      <c r="M249" s="8"/>
      <c r="N249">
        <f>VLOOKUP(B249,Customers!A:J,7,0)</f>
        <v>30</v>
      </c>
      <c r="O249" t="str">
        <f>VLOOKUP(B249,Customers!A:J,5,0)</f>
        <v>San Jose</v>
      </c>
      <c r="P249" t="str">
        <f>VLOOKUP(B249,Customers!A:J,10,0)</f>
        <v>Free</v>
      </c>
      <c r="Q249" t="str">
        <f>VLOOKUP(B249,Customers!A:J,8,0)</f>
        <v>Female</v>
      </c>
      <c r="R249" t="b">
        <f t="shared" si="6"/>
        <v>1</v>
      </c>
      <c r="S249" s="18">
        <f t="shared" si="7"/>
        <v>44835</v>
      </c>
    </row>
    <row r="250" spans="1:19" x14ac:dyDescent="0.25">
      <c r="A250" s="3" t="s">
        <v>1143</v>
      </c>
      <c r="B250" s="4" t="s">
        <v>136</v>
      </c>
      <c r="C250" s="14">
        <v>44809</v>
      </c>
      <c r="D250" s="4" t="s">
        <v>680</v>
      </c>
      <c r="E250" s="4" t="s">
        <v>688</v>
      </c>
      <c r="F250" s="4">
        <v>29.99</v>
      </c>
      <c r="G250" s="4">
        <v>4</v>
      </c>
      <c r="H250" s="4">
        <v>0</v>
      </c>
      <c r="I250" s="4">
        <v>29.99</v>
      </c>
      <c r="J250" s="4">
        <v>119.96</v>
      </c>
      <c r="K250" s="4" t="s">
        <v>669</v>
      </c>
      <c r="L250" s="4" t="s">
        <v>739</v>
      </c>
      <c r="M250" s="5">
        <v>3</v>
      </c>
      <c r="N250">
        <f>VLOOKUP(B250,Customers!A:J,7,0)</f>
        <v>30</v>
      </c>
      <c r="O250" t="str">
        <f>VLOOKUP(B250,Customers!A:J,5,0)</f>
        <v>San Jose</v>
      </c>
      <c r="P250" t="str">
        <f>VLOOKUP(B250,Customers!A:J,10,0)</f>
        <v>Free</v>
      </c>
      <c r="Q250" t="str">
        <f>VLOOKUP(B250,Customers!A:J,8,0)</f>
        <v>Female</v>
      </c>
      <c r="R250" t="b">
        <f t="shared" si="6"/>
        <v>1</v>
      </c>
      <c r="S250" s="18">
        <f t="shared" si="7"/>
        <v>44805</v>
      </c>
    </row>
    <row r="251" spans="1:19" x14ac:dyDescent="0.25">
      <c r="A251" s="6" t="s">
        <v>1144</v>
      </c>
      <c r="B251" s="7" t="s">
        <v>136</v>
      </c>
      <c r="C251" s="15">
        <v>44576</v>
      </c>
      <c r="D251" s="7" t="s">
        <v>659</v>
      </c>
      <c r="E251" s="7" t="s">
        <v>762</v>
      </c>
      <c r="F251" s="7">
        <v>49.99</v>
      </c>
      <c r="G251" s="7">
        <v>2</v>
      </c>
      <c r="H251" s="7">
        <v>5</v>
      </c>
      <c r="I251" s="7">
        <v>47.49</v>
      </c>
      <c r="J251" s="7">
        <v>94.98</v>
      </c>
      <c r="K251" s="7" t="s">
        <v>655</v>
      </c>
      <c r="L251" s="7" t="s">
        <v>656</v>
      </c>
      <c r="M251" s="8"/>
      <c r="N251">
        <f>VLOOKUP(B251,Customers!A:J,7,0)</f>
        <v>30</v>
      </c>
      <c r="O251" t="str">
        <f>VLOOKUP(B251,Customers!A:J,5,0)</f>
        <v>San Jose</v>
      </c>
      <c r="P251" t="str">
        <f>VLOOKUP(B251,Customers!A:J,10,0)</f>
        <v>Free</v>
      </c>
      <c r="Q251" t="str">
        <f>VLOOKUP(B251,Customers!A:J,8,0)</f>
        <v>Female</v>
      </c>
      <c r="R251" t="b">
        <f t="shared" si="6"/>
        <v>1</v>
      </c>
      <c r="S251" s="18">
        <f t="shared" si="7"/>
        <v>44562</v>
      </c>
    </row>
    <row r="252" spans="1:19" x14ac:dyDescent="0.25">
      <c r="A252" s="3" t="s">
        <v>1146</v>
      </c>
      <c r="B252" s="4" t="s">
        <v>136</v>
      </c>
      <c r="C252" s="14">
        <v>44796</v>
      </c>
      <c r="D252" s="4" t="s">
        <v>672</v>
      </c>
      <c r="E252" s="4" t="s">
        <v>724</v>
      </c>
      <c r="F252" s="4">
        <v>89.99</v>
      </c>
      <c r="G252" s="4">
        <v>2</v>
      </c>
      <c r="H252" s="4">
        <v>0</v>
      </c>
      <c r="I252" s="4">
        <v>89.99</v>
      </c>
      <c r="J252" s="4">
        <v>179.98</v>
      </c>
      <c r="K252" s="4" t="s">
        <v>675</v>
      </c>
      <c r="L252" s="4" t="s">
        <v>656</v>
      </c>
      <c r="M252" s="5">
        <v>3</v>
      </c>
      <c r="N252">
        <f>VLOOKUP(B252,Customers!A:J,7,0)</f>
        <v>30</v>
      </c>
      <c r="O252" t="str">
        <f>VLOOKUP(B252,Customers!A:J,5,0)</f>
        <v>San Jose</v>
      </c>
      <c r="P252" t="str">
        <f>VLOOKUP(B252,Customers!A:J,10,0)</f>
        <v>Free</v>
      </c>
      <c r="Q252" t="str">
        <f>VLOOKUP(B252,Customers!A:J,8,0)</f>
        <v>Female</v>
      </c>
      <c r="R252" t="b">
        <f t="shared" si="6"/>
        <v>1</v>
      </c>
      <c r="S252" s="18">
        <f t="shared" si="7"/>
        <v>44774</v>
      </c>
    </row>
    <row r="253" spans="1:19" x14ac:dyDescent="0.25">
      <c r="A253" s="6" t="s">
        <v>1148</v>
      </c>
      <c r="B253" s="7" t="s">
        <v>139</v>
      </c>
      <c r="C253" s="15">
        <v>45268</v>
      </c>
      <c r="D253" s="7" t="s">
        <v>672</v>
      </c>
      <c r="E253" s="7" t="s">
        <v>803</v>
      </c>
      <c r="F253" s="7">
        <v>69.989999999999995</v>
      </c>
      <c r="G253" s="7">
        <v>3</v>
      </c>
      <c r="H253" s="7">
        <v>5</v>
      </c>
      <c r="I253" s="7">
        <v>66.489999999999995</v>
      </c>
      <c r="J253" s="7">
        <v>199.47</v>
      </c>
      <c r="K253" s="7" t="s">
        <v>661</v>
      </c>
      <c r="L253" s="7" t="s">
        <v>656</v>
      </c>
      <c r="M253" s="8">
        <v>4</v>
      </c>
      <c r="N253">
        <f>VLOOKUP(B253,Customers!A:J,7,0)</f>
        <v>59</v>
      </c>
      <c r="O253" t="str">
        <f>VLOOKUP(B253,Customers!A:J,5,0)</f>
        <v>San Jose</v>
      </c>
      <c r="P253" t="str">
        <f>VLOOKUP(B253,Customers!A:J,10,0)</f>
        <v>Silver</v>
      </c>
      <c r="Q253" t="str">
        <f>VLOOKUP(B253,Customers!A:J,8,0)</f>
        <v>Female</v>
      </c>
      <c r="R253" t="b">
        <f t="shared" si="6"/>
        <v>1</v>
      </c>
      <c r="S253" s="18">
        <f t="shared" si="7"/>
        <v>45261</v>
      </c>
    </row>
    <row r="254" spans="1:19" x14ac:dyDescent="0.25">
      <c r="A254" s="3" t="s">
        <v>1150</v>
      </c>
      <c r="B254" s="4" t="s">
        <v>139</v>
      </c>
      <c r="C254" s="14">
        <v>44610</v>
      </c>
      <c r="D254" s="4" t="s">
        <v>653</v>
      </c>
      <c r="E254" s="4" t="s">
        <v>727</v>
      </c>
      <c r="F254" s="4">
        <v>14.99</v>
      </c>
      <c r="G254" s="4">
        <v>2</v>
      </c>
      <c r="H254" s="4">
        <v>0</v>
      </c>
      <c r="I254" s="4">
        <v>14.99</v>
      </c>
      <c r="J254" s="4">
        <v>29.98</v>
      </c>
      <c r="K254" s="4" t="s">
        <v>675</v>
      </c>
      <c r="L254" s="4" t="s">
        <v>656</v>
      </c>
      <c r="M254" s="5">
        <v>2</v>
      </c>
      <c r="N254">
        <f>VLOOKUP(B254,Customers!A:J,7,0)</f>
        <v>59</v>
      </c>
      <c r="O254" t="str">
        <f>VLOOKUP(B254,Customers!A:J,5,0)</f>
        <v>San Jose</v>
      </c>
      <c r="P254" t="str">
        <f>VLOOKUP(B254,Customers!A:J,10,0)</f>
        <v>Silver</v>
      </c>
      <c r="Q254" t="str">
        <f>VLOOKUP(B254,Customers!A:J,8,0)</f>
        <v>Female</v>
      </c>
      <c r="R254" t="b">
        <f t="shared" si="6"/>
        <v>1</v>
      </c>
      <c r="S254" s="18">
        <f t="shared" si="7"/>
        <v>44593</v>
      </c>
    </row>
    <row r="255" spans="1:19" x14ac:dyDescent="0.25">
      <c r="A255" s="6" t="s">
        <v>1151</v>
      </c>
      <c r="B255" s="7" t="s">
        <v>139</v>
      </c>
      <c r="C255" s="15">
        <v>45529</v>
      </c>
      <c r="D255" s="7" t="s">
        <v>653</v>
      </c>
      <c r="E255" s="7" t="s">
        <v>827</v>
      </c>
      <c r="F255" s="7">
        <v>29.99</v>
      </c>
      <c r="G255" s="7">
        <v>1</v>
      </c>
      <c r="H255" s="7">
        <v>5</v>
      </c>
      <c r="I255" s="7">
        <v>28.49</v>
      </c>
      <c r="J255" s="7">
        <v>28.49</v>
      </c>
      <c r="K255" s="7" t="s">
        <v>655</v>
      </c>
      <c r="L255" s="7" t="s">
        <v>656</v>
      </c>
      <c r="M255" s="8">
        <v>4</v>
      </c>
      <c r="N255">
        <f>VLOOKUP(B255,Customers!A:J,7,0)</f>
        <v>59</v>
      </c>
      <c r="O255" t="str">
        <f>VLOOKUP(B255,Customers!A:J,5,0)</f>
        <v>San Jose</v>
      </c>
      <c r="P255" t="str">
        <f>VLOOKUP(B255,Customers!A:J,10,0)</f>
        <v>Silver</v>
      </c>
      <c r="Q255" t="str">
        <f>VLOOKUP(B255,Customers!A:J,8,0)</f>
        <v>Female</v>
      </c>
      <c r="R255" t="b">
        <f t="shared" si="6"/>
        <v>1</v>
      </c>
      <c r="S255" s="18">
        <f t="shared" si="7"/>
        <v>45505</v>
      </c>
    </row>
    <row r="256" spans="1:19" x14ac:dyDescent="0.25">
      <c r="A256" s="3" t="s">
        <v>1152</v>
      </c>
      <c r="B256" s="4" t="s">
        <v>143</v>
      </c>
      <c r="C256" s="14">
        <v>45182</v>
      </c>
      <c r="D256" s="4" t="s">
        <v>684</v>
      </c>
      <c r="E256" s="4" t="s">
        <v>815</v>
      </c>
      <c r="F256" s="4">
        <v>34.99</v>
      </c>
      <c r="G256" s="4">
        <v>2</v>
      </c>
      <c r="H256" s="4">
        <v>0</v>
      </c>
      <c r="I256" s="4">
        <v>34.99</v>
      </c>
      <c r="J256" s="4">
        <v>69.98</v>
      </c>
      <c r="K256" s="4" t="s">
        <v>682</v>
      </c>
      <c r="L256" s="4" t="s">
        <v>788</v>
      </c>
      <c r="M256" s="5">
        <v>5</v>
      </c>
      <c r="N256">
        <f>VLOOKUP(B256,Customers!A:J,7,0)</f>
        <v>28</v>
      </c>
      <c r="O256" t="str">
        <f>VLOOKUP(B256,Customers!A:J,5,0)</f>
        <v>Philadelphia</v>
      </c>
      <c r="P256" t="str">
        <f>VLOOKUP(B256,Customers!A:J,10,0)</f>
        <v>Free</v>
      </c>
      <c r="Q256" t="str">
        <f>VLOOKUP(B256,Customers!A:J,8,0)</f>
        <v>Female</v>
      </c>
      <c r="R256" t="b">
        <f t="shared" si="6"/>
        <v>1</v>
      </c>
      <c r="S256" s="18">
        <f t="shared" si="7"/>
        <v>45170</v>
      </c>
    </row>
    <row r="257" spans="1:19" x14ac:dyDescent="0.25">
      <c r="A257" s="6" t="s">
        <v>1153</v>
      </c>
      <c r="B257" s="7" t="s">
        <v>143</v>
      </c>
      <c r="C257" s="15">
        <v>44851</v>
      </c>
      <c r="D257" s="7" t="s">
        <v>710</v>
      </c>
      <c r="E257" s="7" t="s">
        <v>744</v>
      </c>
      <c r="F257" s="7">
        <v>29.99</v>
      </c>
      <c r="G257" s="7">
        <v>3</v>
      </c>
      <c r="H257" s="7">
        <v>15</v>
      </c>
      <c r="I257" s="7">
        <v>25.49</v>
      </c>
      <c r="J257" s="7">
        <v>76.47</v>
      </c>
      <c r="K257" s="7" t="s">
        <v>669</v>
      </c>
      <c r="L257" s="7" t="s">
        <v>656</v>
      </c>
      <c r="M257" s="8">
        <v>4</v>
      </c>
      <c r="N257">
        <f>VLOOKUP(B257,Customers!A:J,7,0)</f>
        <v>28</v>
      </c>
      <c r="O257" t="str">
        <f>VLOOKUP(B257,Customers!A:J,5,0)</f>
        <v>Philadelphia</v>
      </c>
      <c r="P257" t="str">
        <f>VLOOKUP(B257,Customers!A:J,10,0)</f>
        <v>Free</v>
      </c>
      <c r="Q257" t="str">
        <f>VLOOKUP(B257,Customers!A:J,8,0)</f>
        <v>Female</v>
      </c>
      <c r="R257" t="b">
        <f t="shared" si="6"/>
        <v>1</v>
      </c>
      <c r="S257" s="18">
        <f t="shared" si="7"/>
        <v>44835</v>
      </c>
    </row>
    <row r="258" spans="1:19" x14ac:dyDescent="0.25">
      <c r="A258" s="3" t="s">
        <v>1154</v>
      </c>
      <c r="B258" s="4" t="s">
        <v>143</v>
      </c>
      <c r="C258" s="14">
        <v>45000</v>
      </c>
      <c r="D258" s="4" t="s">
        <v>672</v>
      </c>
      <c r="E258" s="4" t="s">
        <v>735</v>
      </c>
      <c r="F258" s="4">
        <v>44.99</v>
      </c>
      <c r="G258" s="4">
        <v>2</v>
      </c>
      <c r="H258" s="4">
        <v>20</v>
      </c>
      <c r="I258" s="4">
        <v>35.99</v>
      </c>
      <c r="J258" s="4">
        <v>71.98</v>
      </c>
      <c r="K258" s="4" t="s">
        <v>682</v>
      </c>
      <c r="L258" s="4" t="s">
        <v>656</v>
      </c>
      <c r="M258" s="5">
        <v>1</v>
      </c>
      <c r="N258">
        <f>VLOOKUP(B258,Customers!A:J,7,0)</f>
        <v>28</v>
      </c>
      <c r="O258" t="str">
        <f>VLOOKUP(B258,Customers!A:J,5,0)</f>
        <v>Philadelphia</v>
      </c>
      <c r="P258" t="str">
        <f>VLOOKUP(B258,Customers!A:J,10,0)</f>
        <v>Free</v>
      </c>
      <c r="Q258" t="str">
        <f>VLOOKUP(B258,Customers!A:J,8,0)</f>
        <v>Female</v>
      </c>
      <c r="R258" t="b">
        <f t="shared" si="6"/>
        <v>1</v>
      </c>
      <c r="S258" s="18">
        <f t="shared" si="7"/>
        <v>44986</v>
      </c>
    </row>
    <row r="259" spans="1:19" x14ac:dyDescent="0.25">
      <c r="A259" s="6" t="s">
        <v>1156</v>
      </c>
      <c r="B259" s="7" t="s">
        <v>143</v>
      </c>
      <c r="C259" s="15">
        <v>44985</v>
      </c>
      <c r="D259" s="7" t="s">
        <v>659</v>
      </c>
      <c r="E259" s="7" t="s">
        <v>820</v>
      </c>
      <c r="F259" s="7">
        <v>39.99</v>
      </c>
      <c r="G259" s="7">
        <v>3</v>
      </c>
      <c r="H259" s="7">
        <v>0</v>
      </c>
      <c r="I259" s="7">
        <v>39.99</v>
      </c>
      <c r="J259" s="7">
        <v>119.97</v>
      </c>
      <c r="K259" s="7" t="s">
        <v>682</v>
      </c>
      <c r="L259" s="7" t="s">
        <v>788</v>
      </c>
      <c r="M259" s="8">
        <v>3</v>
      </c>
      <c r="N259">
        <f>VLOOKUP(B259,Customers!A:J,7,0)</f>
        <v>28</v>
      </c>
      <c r="O259" t="str">
        <f>VLOOKUP(B259,Customers!A:J,5,0)</f>
        <v>Philadelphia</v>
      </c>
      <c r="P259" t="str">
        <f>VLOOKUP(B259,Customers!A:J,10,0)</f>
        <v>Free</v>
      </c>
      <c r="Q259" t="str">
        <f>VLOOKUP(B259,Customers!A:J,8,0)</f>
        <v>Female</v>
      </c>
      <c r="R259" t="b">
        <f t="shared" ref="R259:R322" si="8">ISNUMBER(C259)</f>
        <v>1</v>
      </c>
      <c r="S259" s="18">
        <f t="shared" ref="S259:S322" si="9">DATE(YEAR(C259),MONTH(C259),1)</f>
        <v>44958</v>
      </c>
    </row>
    <row r="260" spans="1:19" x14ac:dyDescent="0.25">
      <c r="A260" s="3" t="s">
        <v>1158</v>
      </c>
      <c r="B260" s="4" t="s">
        <v>143</v>
      </c>
      <c r="C260" s="14">
        <v>44871</v>
      </c>
      <c r="D260" s="4" t="s">
        <v>680</v>
      </c>
      <c r="E260" s="4" t="s">
        <v>749</v>
      </c>
      <c r="F260" s="4">
        <v>14.99</v>
      </c>
      <c r="G260" s="4">
        <v>3</v>
      </c>
      <c r="H260" s="4">
        <v>10</v>
      </c>
      <c r="I260" s="4">
        <v>13.49</v>
      </c>
      <c r="J260" s="4">
        <v>40.47</v>
      </c>
      <c r="K260" s="4" t="s">
        <v>655</v>
      </c>
      <c r="L260" s="4" t="s">
        <v>656</v>
      </c>
      <c r="M260" s="5"/>
      <c r="N260">
        <f>VLOOKUP(B260,Customers!A:J,7,0)</f>
        <v>28</v>
      </c>
      <c r="O260" t="str">
        <f>VLOOKUP(B260,Customers!A:J,5,0)</f>
        <v>Philadelphia</v>
      </c>
      <c r="P260" t="str">
        <f>VLOOKUP(B260,Customers!A:J,10,0)</f>
        <v>Free</v>
      </c>
      <c r="Q260" t="str">
        <f>VLOOKUP(B260,Customers!A:J,8,0)</f>
        <v>Female</v>
      </c>
      <c r="R260" t="b">
        <f t="shared" si="8"/>
        <v>1</v>
      </c>
      <c r="S260" s="18">
        <f t="shared" si="9"/>
        <v>44866</v>
      </c>
    </row>
    <row r="261" spans="1:19" x14ac:dyDescent="0.25">
      <c r="A261" s="6" t="s">
        <v>1160</v>
      </c>
      <c r="B261" s="7" t="s">
        <v>143</v>
      </c>
      <c r="C261" s="15">
        <v>44825</v>
      </c>
      <c r="D261" s="7" t="s">
        <v>710</v>
      </c>
      <c r="E261" s="7" t="s">
        <v>711</v>
      </c>
      <c r="F261" s="7">
        <v>14.99</v>
      </c>
      <c r="G261" s="7">
        <v>3</v>
      </c>
      <c r="H261" s="7">
        <v>0</v>
      </c>
      <c r="I261" s="7">
        <v>14.99</v>
      </c>
      <c r="J261" s="7">
        <v>44.97</v>
      </c>
      <c r="K261" s="7" t="s">
        <v>661</v>
      </c>
      <c r="L261" s="7" t="s">
        <v>656</v>
      </c>
      <c r="M261" s="8"/>
      <c r="N261">
        <f>VLOOKUP(B261,Customers!A:J,7,0)</f>
        <v>28</v>
      </c>
      <c r="O261" t="str">
        <f>VLOOKUP(B261,Customers!A:J,5,0)</f>
        <v>Philadelphia</v>
      </c>
      <c r="P261" t="str">
        <f>VLOOKUP(B261,Customers!A:J,10,0)</f>
        <v>Free</v>
      </c>
      <c r="Q261" t="str">
        <f>VLOOKUP(B261,Customers!A:J,8,0)</f>
        <v>Female</v>
      </c>
      <c r="R261" t="b">
        <f t="shared" si="8"/>
        <v>1</v>
      </c>
      <c r="S261" s="18">
        <f t="shared" si="9"/>
        <v>44805</v>
      </c>
    </row>
    <row r="262" spans="1:19" x14ac:dyDescent="0.25">
      <c r="A262" s="3" t="s">
        <v>1162</v>
      </c>
      <c r="B262" s="4" t="s">
        <v>143</v>
      </c>
      <c r="C262" s="14">
        <v>45253</v>
      </c>
      <c r="D262" s="4" t="s">
        <v>684</v>
      </c>
      <c r="E262" s="4" t="s">
        <v>702</v>
      </c>
      <c r="F262" s="4">
        <v>199.99</v>
      </c>
      <c r="G262" s="4">
        <v>2</v>
      </c>
      <c r="H262" s="4">
        <v>15</v>
      </c>
      <c r="I262" s="4">
        <v>169.99</v>
      </c>
      <c r="J262" s="4">
        <v>339.98</v>
      </c>
      <c r="K262" s="4" t="s">
        <v>661</v>
      </c>
      <c r="L262" s="4" t="s">
        <v>656</v>
      </c>
      <c r="M262" s="5">
        <v>5</v>
      </c>
      <c r="N262">
        <f>VLOOKUP(B262,Customers!A:J,7,0)</f>
        <v>28</v>
      </c>
      <c r="O262" t="str">
        <f>VLOOKUP(B262,Customers!A:J,5,0)</f>
        <v>Philadelphia</v>
      </c>
      <c r="P262" t="str">
        <f>VLOOKUP(B262,Customers!A:J,10,0)</f>
        <v>Free</v>
      </c>
      <c r="Q262" t="str">
        <f>VLOOKUP(B262,Customers!A:J,8,0)</f>
        <v>Female</v>
      </c>
      <c r="R262" t="b">
        <f t="shared" si="8"/>
        <v>1</v>
      </c>
      <c r="S262" s="18">
        <f t="shared" si="9"/>
        <v>45231</v>
      </c>
    </row>
    <row r="263" spans="1:19" x14ac:dyDescent="0.25">
      <c r="A263" s="6" t="s">
        <v>1164</v>
      </c>
      <c r="B263" s="7" t="s">
        <v>143</v>
      </c>
      <c r="C263" s="15">
        <v>45581</v>
      </c>
      <c r="D263" s="7" t="s">
        <v>684</v>
      </c>
      <c r="E263" s="7" t="s">
        <v>702</v>
      </c>
      <c r="F263" s="7">
        <v>199.99</v>
      </c>
      <c r="G263" s="7">
        <v>1</v>
      </c>
      <c r="H263" s="7">
        <v>20</v>
      </c>
      <c r="I263" s="7">
        <v>159.99</v>
      </c>
      <c r="J263" s="7">
        <v>159.99</v>
      </c>
      <c r="K263" s="7" t="s">
        <v>655</v>
      </c>
      <c r="L263" s="7" t="s">
        <v>656</v>
      </c>
      <c r="M263" s="8"/>
      <c r="N263">
        <f>VLOOKUP(B263,Customers!A:J,7,0)</f>
        <v>28</v>
      </c>
      <c r="O263" t="str">
        <f>VLOOKUP(B263,Customers!A:J,5,0)</f>
        <v>Philadelphia</v>
      </c>
      <c r="P263" t="str">
        <f>VLOOKUP(B263,Customers!A:J,10,0)</f>
        <v>Free</v>
      </c>
      <c r="Q263" t="str">
        <f>VLOOKUP(B263,Customers!A:J,8,0)</f>
        <v>Female</v>
      </c>
      <c r="R263" t="b">
        <f t="shared" si="8"/>
        <v>1</v>
      </c>
      <c r="S263" s="18">
        <f t="shared" si="9"/>
        <v>45566</v>
      </c>
    </row>
    <row r="264" spans="1:19" x14ac:dyDescent="0.25">
      <c r="A264" s="3" t="s">
        <v>1166</v>
      </c>
      <c r="B264" s="4" t="s">
        <v>143</v>
      </c>
      <c r="C264" s="14">
        <v>45114</v>
      </c>
      <c r="D264" s="4" t="s">
        <v>659</v>
      </c>
      <c r="E264" s="4" t="s">
        <v>762</v>
      </c>
      <c r="F264" s="4">
        <v>49.99</v>
      </c>
      <c r="G264" s="4">
        <v>2</v>
      </c>
      <c r="H264" s="4">
        <v>15</v>
      </c>
      <c r="I264" s="4">
        <v>42.49</v>
      </c>
      <c r="J264" s="4">
        <v>84.98</v>
      </c>
      <c r="K264" s="4" t="s">
        <v>661</v>
      </c>
      <c r="L264" s="4" t="s">
        <v>656</v>
      </c>
      <c r="M264" s="5">
        <v>4</v>
      </c>
      <c r="N264">
        <f>VLOOKUP(B264,Customers!A:J,7,0)</f>
        <v>28</v>
      </c>
      <c r="O264" t="str">
        <f>VLOOKUP(B264,Customers!A:J,5,0)</f>
        <v>Philadelphia</v>
      </c>
      <c r="P264" t="str">
        <f>VLOOKUP(B264,Customers!A:J,10,0)</f>
        <v>Free</v>
      </c>
      <c r="Q264" t="str">
        <f>VLOOKUP(B264,Customers!A:J,8,0)</f>
        <v>Female</v>
      </c>
      <c r="R264" t="b">
        <f t="shared" si="8"/>
        <v>1</v>
      </c>
      <c r="S264" s="18">
        <f t="shared" si="9"/>
        <v>45108</v>
      </c>
    </row>
    <row r="265" spans="1:19" x14ac:dyDescent="0.25">
      <c r="A265" s="6" t="s">
        <v>1168</v>
      </c>
      <c r="B265" s="7" t="s">
        <v>146</v>
      </c>
      <c r="C265" s="15">
        <v>44587</v>
      </c>
      <c r="D265" s="7" t="s">
        <v>684</v>
      </c>
      <c r="E265" s="7" t="s">
        <v>705</v>
      </c>
      <c r="F265" s="7">
        <v>79.989999999999995</v>
      </c>
      <c r="G265" s="7">
        <v>1</v>
      </c>
      <c r="H265" s="7">
        <v>10</v>
      </c>
      <c r="I265" s="7">
        <v>71.989999999999995</v>
      </c>
      <c r="J265" s="7">
        <v>71.989999999999995</v>
      </c>
      <c r="K265" s="7" t="s">
        <v>661</v>
      </c>
      <c r="L265" s="7" t="s">
        <v>656</v>
      </c>
      <c r="M265" s="8">
        <v>4</v>
      </c>
      <c r="N265">
        <f>VLOOKUP(B265,Customers!A:J,7,0)</f>
        <v>33</v>
      </c>
      <c r="O265" t="str">
        <f>VLOOKUP(B265,Customers!A:J,5,0)</f>
        <v>Phoenix</v>
      </c>
      <c r="P265" t="str">
        <f>VLOOKUP(B265,Customers!A:J,10,0)</f>
        <v>Silver</v>
      </c>
      <c r="Q265" t="str">
        <f>VLOOKUP(B265,Customers!A:J,8,0)</f>
        <v>Male</v>
      </c>
      <c r="R265" t="b">
        <f t="shared" si="8"/>
        <v>1</v>
      </c>
      <c r="S265" s="18">
        <f t="shared" si="9"/>
        <v>44562</v>
      </c>
    </row>
    <row r="266" spans="1:19" x14ac:dyDescent="0.25">
      <c r="A266" s="3" t="s">
        <v>1170</v>
      </c>
      <c r="B266" s="4" t="s">
        <v>146</v>
      </c>
      <c r="C266" s="14">
        <v>44818</v>
      </c>
      <c r="D266" s="4" t="s">
        <v>680</v>
      </c>
      <c r="E266" s="4" t="s">
        <v>688</v>
      </c>
      <c r="F266" s="4">
        <v>29.99</v>
      </c>
      <c r="G266" s="4">
        <v>1</v>
      </c>
      <c r="H266" s="4">
        <v>0</v>
      </c>
      <c r="I266" s="4">
        <v>29.99</v>
      </c>
      <c r="J266" s="4">
        <v>29.99</v>
      </c>
      <c r="K266" s="4" t="s">
        <v>682</v>
      </c>
      <c r="L266" s="4" t="s">
        <v>656</v>
      </c>
      <c r="M266" s="5">
        <v>3</v>
      </c>
      <c r="N266">
        <f>VLOOKUP(B266,Customers!A:J,7,0)</f>
        <v>33</v>
      </c>
      <c r="O266" t="str">
        <f>VLOOKUP(B266,Customers!A:J,5,0)</f>
        <v>Phoenix</v>
      </c>
      <c r="P266" t="str">
        <f>VLOOKUP(B266,Customers!A:J,10,0)</f>
        <v>Silver</v>
      </c>
      <c r="Q266" t="str">
        <f>VLOOKUP(B266,Customers!A:J,8,0)</f>
        <v>Male</v>
      </c>
      <c r="R266" t="b">
        <f t="shared" si="8"/>
        <v>1</v>
      </c>
      <c r="S266" s="18">
        <f t="shared" si="9"/>
        <v>44805</v>
      </c>
    </row>
    <row r="267" spans="1:19" x14ac:dyDescent="0.25">
      <c r="A267" s="6" t="s">
        <v>1171</v>
      </c>
      <c r="B267" s="7" t="s">
        <v>146</v>
      </c>
      <c r="C267" s="15">
        <v>45525</v>
      </c>
      <c r="D267" s="7" t="s">
        <v>667</v>
      </c>
      <c r="E267" s="7" t="s">
        <v>699</v>
      </c>
      <c r="F267" s="7">
        <v>89.99</v>
      </c>
      <c r="G267" s="7">
        <v>1</v>
      </c>
      <c r="H267" s="7">
        <v>0</v>
      </c>
      <c r="I267" s="7">
        <v>89.99</v>
      </c>
      <c r="J267" s="7">
        <v>89.99</v>
      </c>
      <c r="K267" s="7" t="s">
        <v>661</v>
      </c>
      <c r="L267" s="7" t="s">
        <v>656</v>
      </c>
      <c r="M267" s="8">
        <v>5</v>
      </c>
      <c r="N267">
        <f>VLOOKUP(B267,Customers!A:J,7,0)</f>
        <v>33</v>
      </c>
      <c r="O267" t="str">
        <f>VLOOKUP(B267,Customers!A:J,5,0)</f>
        <v>Phoenix</v>
      </c>
      <c r="P267" t="str">
        <f>VLOOKUP(B267,Customers!A:J,10,0)</f>
        <v>Silver</v>
      </c>
      <c r="Q267" t="str">
        <f>VLOOKUP(B267,Customers!A:J,8,0)</f>
        <v>Male</v>
      </c>
      <c r="R267" t="b">
        <f t="shared" si="8"/>
        <v>1</v>
      </c>
      <c r="S267" s="18">
        <f t="shared" si="9"/>
        <v>45505</v>
      </c>
    </row>
    <row r="268" spans="1:19" x14ac:dyDescent="0.25">
      <c r="A268" s="3" t="s">
        <v>1173</v>
      </c>
      <c r="B268" s="4" t="s">
        <v>146</v>
      </c>
      <c r="C268" s="14">
        <v>45132</v>
      </c>
      <c r="D268" s="4" t="s">
        <v>710</v>
      </c>
      <c r="E268" s="4" t="s">
        <v>721</v>
      </c>
      <c r="F268" s="4">
        <v>24.99</v>
      </c>
      <c r="G268" s="4">
        <v>1</v>
      </c>
      <c r="H268" s="4">
        <v>0</v>
      </c>
      <c r="I268" s="4">
        <v>24.99</v>
      </c>
      <c r="J268" s="4">
        <v>24.99</v>
      </c>
      <c r="K268" s="4" t="s">
        <v>661</v>
      </c>
      <c r="L268" s="4" t="s">
        <v>656</v>
      </c>
      <c r="M268" s="5"/>
      <c r="N268">
        <f>VLOOKUP(B268,Customers!A:J,7,0)</f>
        <v>33</v>
      </c>
      <c r="O268" t="str">
        <f>VLOOKUP(B268,Customers!A:J,5,0)</f>
        <v>Phoenix</v>
      </c>
      <c r="P268" t="str">
        <f>VLOOKUP(B268,Customers!A:J,10,0)</f>
        <v>Silver</v>
      </c>
      <c r="Q268" t="str">
        <f>VLOOKUP(B268,Customers!A:J,8,0)</f>
        <v>Male</v>
      </c>
      <c r="R268" t="b">
        <f t="shared" si="8"/>
        <v>1</v>
      </c>
      <c r="S268" s="18">
        <f t="shared" si="9"/>
        <v>45108</v>
      </c>
    </row>
    <row r="269" spans="1:19" x14ac:dyDescent="0.25">
      <c r="A269" s="6" t="s">
        <v>1175</v>
      </c>
      <c r="B269" s="7" t="s">
        <v>146</v>
      </c>
      <c r="C269" s="15">
        <v>45395</v>
      </c>
      <c r="D269" s="7" t="s">
        <v>684</v>
      </c>
      <c r="E269" s="7" t="s">
        <v>685</v>
      </c>
      <c r="F269" s="7">
        <v>49.99</v>
      </c>
      <c r="G269" s="7">
        <v>3</v>
      </c>
      <c r="H269" s="7">
        <v>20</v>
      </c>
      <c r="I269" s="7">
        <v>39.99</v>
      </c>
      <c r="J269" s="7">
        <v>119.97</v>
      </c>
      <c r="K269" s="7" t="s">
        <v>675</v>
      </c>
      <c r="L269" s="7" t="s">
        <v>656</v>
      </c>
      <c r="M269" s="8"/>
      <c r="N269">
        <f>VLOOKUP(B269,Customers!A:J,7,0)</f>
        <v>33</v>
      </c>
      <c r="O269" t="str">
        <f>VLOOKUP(B269,Customers!A:J,5,0)</f>
        <v>Phoenix</v>
      </c>
      <c r="P269" t="str">
        <f>VLOOKUP(B269,Customers!A:J,10,0)</f>
        <v>Silver</v>
      </c>
      <c r="Q269" t="str">
        <f>VLOOKUP(B269,Customers!A:J,8,0)</f>
        <v>Male</v>
      </c>
      <c r="R269" t="b">
        <f t="shared" si="8"/>
        <v>1</v>
      </c>
      <c r="S269" s="18">
        <f t="shared" si="9"/>
        <v>45383</v>
      </c>
    </row>
    <row r="270" spans="1:19" x14ac:dyDescent="0.25">
      <c r="A270" s="3" t="s">
        <v>1177</v>
      </c>
      <c r="B270" s="4" t="s">
        <v>146</v>
      </c>
      <c r="C270" s="14">
        <v>45142</v>
      </c>
      <c r="D270" s="4" t="s">
        <v>710</v>
      </c>
      <c r="E270" s="4" t="s">
        <v>711</v>
      </c>
      <c r="F270" s="4">
        <v>14.99</v>
      </c>
      <c r="G270" s="4">
        <v>3</v>
      </c>
      <c r="H270" s="4">
        <v>5</v>
      </c>
      <c r="I270" s="4">
        <v>14.24</v>
      </c>
      <c r="J270" s="4">
        <v>42.72</v>
      </c>
      <c r="K270" s="4" t="s">
        <v>661</v>
      </c>
      <c r="L270" s="4" t="s">
        <v>656</v>
      </c>
      <c r="M270" s="5">
        <v>3</v>
      </c>
      <c r="N270">
        <f>VLOOKUP(B270,Customers!A:J,7,0)</f>
        <v>33</v>
      </c>
      <c r="O270" t="str">
        <f>VLOOKUP(B270,Customers!A:J,5,0)</f>
        <v>Phoenix</v>
      </c>
      <c r="P270" t="str">
        <f>VLOOKUP(B270,Customers!A:J,10,0)</f>
        <v>Silver</v>
      </c>
      <c r="Q270" t="str">
        <f>VLOOKUP(B270,Customers!A:J,8,0)</f>
        <v>Male</v>
      </c>
      <c r="R270" t="b">
        <f t="shared" si="8"/>
        <v>1</v>
      </c>
      <c r="S270" s="18">
        <f t="shared" si="9"/>
        <v>45139</v>
      </c>
    </row>
    <row r="271" spans="1:19" x14ac:dyDescent="0.25">
      <c r="A271" s="6" t="s">
        <v>1179</v>
      </c>
      <c r="B271" s="7" t="s">
        <v>146</v>
      </c>
      <c r="C271" s="15">
        <v>45033</v>
      </c>
      <c r="D271" s="7" t="s">
        <v>672</v>
      </c>
      <c r="E271" s="7" t="s">
        <v>673</v>
      </c>
      <c r="F271" s="7">
        <v>24.99</v>
      </c>
      <c r="G271" s="7">
        <v>3</v>
      </c>
      <c r="H271" s="7">
        <v>15</v>
      </c>
      <c r="I271" s="7">
        <v>21.24</v>
      </c>
      <c r="J271" s="7">
        <v>63.72</v>
      </c>
      <c r="K271" s="7" t="s">
        <v>669</v>
      </c>
      <c r="L271" s="7" t="s">
        <v>656</v>
      </c>
      <c r="M271" s="8">
        <v>4</v>
      </c>
      <c r="N271">
        <f>VLOOKUP(B271,Customers!A:J,7,0)</f>
        <v>33</v>
      </c>
      <c r="O271" t="str">
        <f>VLOOKUP(B271,Customers!A:J,5,0)</f>
        <v>Phoenix</v>
      </c>
      <c r="P271" t="str">
        <f>VLOOKUP(B271,Customers!A:J,10,0)</f>
        <v>Silver</v>
      </c>
      <c r="Q271" t="str">
        <f>VLOOKUP(B271,Customers!A:J,8,0)</f>
        <v>Male</v>
      </c>
      <c r="R271" t="b">
        <f t="shared" si="8"/>
        <v>1</v>
      </c>
      <c r="S271" s="18">
        <f t="shared" si="9"/>
        <v>45017</v>
      </c>
    </row>
    <row r="272" spans="1:19" x14ac:dyDescent="0.25">
      <c r="A272" s="3" t="s">
        <v>1181</v>
      </c>
      <c r="B272" s="4" t="s">
        <v>146</v>
      </c>
      <c r="C272" s="14">
        <v>45338</v>
      </c>
      <c r="D272" s="4" t="s">
        <v>667</v>
      </c>
      <c r="E272" s="4" t="s">
        <v>668</v>
      </c>
      <c r="F272" s="4">
        <v>64.989999999999995</v>
      </c>
      <c r="G272" s="4">
        <v>2</v>
      </c>
      <c r="H272" s="4">
        <v>15</v>
      </c>
      <c r="I272" s="4">
        <v>55.24</v>
      </c>
      <c r="J272" s="4">
        <v>110.48</v>
      </c>
      <c r="K272" s="4" t="s">
        <v>669</v>
      </c>
      <c r="L272" s="4" t="s">
        <v>656</v>
      </c>
      <c r="M272" s="5">
        <v>4</v>
      </c>
      <c r="N272">
        <f>VLOOKUP(B272,Customers!A:J,7,0)</f>
        <v>33</v>
      </c>
      <c r="O272" t="str">
        <f>VLOOKUP(B272,Customers!A:J,5,0)</f>
        <v>Phoenix</v>
      </c>
      <c r="P272" t="str">
        <f>VLOOKUP(B272,Customers!A:J,10,0)</f>
        <v>Silver</v>
      </c>
      <c r="Q272" t="str">
        <f>VLOOKUP(B272,Customers!A:J,8,0)</f>
        <v>Male</v>
      </c>
      <c r="R272" t="b">
        <f t="shared" si="8"/>
        <v>1</v>
      </c>
      <c r="S272" s="18">
        <f t="shared" si="9"/>
        <v>45323</v>
      </c>
    </row>
    <row r="273" spans="1:19" x14ac:dyDescent="0.25">
      <c r="A273" s="6" t="s">
        <v>1183</v>
      </c>
      <c r="B273" s="7" t="s">
        <v>149</v>
      </c>
      <c r="C273" s="15">
        <v>45532</v>
      </c>
      <c r="D273" s="7" t="s">
        <v>653</v>
      </c>
      <c r="E273" s="7" t="s">
        <v>769</v>
      </c>
      <c r="F273" s="7">
        <v>49.99</v>
      </c>
      <c r="G273" s="7">
        <v>3</v>
      </c>
      <c r="H273" s="7">
        <v>0</v>
      </c>
      <c r="I273" s="7">
        <v>49.99</v>
      </c>
      <c r="J273" s="7">
        <v>149.97</v>
      </c>
      <c r="K273" s="7" t="s">
        <v>669</v>
      </c>
      <c r="L273" s="7" t="s">
        <v>656</v>
      </c>
      <c r="M273" s="8"/>
      <c r="N273">
        <f>VLOOKUP(B273,Customers!A:J,7,0)</f>
        <v>36</v>
      </c>
      <c r="O273" t="str">
        <f>VLOOKUP(B273,Customers!A:J,5,0)</f>
        <v>Los Angeles</v>
      </c>
      <c r="P273" t="str">
        <f>VLOOKUP(B273,Customers!A:J,10,0)</f>
        <v>Silver</v>
      </c>
      <c r="Q273" t="str">
        <f>VLOOKUP(B273,Customers!A:J,8,0)</f>
        <v>Female</v>
      </c>
      <c r="R273" t="b">
        <f t="shared" si="8"/>
        <v>1</v>
      </c>
      <c r="S273" s="18">
        <f t="shared" si="9"/>
        <v>45505</v>
      </c>
    </row>
    <row r="274" spans="1:19" x14ac:dyDescent="0.25">
      <c r="A274" s="3" t="s">
        <v>1185</v>
      </c>
      <c r="B274" s="4" t="s">
        <v>149</v>
      </c>
      <c r="C274" s="14">
        <v>44754</v>
      </c>
      <c r="D274" s="4" t="s">
        <v>659</v>
      </c>
      <c r="E274" s="4" t="s">
        <v>820</v>
      </c>
      <c r="F274" s="4">
        <v>39.99</v>
      </c>
      <c r="G274" s="4">
        <v>3</v>
      </c>
      <c r="H274" s="4">
        <v>0</v>
      </c>
      <c r="I274" s="4">
        <v>39.99</v>
      </c>
      <c r="J274" s="4">
        <v>119.97</v>
      </c>
      <c r="K274" s="4" t="s">
        <v>655</v>
      </c>
      <c r="L274" s="4" t="s">
        <v>656</v>
      </c>
      <c r="M274" s="5"/>
      <c r="N274">
        <f>VLOOKUP(B274,Customers!A:J,7,0)</f>
        <v>36</v>
      </c>
      <c r="O274" t="str">
        <f>VLOOKUP(B274,Customers!A:J,5,0)</f>
        <v>Los Angeles</v>
      </c>
      <c r="P274" t="str">
        <f>VLOOKUP(B274,Customers!A:J,10,0)</f>
        <v>Silver</v>
      </c>
      <c r="Q274" t="str">
        <f>VLOOKUP(B274,Customers!A:J,8,0)</f>
        <v>Female</v>
      </c>
      <c r="R274" t="b">
        <f t="shared" si="8"/>
        <v>1</v>
      </c>
      <c r="S274" s="18">
        <f t="shared" si="9"/>
        <v>44743</v>
      </c>
    </row>
    <row r="275" spans="1:19" x14ac:dyDescent="0.25">
      <c r="A275" s="6" t="s">
        <v>1186</v>
      </c>
      <c r="B275" s="7" t="s">
        <v>149</v>
      </c>
      <c r="C275" s="15">
        <v>44764</v>
      </c>
      <c r="D275" s="7" t="s">
        <v>710</v>
      </c>
      <c r="E275" s="7" t="s">
        <v>744</v>
      </c>
      <c r="F275" s="7">
        <v>29.99</v>
      </c>
      <c r="G275" s="7">
        <v>1</v>
      </c>
      <c r="H275" s="7">
        <v>0</v>
      </c>
      <c r="I275" s="7">
        <v>29.99</v>
      </c>
      <c r="J275" s="7">
        <v>29.99</v>
      </c>
      <c r="K275" s="7" t="s">
        <v>661</v>
      </c>
      <c r="L275" s="7" t="s">
        <v>693</v>
      </c>
      <c r="M275" s="8"/>
      <c r="N275">
        <f>VLOOKUP(B275,Customers!A:J,7,0)</f>
        <v>36</v>
      </c>
      <c r="O275" t="str">
        <f>VLOOKUP(B275,Customers!A:J,5,0)</f>
        <v>Los Angeles</v>
      </c>
      <c r="P275" t="str">
        <f>VLOOKUP(B275,Customers!A:J,10,0)</f>
        <v>Silver</v>
      </c>
      <c r="Q275" t="str">
        <f>VLOOKUP(B275,Customers!A:J,8,0)</f>
        <v>Female</v>
      </c>
      <c r="R275" t="b">
        <f t="shared" si="8"/>
        <v>1</v>
      </c>
      <c r="S275" s="18">
        <f t="shared" si="9"/>
        <v>44743</v>
      </c>
    </row>
    <row r="276" spans="1:19" x14ac:dyDescent="0.25">
      <c r="A276" s="3" t="s">
        <v>1187</v>
      </c>
      <c r="B276" s="4" t="s">
        <v>149</v>
      </c>
      <c r="C276" s="14">
        <v>45588</v>
      </c>
      <c r="D276" s="4" t="s">
        <v>659</v>
      </c>
      <c r="E276" s="4" t="s">
        <v>820</v>
      </c>
      <c r="F276" s="4">
        <v>39.99</v>
      </c>
      <c r="G276" s="4">
        <v>4</v>
      </c>
      <c r="H276" s="4">
        <v>0</v>
      </c>
      <c r="I276" s="4">
        <v>39.99</v>
      </c>
      <c r="J276" s="4">
        <v>159.96</v>
      </c>
      <c r="K276" s="4" t="s">
        <v>669</v>
      </c>
      <c r="L276" s="4" t="s">
        <v>656</v>
      </c>
      <c r="M276" s="5">
        <v>4</v>
      </c>
      <c r="N276">
        <f>VLOOKUP(B276,Customers!A:J,7,0)</f>
        <v>36</v>
      </c>
      <c r="O276" t="str">
        <f>VLOOKUP(B276,Customers!A:J,5,0)</f>
        <v>Los Angeles</v>
      </c>
      <c r="P276" t="str">
        <f>VLOOKUP(B276,Customers!A:J,10,0)</f>
        <v>Silver</v>
      </c>
      <c r="Q276" t="str">
        <f>VLOOKUP(B276,Customers!A:J,8,0)</f>
        <v>Female</v>
      </c>
      <c r="R276" t="b">
        <f t="shared" si="8"/>
        <v>1</v>
      </c>
      <c r="S276" s="18">
        <f t="shared" si="9"/>
        <v>45566</v>
      </c>
    </row>
    <row r="277" spans="1:19" x14ac:dyDescent="0.25">
      <c r="A277" s="6" t="s">
        <v>1189</v>
      </c>
      <c r="B277" s="7" t="s">
        <v>149</v>
      </c>
      <c r="C277" s="15">
        <v>44903</v>
      </c>
      <c r="D277" s="7" t="s">
        <v>659</v>
      </c>
      <c r="E277" s="7" t="s">
        <v>660</v>
      </c>
      <c r="F277" s="7">
        <v>19.989999999999998</v>
      </c>
      <c r="G277" s="7">
        <v>1</v>
      </c>
      <c r="H277" s="7">
        <v>15</v>
      </c>
      <c r="I277" s="7">
        <v>16.989999999999998</v>
      </c>
      <c r="J277" s="7">
        <v>16.989999999999998</v>
      </c>
      <c r="K277" s="7" t="s">
        <v>675</v>
      </c>
      <c r="L277" s="7" t="s">
        <v>656</v>
      </c>
      <c r="M277" s="8">
        <v>4</v>
      </c>
      <c r="N277">
        <f>VLOOKUP(B277,Customers!A:J,7,0)</f>
        <v>36</v>
      </c>
      <c r="O277" t="str">
        <f>VLOOKUP(B277,Customers!A:J,5,0)</f>
        <v>Los Angeles</v>
      </c>
      <c r="P277" t="str">
        <f>VLOOKUP(B277,Customers!A:J,10,0)</f>
        <v>Silver</v>
      </c>
      <c r="Q277" t="str">
        <f>VLOOKUP(B277,Customers!A:J,8,0)</f>
        <v>Female</v>
      </c>
      <c r="R277" t="b">
        <f t="shared" si="8"/>
        <v>1</v>
      </c>
      <c r="S277" s="18">
        <f t="shared" si="9"/>
        <v>44896</v>
      </c>
    </row>
    <row r="278" spans="1:19" x14ac:dyDescent="0.25">
      <c r="A278" s="3" t="s">
        <v>1190</v>
      </c>
      <c r="B278" s="4" t="s">
        <v>149</v>
      </c>
      <c r="C278" s="14">
        <v>45156</v>
      </c>
      <c r="D278" s="4" t="s">
        <v>680</v>
      </c>
      <c r="E278" s="4" t="s">
        <v>688</v>
      </c>
      <c r="F278" s="4">
        <v>29.99</v>
      </c>
      <c r="G278" s="4">
        <v>4</v>
      </c>
      <c r="H278" s="4">
        <v>5</v>
      </c>
      <c r="I278" s="4">
        <v>28.49</v>
      </c>
      <c r="J278" s="4">
        <v>113.96</v>
      </c>
      <c r="K278" s="4" t="s">
        <v>682</v>
      </c>
      <c r="L278" s="4" t="s">
        <v>656</v>
      </c>
      <c r="M278" s="5">
        <v>4</v>
      </c>
      <c r="N278">
        <f>VLOOKUP(B278,Customers!A:J,7,0)</f>
        <v>36</v>
      </c>
      <c r="O278" t="str">
        <f>VLOOKUP(B278,Customers!A:J,5,0)</f>
        <v>Los Angeles</v>
      </c>
      <c r="P278" t="str">
        <f>VLOOKUP(B278,Customers!A:J,10,0)</f>
        <v>Silver</v>
      </c>
      <c r="Q278" t="str">
        <f>VLOOKUP(B278,Customers!A:J,8,0)</f>
        <v>Female</v>
      </c>
      <c r="R278" t="b">
        <f t="shared" si="8"/>
        <v>1</v>
      </c>
      <c r="S278" s="18">
        <f t="shared" si="9"/>
        <v>45139</v>
      </c>
    </row>
    <row r="279" spans="1:19" x14ac:dyDescent="0.25">
      <c r="A279" s="6" t="s">
        <v>1191</v>
      </c>
      <c r="B279" s="7" t="s">
        <v>149</v>
      </c>
      <c r="C279" s="15">
        <v>45134</v>
      </c>
      <c r="D279" s="7" t="s">
        <v>653</v>
      </c>
      <c r="E279" s="7" t="s">
        <v>727</v>
      </c>
      <c r="F279" s="7">
        <v>14.99</v>
      </c>
      <c r="G279" s="7">
        <v>4</v>
      </c>
      <c r="H279" s="7">
        <v>0</v>
      </c>
      <c r="I279" s="7">
        <v>14.99</v>
      </c>
      <c r="J279" s="7">
        <v>59.96</v>
      </c>
      <c r="K279" s="7" t="s">
        <v>661</v>
      </c>
      <c r="L279" s="7" t="s">
        <v>656</v>
      </c>
      <c r="M279" s="8"/>
      <c r="N279">
        <f>VLOOKUP(B279,Customers!A:J,7,0)</f>
        <v>36</v>
      </c>
      <c r="O279" t="str">
        <f>VLOOKUP(B279,Customers!A:J,5,0)</f>
        <v>Los Angeles</v>
      </c>
      <c r="P279" t="str">
        <f>VLOOKUP(B279,Customers!A:J,10,0)</f>
        <v>Silver</v>
      </c>
      <c r="Q279" t="str">
        <f>VLOOKUP(B279,Customers!A:J,8,0)</f>
        <v>Female</v>
      </c>
      <c r="R279" t="b">
        <f t="shared" si="8"/>
        <v>1</v>
      </c>
      <c r="S279" s="18">
        <f t="shared" si="9"/>
        <v>45108</v>
      </c>
    </row>
    <row r="280" spans="1:19" x14ac:dyDescent="0.25">
      <c r="A280" s="3" t="s">
        <v>1192</v>
      </c>
      <c r="B280" s="4" t="s">
        <v>149</v>
      </c>
      <c r="C280" s="14">
        <v>45326</v>
      </c>
      <c r="D280" s="4" t="s">
        <v>653</v>
      </c>
      <c r="E280" s="4" t="s">
        <v>727</v>
      </c>
      <c r="F280" s="4">
        <v>14.99</v>
      </c>
      <c r="G280" s="4">
        <v>3</v>
      </c>
      <c r="H280" s="4">
        <v>10</v>
      </c>
      <c r="I280" s="4">
        <v>13.49</v>
      </c>
      <c r="J280" s="4">
        <v>40.47</v>
      </c>
      <c r="K280" s="4" t="s">
        <v>669</v>
      </c>
      <c r="L280" s="4" t="s">
        <v>656</v>
      </c>
      <c r="M280" s="5">
        <v>4</v>
      </c>
      <c r="N280">
        <f>VLOOKUP(B280,Customers!A:J,7,0)</f>
        <v>36</v>
      </c>
      <c r="O280" t="str">
        <f>VLOOKUP(B280,Customers!A:J,5,0)</f>
        <v>Los Angeles</v>
      </c>
      <c r="P280" t="str">
        <f>VLOOKUP(B280,Customers!A:J,10,0)</f>
        <v>Silver</v>
      </c>
      <c r="Q280" t="str">
        <f>VLOOKUP(B280,Customers!A:J,8,0)</f>
        <v>Female</v>
      </c>
      <c r="R280" t="b">
        <f t="shared" si="8"/>
        <v>1</v>
      </c>
      <c r="S280" s="18">
        <f t="shared" si="9"/>
        <v>45323</v>
      </c>
    </row>
    <row r="281" spans="1:19" x14ac:dyDescent="0.25">
      <c r="A281" s="6" t="s">
        <v>1194</v>
      </c>
      <c r="B281" s="7" t="s">
        <v>149</v>
      </c>
      <c r="C281" s="15">
        <v>45080</v>
      </c>
      <c r="D281" s="7" t="s">
        <v>710</v>
      </c>
      <c r="E281" s="7" t="s">
        <v>721</v>
      </c>
      <c r="F281" s="7">
        <v>24.99</v>
      </c>
      <c r="G281" s="7">
        <v>4</v>
      </c>
      <c r="H281" s="7">
        <v>0</v>
      </c>
      <c r="I281" s="7">
        <v>24.99</v>
      </c>
      <c r="J281" s="7">
        <v>99.96</v>
      </c>
      <c r="K281" s="7" t="s">
        <v>682</v>
      </c>
      <c r="L281" s="7" t="s">
        <v>656</v>
      </c>
      <c r="M281" s="8"/>
      <c r="N281">
        <f>VLOOKUP(B281,Customers!A:J,7,0)</f>
        <v>36</v>
      </c>
      <c r="O281" t="str">
        <f>VLOOKUP(B281,Customers!A:J,5,0)</f>
        <v>Los Angeles</v>
      </c>
      <c r="P281" t="str">
        <f>VLOOKUP(B281,Customers!A:J,10,0)</f>
        <v>Silver</v>
      </c>
      <c r="Q281" t="str">
        <f>VLOOKUP(B281,Customers!A:J,8,0)</f>
        <v>Female</v>
      </c>
      <c r="R281" t="b">
        <f t="shared" si="8"/>
        <v>1</v>
      </c>
      <c r="S281" s="18">
        <f t="shared" si="9"/>
        <v>45078</v>
      </c>
    </row>
    <row r="282" spans="1:19" x14ac:dyDescent="0.25">
      <c r="A282" s="3" t="s">
        <v>1196</v>
      </c>
      <c r="B282" s="4" t="s">
        <v>149</v>
      </c>
      <c r="C282" s="14">
        <v>44928</v>
      </c>
      <c r="D282" s="4" t="s">
        <v>659</v>
      </c>
      <c r="E282" s="4" t="s">
        <v>820</v>
      </c>
      <c r="F282" s="4">
        <v>39.99</v>
      </c>
      <c r="G282" s="4">
        <v>1</v>
      </c>
      <c r="H282" s="4">
        <v>5</v>
      </c>
      <c r="I282" s="4">
        <v>37.99</v>
      </c>
      <c r="J282" s="4">
        <v>37.99</v>
      </c>
      <c r="K282" s="4" t="s">
        <v>655</v>
      </c>
      <c r="L282" s="4" t="s">
        <v>656</v>
      </c>
      <c r="M282" s="5">
        <v>4</v>
      </c>
      <c r="N282">
        <f>VLOOKUP(B282,Customers!A:J,7,0)</f>
        <v>36</v>
      </c>
      <c r="O282" t="str">
        <f>VLOOKUP(B282,Customers!A:J,5,0)</f>
        <v>Los Angeles</v>
      </c>
      <c r="P282" t="str">
        <f>VLOOKUP(B282,Customers!A:J,10,0)</f>
        <v>Silver</v>
      </c>
      <c r="Q282" t="str">
        <f>VLOOKUP(B282,Customers!A:J,8,0)</f>
        <v>Female</v>
      </c>
      <c r="R282" t="b">
        <f t="shared" si="8"/>
        <v>1</v>
      </c>
      <c r="S282" s="18">
        <f t="shared" si="9"/>
        <v>44927</v>
      </c>
    </row>
    <row r="283" spans="1:19" x14ac:dyDescent="0.25">
      <c r="A283" s="6" t="s">
        <v>1198</v>
      </c>
      <c r="B283" s="7" t="s">
        <v>149</v>
      </c>
      <c r="C283" s="15">
        <v>45315</v>
      </c>
      <c r="D283" s="7" t="s">
        <v>684</v>
      </c>
      <c r="E283" s="7" t="s">
        <v>702</v>
      </c>
      <c r="F283" s="7">
        <v>199.99</v>
      </c>
      <c r="G283" s="7">
        <v>4</v>
      </c>
      <c r="H283" s="7">
        <v>20</v>
      </c>
      <c r="I283" s="7">
        <v>159.99</v>
      </c>
      <c r="J283" s="7">
        <v>639.96</v>
      </c>
      <c r="K283" s="7" t="s">
        <v>661</v>
      </c>
      <c r="L283" s="7" t="s">
        <v>656</v>
      </c>
      <c r="M283" s="8">
        <v>3</v>
      </c>
      <c r="N283">
        <f>VLOOKUP(B283,Customers!A:J,7,0)</f>
        <v>36</v>
      </c>
      <c r="O283" t="str">
        <f>VLOOKUP(B283,Customers!A:J,5,0)</f>
        <v>Los Angeles</v>
      </c>
      <c r="P283" t="str">
        <f>VLOOKUP(B283,Customers!A:J,10,0)</f>
        <v>Silver</v>
      </c>
      <c r="Q283" t="str">
        <f>VLOOKUP(B283,Customers!A:J,8,0)</f>
        <v>Female</v>
      </c>
      <c r="R283" t="b">
        <f t="shared" si="8"/>
        <v>1</v>
      </c>
      <c r="S283" s="18">
        <f t="shared" si="9"/>
        <v>45292</v>
      </c>
    </row>
    <row r="284" spans="1:19" x14ac:dyDescent="0.25">
      <c r="A284" s="3" t="s">
        <v>1200</v>
      </c>
      <c r="B284" s="4" t="s">
        <v>149</v>
      </c>
      <c r="C284" s="14">
        <v>44910</v>
      </c>
      <c r="D284" s="4" t="s">
        <v>653</v>
      </c>
      <c r="E284" s="4" t="s">
        <v>727</v>
      </c>
      <c r="F284" s="4">
        <v>14.99</v>
      </c>
      <c r="G284" s="4">
        <v>1</v>
      </c>
      <c r="H284" s="4">
        <v>5</v>
      </c>
      <c r="I284" s="4">
        <v>14.24</v>
      </c>
      <c r="J284" s="4">
        <v>14.24</v>
      </c>
      <c r="K284" s="4" t="s">
        <v>661</v>
      </c>
      <c r="L284" s="4" t="s">
        <v>656</v>
      </c>
      <c r="M284" s="5">
        <v>5</v>
      </c>
      <c r="N284">
        <f>VLOOKUP(B284,Customers!A:J,7,0)</f>
        <v>36</v>
      </c>
      <c r="O284" t="str">
        <f>VLOOKUP(B284,Customers!A:J,5,0)</f>
        <v>Los Angeles</v>
      </c>
      <c r="P284" t="str">
        <f>VLOOKUP(B284,Customers!A:J,10,0)</f>
        <v>Silver</v>
      </c>
      <c r="Q284" t="str">
        <f>VLOOKUP(B284,Customers!A:J,8,0)</f>
        <v>Female</v>
      </c>
      <c r="R284" t="b">
        <f t="shared" si="8"/>
        <v>1</v>
      </c>
      <c r="S284" s="18">
        <f t="shared" si="9"/>
        <v>44896</v>
      </c>
    </row>
    <row r="285" spans="1:19" x14ac:dyDescent="0.25">
      <c r="A285" s="6" t="s">
        <v>1202</v>
      </c>
      <c r="B285" s="7" t="s">
        <v>149</v>
      </c>
      <c r="C285" s="15">
        <v>45004</v>
      </c>
      <c r="D285" s="7" t="s">
        <v>710</v>
      </c>
      <c r="E285" s="7" t="s">
        <v>744</v>
      </c>
      <c r="F285" s="7">
        <v>29.99</v>
      </c>
      <c r="G285" s="7">
        <v>3</v>
      </c>
      <c r="H285" s="7">
        <v>0</v>
      </c>
      <c r="I285" s="7">
        <v>29.99</v>
      </c>
      <c r="J285" s="7">
        <v>89.97</v>
      </c>
      <c r="K285" s="7" t="s">
        <v>675</v>
      </c>
      <c r="L285" s="7" t="s">
        <v>656</v>
      </c>
      <c r="M285" s="8"/>
      <c r="N285">
        <f>VLOOKUP(B285,Customers!A:J,7,0)</f>
        <v>36</v>
      </c>
      <c r="O285" t="str">
        <f>VLOOKUP(B285,Customers!A:J,5,0)</f>
        <v>Los Angeles</v>
      </c>
      <c r="P285" t="str">
        <f>VLOOKUP(B285,Customers!A:J,10,0)</f>
        <v>Silver</v>
      </c>
      <c r="Q285" t="str">
        <f>VLOOKUP(B285,Customers!A:J,8,0)</f>
        <v>Female</v>
      </c>
      <c r="R285" t="b">
        <f t="shared" si="8"/>
        <v>1</v>
      </c>
      <c r="S285" s="18">
        <f t="shared" si="9"/>
        <v>44986</v>
      </c>
    </row>
    <row r="286" spans="1:19" x14ac:dyDescent="0.25">
      <c r="A286" s="3" t="s">
        <v>1204</v>
      </c>
      <c r="B286" s="4" t="s">
        <v>152</v>
      </c>
      <c r="C286" s="14">
        <v>44774</v>
      </c>
      <c r="D286" s="4" t="s">
        <v>653</v>
      </c>
      <c r="E286" s="4" t="s">
        <v>654</v>
      </c>
      <c r="F286" s="4">
        <v>39.99</v>
      </c>
      <c r="G286" s="4">
        <v>3</v>
      </c>
      <c r="H286" s="4">
        <v>5</v>
      </c>
      <c r="I286" s="4">
        <v>37.99</v>
      </c>
      <c r="J286" s="4">
        <v>113.97</v>
      </c>
      <c r="K286" s="4" t="s">
        <v>655</v>
      </c>
      <c r="L286" s="4" t="s">
        <v>739</v>
      </c>
      <c r="M286" s="5">
        <v>5</v>
      </c>
      <c r="N286">
        <f>VLOOKUP(B286,Customers!A:J,7,0)</f>
        <v>61</v>
      </c>
      <c r="O286" t="str">
        <f>VLOOKUP(B286,Customers!A:J,5,0)</f>
        <v>San Jose</v>
      </c>
      <c r="P286" t="str">
        <f>VLOOKUP(B286,Customers!A:J,10,0)</f>
        <v>Gold</v>
      </c>
      <c r="Q286" t="str">
        <f>VLOOKUP(B286,Customers!A:J,8,0)</f>
        <v>Female</v>
      </c>
      <c r="R286" t="b">
        <f t="shared" si="8"/>
        <v>1</v>
      </c>
      <c r="S286" s="18">
        <f t="shared" si="9"/>
        <v>44774</v>
      </c>
    </row>
    <row r="287" spans="1:19" x14ac:dyDescent="0.25">
      <c r="A287" s="6" t="s">
        <v>1206</v>
      </c>
      <c r="B287" s="7" t="s">
        <v>152</v>
      </c>
      <c r="C287" s="15">
        <v>45580</v>
      </c>
      <c r="D287" s="7" t="s">
        <v>659</v>
      </c>
      <c r="E287" s="7" t="s">
        <v>664</v>
      </c>
      <c r="F287" s="7">
        <v>24.99</v>
      </c>
      <c r="G287" s="7">
        <v>4</v>
      </c>
      <c r="H287" s="7">
        <v>0</v>
      </c>
      <c r="I287" s="7">
        <v>24.99</v>
      </c>
      <c r="J287" s="7">
        <v>99.96</v>
      </c>
      <c r="K287" s="7" t="s">
        <v>661</v>
      </c>
      <c r="L287" s="7" t="s">
        <v>656</v>
      </c>
      <c r="M287" s="8"/>
      <c r="N287">
        <f>VLOOKUP(B287,Customers!A:J,7,0)</f>
        <v>61</v>
      </c>
      <c r="O287" t="str">
        <f>VLOOKUP(B287,Customers!A:J,5,0)</f>
        <v>San Jose</v>
      </c>
      <c r="P287" t="str">
        <f>VLOOKUP(B287,Customers!A:J,10,0)</f>
        <v>Gold</v>
      </c>
      <c r="Q287" t="str">
        <f>VLOOKUP(B287,Customers!A:J,8,0)</f>
        <v>Female</v>
      </c>
      <c r="R287" t="b">
        <f t="shared" si="8"/>
        <v>1</v>
      </c>
      <c r="S287" s="18">
        <f t="shared" si="9"/>
        <v>45566</v>
      </c>
    </row>
    <row r="288" spans="1:19" x14ac:dyDescent="0.25">
      <c r="A288" s="3" t="s">
        <v>1208</v>
      </c>
      <c r="B288" s="4" t="s">
        <v>152</v>
      </c>
      <c r="C288" s="14">
        <v>44565</v>
      </c>
      <c r="D288" s="4" t="s">
        <v>684</v>
      </c>
      <c r="E288" s="4" t="s">
        <v>705</v>
      </c>
      <c r="F288" s="4">
        <v>79.989999999999995</v>
      </c>
      <c r="G288" s="4">
        <v>1</v>
      </c>
      <c r="H288" s="4">
        <v>15</v>
      </c>
      <c r="I288" s="4">
        <v>67.989999999999995</v>
      </c>
      <c r="J288" s="4">
        <v>67.989999999999995</v>
      </c>
      <c r="K288" s="4" t="s">
        <v>655</v>
      </c>
      <c r="L288" s="4" t="s">
        <v>656</v>
      </c>
      <c r="M288" s="5">
        <v>5</v>
      </c>
      <c r="N288">
        <f>VLOOKUP(B288,Customers!A:J,7,0)</f>
        <v>61</v>
      </c>
      <c r="O288" t="str">
        <f>VLOOKUP(B288,Customers!A:J,5,0)</f>
        <v>San Jose</v>
      </c>
      <c r="P288" t="str">
        <f>VLOOKUP(B288,Customers!A:J,10,0)</f>
        <v>Gold</v>
      </c>
      <c r="Q288" t="str">
        <f>VLOOKUP(B288,Customers!A:J,8,0)</f>
        <v>Female</v>
      </c>
      <c r="R288" t="b">
        <f t="shared" si="8"/>
        <v>1</v>
      </c>
      <c r="S288" s="18">
        <f t="shared" si="9"/>
        <v>44562</v>
      </c>
    </row>
    <row r="289" spans="1:19" x14ac:dyDescent="0.25">
      <c r="A289" s="6" t="s">
        <v>1210</v>
      </c>
      <c r="B289" s="7" t="s">
        <v>152</v>
      </c>
      <c r="C289" s="15">
        <v>44643</v>
      </c>
      <c r="D289" s="7" t="s">
        <v>710</v>
      </c>
      <c r="E289" s="7" t="s">
        <v>711</v>
      </c>
      <c r="F289" s="7">
        <v>14.99</v>
      </c>
      <c r="G289" s="7">
        <v>2</v>
      </c>
      <c r="H289" s="7">
        <v>0</v>
      </c>
      <c r="I289" s="7">
        <v>14.99</v>
      </c>
      <c r="J289" s="7">
        <v>29.98</v>
      </c>
      <c r="K289" s="7" t="s">
        <v>661</v>
      </c>
      <c r="L289" s="7" t="s">
        <v>656</v>
      </c>
      <c r="M289" s="8"/>
      <c r="N289">
        <f>VLOOKUP(B289,Customers!A:J,7,0)</f>
        <v>61</v>
      </c>
      <c r="O289" t="str">
        <f>VLOOKUP(B289,Customers!A:J,5,0)</f>
        <v>San Jose</v>
      </c>
      <c r="P289" t="str">
        <f>VLOOKUP(B289,Customers!A:J,10,0)</f>
        <v>Gold</v>
      </c>
      <c r="Q289" t="str">
        <f>VLOOKUP(B289,Customers!A:J,8,0)</f>
        <v>Female</v>
      </c>
      <c r="R289" t="b">
        <f t="shared" si="8"/>
        <v>1</v>
      </c>
      <c r="S289" s="18">
        <f t="shared" si="9"/>
        <v>44621</v>
      </c>
    </row>
    <row r="290" spans="1:19" x14ac:dyDescent="0.25">
      <c r="A290" s="3" t="s">
        <v>1212</v>
      </c>
      <c r="B290" s="4" t="s">
        <v>155</v>
      </c>
      <c r="C290" s="14">
        <v>45568</v>
      </c>
      <c r="D290" s="4" t="s">
        <v>672</v>
      </c>
      <c r="E290" s="4" t="s">
        <v>673</v>
      </c>
      <c r="F290" s="4">
        <v>24.99</v>
      </c>
      <c r="G290" s="4">
        <v>2</v>
      </c>
      <c r="H290" s="4">
        <v>0</v>
      </c>
      <c r="I290" s="4">
        <v>24.99</v>
      </c>
      <c r="J290" s="4">
        <v>49.98</v>
      </c>
      <c r="K290" s="4" t="s">
        <v>661</v>
      </c>
      <c r="L290" s="4" t="s">
        <v>656</v>
      </c>
      <c r="M290" s="5">
        <v>5</v>
      </c>
      <c r="N290">
        <f>VLOOKUP(B290,Customers!A:J,7,0)</f>
        <v>42</v>
      </c>
      <c r="O290" t="str">
        <f>VLOOKUP(B290,Customers!A:J,5,0)</f>
        <v>Philadelphia</v>
      </c>
      <c r="P290" t="str">
        <f>VLOOKUP(B290,Customers!A:J,10,0)</f>
        <v>Silver</v>
      </c>
      <c r="Q290" t="str">
        <f>VLOOKUP(B290,Customers!A:J,8,0)</f>
        <v>Female</v>
      </c>
      <c r="R290" t="b">
        <f t="shared" si="8"/>
        <v>1</v>
      </c>
      <c r="S290" s="18">
        <f t="shared" si="9"/>
        <v>45566</v>
      </c>
    </row>
    <row r="291" spans="1:19" x14ac:dyDescent="0.25">
      <c r="A291" s="6" t="s">
        <v>1214</v>
      </c>
      <c r="B291" s="7" t="s">
        <v>155</v>
      </c>
      <c r="C291" s="15">
        <v>45484</v>
      </c>
      <c r="D291" s="7" t="s">
        <v>672</v>
      </c>
      <c r="E291" s="7" t="s">
        <v>724</v>
      </c>
      <c r="F291" s="7">
        <v>89.99</v>
      </c>
      <c r="G291" s="7">
        <v>3</v>
      </c>
      <c r="H291" s="7">
        <v>0</v>
      </c>
      <c r="I291" s="7">
        <v>89.99</v>
      </c>
      <c r="J291" s="7">
        <v>269.97000000000003</v>
      </c>
      <c r="K291" s="7" t="s">
        <v>661</v>
      </c>
      <c r="L291" s="7" t="s">
        <v>788</v>
      </c>
      <c r="M291" s="8"/>
      <c r="N291">
        <f>VLOOKUP(B291,Customers!A:J,7,0)</f>
        <v>42</v>
      </c>
      <c r="O291" t="str">
        <f>VLOOKUP(B291,Customers!A:J,5,0)</f>
        <v>Philadelphia</v>
      </c>
      <c r="P291" t="str">
        <f>VLOOKUP(B291,Customers!A:J,10,0)</f>
        <v>Silver</v>
      </c>
      <c r="Q291" t="str">
        <f>VLOOKUP(B291,Customers!A:J,8,0)</f>
        <v>Female</v>
      </c>
      <c r="R291" t="b">
        <f t="shared" si="8"/>
        <v>1</v>
      </c>
      <c r="S291" s="18">
        <f t="shared" si="9"/>
        <v>45474</v>
      </c>
    </row>
    <row r="292" spans="1:19" x14ac:dyDescent="0.25">
      <c r="A292" s="3" t="s">
        <v>1215</v>
      </c>
      <c r="B292" s="4" t="s">
        <v>155</v>
      </c>
      <c r="C292" s="14">
        <v>44853</v>
      </c>
      <c r="D292" s="4" t="s">
        <v>680</v>
      </c>
      <c r="E292" s="4" t="s">
        <v>749</v>
      </c>
      <c r="F292" s="4">
        <v>14.99</v>
      </c>
      <c r="G292" s="4">
        <v>2</v>
      </c>
      <c r="H292" s="4">
        <v>0</v>
      </c>
      <c r="I292" s="4">
        <v>14.99</v>
      </c>
      <c r="J292" s="4">
        <v>29.98</v>
      </c>
      <c r="K292" s="4" t="s">
        <v>675</v>
      </c>
      <c r="L292" s="4" t="s">
        <v>656</v>
      </c>
      <c r="M292" s="5">
        <v>4</v>
      </c>
      <c r="N292">
        <f>VLOOKUP(B292,Customers!A:J,7,0)</f>
        <v>42</v>
      </c>
      <c r="O292" t="str">
        <f>VLOOKUP(B292,Customers!A:J,5,0)</f>
        <v>Philadelphia</v>
      </c>
      <c r="P292" t="str">
        <f>VLOOKUP(B292,Customers!A:J,10,0)</f>
        <v>Silver</v>
      </c>
      <c r="Q292" t="str">
        <f>VLOOKUP(B292,Customers!A:J,8,0)</f>
        <v>Female</v>
      </c>
      <c r="R292" t="b">
        <f t="shared" si="8"/>
        <v>1</v>
      </c>
      <c r="S292" s="18">
        <f t="shared" si="9"/>
        <v>44835</v>
      </c>
    </row>
    <row r="293" spans="1:19" x14ac:dyDescent="0.25">
      <c r="A293" s="6" t="s">
        <v>1217</v>
      </c>
      <c r="B293" s="7" t="s">
        <v>155</v>
      </c>
      <c r="C293" s="15">
        <v>44611</v>
      </c>
      <c r="D293" s="7" t="s">
        <v>680</v>
      </c>
      <c r="E293" s="7" t="s">
        <v>681</v>
      </c>
      <c r="F293" s="7">
        <v>19.989999999999998</v>
      </c>
      <c r="G293" s="7">
        <v>2</v>
      </c>
      <c r="H293" s="7">
        <v>0</v>
      </c>
      <c r="I293" s="7">
        <v>19.989999999999998</v>
      </c>
      <c r="J293" s="7">
        <v>39.979999999999997</v>
      </c>
      <c r="K293" s="7" t="s">
        <v>675</v>
      </c>
      <c r="L293" s="7" t="s">
        <v>693</v>
      </c>
      <c r="M293" s="8">
        <v>5</v>
      </c>
      <c r="N293">
        <f>VLOOKUP(B293,Customers!A:J,7,0)</f>
        <v>42</v>
      </c>
      <c r="O293" t="str">
        <f>VLOOKUP(B293,Customers!A:J,5,0)</f>
        <v>Philadelphia</v>
      </c>
      <c r="P293" t="str">
        <f>VLOOKUP(B293,Customers!A:J,10,0)</f>
        <v>Silver</v>
      </c>
      <c r="Q293" t="str">
        <f>VLOOKUP(B293,Customers!A:J,8,0)</f>
        <v>Female</v>
      </c>
      <c r="R293" t="b">
        <f t="shared" si="8"/>
        <v>1</v>
      </c>
      <c r="S293" s="18">
        <f t="shared" si="9"/>
        <v>44593</v>
      </c>
    </row>
    <row r="294" spans="1:19" x14ac:dyDescent="0.25">
      <c r="A294" s="3" t="s">
        <v>1218</v>
      </c>
      <c r="B294" s="4" t="s">
        <v>155</v>
      </c>
      <c r="C294" s="14">
        <v>45560</v>
      </c>
      <c r="D294" s="4" t="s">
        <v>680</v>
      </c>
      <c r="E294" s="4" t="s">
        <v>708</v>
      </c>
      <c r="F294" s="4">
        <v>24.99</v>
      </c>
      <c r="G294" s="4">
        <v>3</v>
      </c>
      <c r="H294" s="4">
        <v>0</v>
      </c>
      <c r="I294" s="4">
        <v>24.99</v>
      </c>
      <c r="J294" s="4">
        <v>74.97</v>
      </c>
      <c r="K294" s="4" t="s">
        <v>669</v>
      </c>
      <c r="L294" s="4" t="s">
        <v>656</v>
      </c>
      <c r="M294" s="5">
        <v>2</v>
      </c>
      <c r="N294">
        <f>VLOOKUP(B294,Customers!A:J,7,0)</f>
        <v>42</v>
      </c>
      <c r="O294" t="str">
        <f>VLOOKUP(B294,Customers!A:J,5,0)</f>
        <v>Philadelphia</v>
      </c>
      <c r="P294" t="str">
        <f>VLOOKUP(B294,Customers!A:J,10,0)</f>
        <v>Silver</v>
      </c>
      <c r="Q294" t="str">
        <f>VLOOKUP(B294,Customers!A:J,8,0)</f>
        <v>Female</v>
      </c>
      <c r="R294" t="b">
        <f t="shared" si="8"/>
        <v>1</v>
      </c>
      <c r="S294" s="18">
        <f t="shared" si="9"/>
        <v>45536</v>
      </c>
    </row>
    <row r="295" spans="1:19" x14ac:dyDescent="0.25">
      <c r="A295" s="6" t="s">
        <v>1220</v>
      </c>
      <c r="B295" s="7" t="s">
        <v>159</v>
      </c>
      <c r="C295" s="15">
        <v>45477</v>
      </c>
      <c r="D295" s="7" t="s">
        <v>672</v>
      </c>
      <c r="E295" s="7" t="s">
        <v>673</v>
      </c>
      <c r="F295" s="7">
        <v>24.99</v>
      </c>
      <c r="G295" s="7">
        <v>2</v>
      </c>
      <c r="H295" s="7">
        <v>0</v>
      </c>
      <c r="I295" s="7">
        <v>24.99</v>
      </c>
      <c r="J295" s="7">
        <v>49.98</v>
      </c>
      <c r="K295" s="7" t="s">
        <v>669</v>
      </c>
      <c r="L295" s="7" t="s">
        <v>656</v>
      </c>
      <c r="M295" s="8"/>
      <c r="N295">
        <f>VLOOKUP(B295,Customers!A:J,7,0)</f>
        <v>36</v>
      </c>
      <c r="O295" t="str">
        <f>VLOOKUP(B295,Customers!A:J,5,0)</f>
        <v>San Jose</v>
      </c>
      <c r="P295" t="str">
        <f>VLOOKUP(B295,Customers!A:J,10,0)</f>
        <v>Gold</v>
      </c>
      <c r="Q295" t="str">
        <f>VLOOKUP(B295,Customers!A:J,8,0)</f>
        <v>Female</v>
      </c>
      <c r="R295" t="b">
        <f t="shared" si="8"/>
        <v>1</v>
      </c>
      <c r="S295" s="18">
        <f t="shared" si="9"/>
        <v>45474</v>
      </c>
    </row>
    <row r="296" spans="1:19" x14ac:dyDescent="0.25">
      <c r="A296" s="3" t="s">
        <v>1222</v>
      </c>
      <c r="B296" s="4" t="s">
        <v>159</v>
      </c>
      <c r="C296" s="14">
        <v>45210</v>
      </c>
      <c r="D296" s="4" t="s">
        <v>653</v>
      </c>
      <c r="E296" s="4" t="s">
        <v>727</v>
      </c>
      <c r="F296" s="4">
        <v>14.99</v>
      </c>
      <c r="G296" s="4">
        <v>3</v>
      </c>
      <c r="H296" s="4">
        <v>0</v>
      </c>
      <c r="I296" s="4">
        <v>14.99</v>
      </c>
      <c r="J296" s="4">
        <v>44.97</v>
      </c>
      <c r="K296" s="4" t="s">
        <v>661</v>
      </c>
      <c r="L296" s="4" t="s">
        <v>656</v>
      </c>
      <c r="M296" s="5">
        <v>3</v>
      </c>
      <c r="N296">
        <f>VLOOKUP(B296,Customers!A:J,7,0)</f>
        <v>36</v>
      </c>
      <c r="O296" t="str">
        <f>VLOOKUP(B296,Customers!A:J,5,0)</f>
        <v>San Jose</v>
      </c>
      <c r="P296" t="str">
        <f>VLOOKUP(B296,Customers!A:J,10,0)</f>
        <v>Gold</v>
      </c>
      <c r="Q296" t="str">
        <f>VLOOKUP(B296,Customers!A:J,8,0)</f>
        <v>Female</v>
      </c>
      <c r="R296" t="b">
        <f t="shared" si="8"/>
        <v>1</v>
      </c>
      <c r="S296" s="18">
        <f t="shared" si="9"/>
        <v>45200</v>
      </c>
    </row>
    <row r="297" spans="1:19" x14ac:dyDescent="0.25">
      <c r="A297" s="6" t="s">
        <v>1223</v>
      </c>
      <c r="B297" s="7" t="s">
        <v>159</v>
      </c>
      <c r="C297" s="15">
        <v>45372</v>
      </c>
      <c r="D297" s="7" t="s">
        <v>684</v>
      </c>
      <c r="E297" s="7" t="s">
        <v>702</v>
      </c>
      <c r="F297" s="7">
        <v>199.99</v>
      </c>
      <c r="G297" s="7">
        <v>4</v>
      </c>
      <c r="H297" s="7">
        <v>15</v>
      </c>
      <c r="I297" s="7">
        <v>169.99</v>
      </c>
      <c r="J297" s="7">
        <v>679.96</v>
      </c>
      <c r="K297" s="7" t="s">
        <v>669</v>
      </c>
      <c r="L297" s="7" t="s">
        <v>656</v>
      </c>
      <c r="M297" s="8">
        <v>5</v>
      </c>
      <c r="N297">
        <f>VLOOKUP(B297,Customers!A:J,7,0)</f>
        <v>36</v>
      </c>
      <c r="O297" t="str">
        <f>VLOOKUP(B297,Customers!A:J,5,0)</f>
        <v>San Jose</v>
      </c>
      <c r="P297" t="str">
        <f>VLOOKUP(B297,Customers!A:J,10,0)</f>
        <v>Gold</v>
      </c>
      <c r="Q297" t="str">
        <f>VLOOKUP(B297,Customers!A:J,8,0)</f>
        <v>Female</v>
      </c>
      <c r="R297" t="b">
        <f t="shared" si="8"/>
        <v>1</v>
      </c>
      <c r="S297" s="18">
        <f t="shared" si="9"/>
        <v>45352</v>
      </c>
    </row>
    <row r="298" spans="1:19" x14ac:dyDescent="0.25">
      <c r="A298" s="3" t="s">
        <v>1225</v>
      </c>
      <c r="B298" s="4" t="s">
        <v>159</v>
      </c>
      <c r="C298" s="14">
        <v>45353</v>
      </c>
      <c r="D298" s="4" t="s">
        <v>684</v>
      </c>
      <c r="E298" s="4" t="s">
        <v>705</v>
      </c>
      <c r="F298" s="4">
        <v>79.989999999999995</v>
      </c>
      <c r="G298" s="4">
        <v>1</v>
      </c>
      <c r="H298" s="4">
        <v>15</v>
      </c>
      <c r="I298" s="4">
        <v>67.989999999999995</v>
      </c>
      <c r="J298" s="4">
        <v>67.989999999999995</v>
      </c>
      <c r="K298" s="4" t="s">
        <v>669</v>
      </c>
      <c r="L298" s="4" t="s">
        <v>656</v>
      </c>
      <c r="M298" s="5">
        <v>5</v>
      </c>
      <c r="N298">
        <f>VLOOKUP(B298,Customers!A:J,7,0)</f>
        <v>36</v>
      </c>
      <c r="O298" t="str">
        <f>VLOOKUP(B298,Customers!A:J,5,0)</f>
        <v>San Jose</v>
      </c>
      <c r="P298" t="str">
        <f>VLOOKUP(B298,Customers!A:J,10,0)</f>
        <v>Gold</v>
      </c>
      <c r="Q298" t="str">
        <f>VLOOKUP(B298,Customers!A:J,8,0)</f>
        <v>Female</v>
      </c>
      <c r="R298" t="b">
        <f t="shared" si="8"/>
        <v>1</v>
      </c>
      <c r="S298" s="18">
        <f t="shared" si="9"/>
        <v>45352</v>
      </c>
    </row>
    <row r="299" spans="1:19" x14ac:dyDescent="0.25">
      <c r="A299" s="6" t="s">
        <v>1226</v>
      </c>
      <c r="B299" s="7" t="s">
        <v>159</v>
      </c>
      <c r="C299" s="15">
        <v>44958</v>
      </c>
      <c r="D299" s="7" t="s">
        <v>667</v>
      </c>
      <c r="E299" s="7" t="s">
        <v>668</v>
      </c>
      <c r="F299" s="7">
        <v>64.989999999999995</v>
      </c>
      <c r="G299" s="7">
        <v>1</v>
      </c>
      <c r="H299" s="7">
        <v>0</v>
      </c>
      <c r="I299" s="7">
        <v>64.989999999999995</v>
      </c>
      <c r="J299" s="7">
        <v>64.989999999999995</v>
      </c>
      <c r="K299" s="7" t="s">
        <v>669</v>
      </c>
      <c r="L299" s="7" t="s">
        <v>656</v>
      </c>
      <c r="M299" s="8">
        <v>5</v>
      </c>
      <c r="N299">
        <f>VLOOKUP(B299,Customers!A:J,7,0)</f>
        <v>36</v>
      </c>
      <c r="O299" t="str">
        <f>VLOOKUP(B299,Customers!A:J,5,0)</f>
        <v>San Jose</v>
      </c>
      <c r="P299" t="str">
        <f>VLOOKUP(B299,Customers!A:J,10,0)</f>
        <v>Gold</v>
      </c>
      <c r="Q299" t="str">
        <f>VLOOKUP(B299,Customers!A:J,8,0)</f>
        <v>Female</v>
      </c>
      <c r="R299" t="b">
        <f t="shared" si="8"/>
        <v>1</v>
      </c>
      <c r="S299" s="18">
        <f t="shared" si="9"/>
        <v>44958</v>
      </c>
    </row>
    <row r="300" spans="1:19" x14ac:dyDescent="0.25">
      <c r="A300" s="3" t="s">
        <v>1227</v>
      </c>
      <c r="B300" s="4" t="s">
        <v>159</v>
      </c>
      <c r="C300" s="14">
        <v>44664</v>
      </c>
      <c r="D300" s="4" t="s">
        <v>710</v>
      </c>
      <c r="E300" s="4" t="s">
        <v>711</v>
      </c>
      <c r="F300" s="4">
        <v>14.99</v>
      </c>
      <c r="G300" s="4">
        <v>3</v>
      </c>
      <c r="H300" s="4">
        <v>5</v>
      </c>
      <c r="I300" s="4">
        <v>14.24</v>
      </c>
      <c r="J300" s="4">
        <v>42.72</v>
      </c>
      <c r="K300" s="4" t="s">
        <v>655</v>
      </c>
      <c r="L300" s="4" t="s">
        <v>656</v>
      </c>
      <c r="M300" s="5">
        <v>5</v>
      </c>
      <c r="N300">
        <f>VLOOKUP(B300,Customers!A:J,7,0)</f>
        <v>36</v>
      </c>
      <c r="O300" t="str">
        <f>VLOOKUP(B300,Customers!A:J,5,0)</f>
        <v>San Jose</v>
      </c>
      <c r="P300" t="str">
        <f>VLOOKUP(B300,Customers!A:J,10,0)</f>
        <v>Gold</v>
      </c>
      <c r="Q300" t="str">
        <f>VLOOKUP(B300,Customers!A:J,8,0)</f>
        <v>Female</v>
      </c>
      <c r="R300" t="b">
        <f t="shared" si="8"/>
        <v>1</v>
      </c>
      <c r="S300" s="18">
        <f t="shared" si="9"/>
        <v>44652</v>
      </c>
    </row>
    <row r="301" spans="1:19" x14ac:dyDescent="0.25">
      <c r="A301" s="6" t="s">
        <v>1228</v>
      </c>
      <c r="B301" s="7" t="s">
        <v>159</v>
      </c>
      <c r="C301" s="15">
        <v>44822</v>
      </c>
      <c r="D301" s="7" t="s">
        <v>680</v>
      </c>
      <c r="E301" s="7" t="s">
        <v>688</v>
      </c>
      <c r="F301" s="7">
        <v>29.99</v>
      </c>
      <c r="G301" s="7">
        <v>4</v>
      </c>
      <c r="H301" s="7">
        <v>15</v>
      </c>
      <c r="I301" s="7">
        <v>25.49</v>
      </c>
      <c r="J301" s="7">
        <v>101.96</v>
      </c>
      <c r="K301" s="7" t="s">
        <v>655</v>
      </c>
      <c r="L301" s="7" t="s">
        <v>656</v>
      </c>
      <c r="M301" s="8">
        <v>4</v>
      </c>
      <c r="N301">
        <f>VLOOKUP(B301,Customers!A:J,7,0)</f>
        <v>36</v>
      </c>
      <c r="O301" t="str">
        <f>VLOOKUP(B301,Customers!A:J,5,0)</f>
        <v>San Jose</v>
      </c>
      <c r="P301" t="str">
        <f>VLOOKUP(B301,Customers!A:J,10,0)</f>
        <v>Gold</v>
      </c>
      <c r="Q301" t="str">
        <f>VLOOKUP(B301,Customers!A:J,8,0)</f>
        <v>Female</v>
      </c>
      <c r="R301" t="b">
        <f t="shared" si="8"/>
        <v>1</v>
      </c>
      <c r="S301" s="18">
        <f t="shared" si="9"/>
        <v>44805</v>
      </c>
    </row>
    <row r="302" spans="1:19" x14ac:dyDescent="0.25">
      <c r="A302" s="3" t="s">
        <v>1230</v>
      </c>
      <c r="B302" s="4" t="s">
        <v>159</v>
      </c>
      <c r="C302" s="14">
        <v>45247</v>
      </c>
      <c r="D302" s="4" t="s">
        <v>680</v>
      </c>
      <c r="E302" s="4" t="s">
        <v>681</v>
      </c>
      <c r="F302" s="4">
        <v>19.989999999999998</v>
      </c>
      <c r="G302" s="4">
        <v>2</v>
      </c>
      <c r="H302" s="4">
        <v>20</v>
      </c>
      <c r="I302" s="4">
        <v>15.99</v>
      </c>
      <c r="J302" s="4">
        <v>31.98</v>
      </c>
      <c r="K302" s="4" t="s">
        <v>655</v>
      </c>
      <c r="L302" s="4" t="s">
        <v>788</v>
      </c>
      <c r="M302" s="5"/>
      <c r="N302">
        <f>VLOOKUP(B302,Customers!A:J,7,0)</f>
        <v>36</v>
      </c>
      <c r="O302" t="str">
        <f>VLOOKUP(B302,Customers!A:J,5,0)</f>
        <v>San Jose</v>
      </c>
      <c r="P302" t="str">
        <f>VLOOKUP(B302,Customers!A:J,10,0)</f>
        <v>Gold</v>
      </c>
      <c r="Q302" t="str">
        <f>VLOOKUP(B302,Customers!A:J,8,0)</f>
        <v>Female</v>
      </c>
      <c r="R302" t="b">
        <f t="shared" si="8"/>
        <v>1</v>
      </c>
      <c r="S302" s="18">
        <f t="shared" si="9"/>
        <v>45231</v>
      </c>
    </row>
    <row r="303" spans="1:19" x14ac:dyDescent="0.25">
      <c r="A303" s="6" t="s">
        <v>1232</v>
      </c>
      <c r="B303" s="7" t="s">
        <v>159</v>
      </c>
      <c r="C303" s="15">
        <v>45634</v>
      </c>
      <c r="D303" s="7" t="s">
        <v>659</v>
      </c>
      <c r="E303" s="7" t="s">
        <v>660</v>
      </c>
      <c r="F303" s="7">
        <v>19.989999999999998</v>
      </c>
      <c r="G303" s="7">
        <v>2</v>
      </c>
      <c r="H303" s="7">
        <v>5</v>
      </c>
      <c r="I303" s="7">
        <v>18.989999999999998</v>
      </c>
      <c r="J303" s="7">
        <v>37.979999999999997</v>
      </c>
      <c r="K303" s="7" t="s">
        <v>682</v>
      </c>
      <c r="L303" s="7" t="s">
        <v>656</v>
      </c>
      <c r="M303" s="8">
        <v>5</v>
      </c>
      <c r="N303">
        <f>VLOOKUP(B303,Customers!A:J,7,0)</f>
        <v>36</v>
      </c>
      <c r="O303" t="str">
        <f>VLOOKUP(B303,Customers!A:J,5,0)</f>
        <v>San Jose</v>
      </c>
      <c r="P303" t="str">
        <f>VLOOKUP(B303,Customers!A:J,10,0)</f>
        <v>Gold</v>
      </c>
      <c r="Q303" t="str">
        <f>VLOOKUP(B303,Customers!A:J,8,0)</f>
        <v>Female</v>
      </c>
      <c r="R303" t="b">
        <f t="shared" si="8"/>
        <v>1</v>
      </c>
      <c r="S303" s="18">
        <f t="shared" si="9"/>
        <v>45627</v>
      </c>
    </row>
    <row r="304" spans="1:19" x14ac:dyDescent="0.25">
      <c r="A304" s="3" t="s">
        <v>1234</v>
      </c>
      <c r="B304" s="4" t="s">
        <v>162</v>
      </c>
      <c r="C304" s="14">
        <v>45413</v>
      </c>
      <c r="D304" s="4" t="s">
        <v>659</v>
      </c>
      <c r="E304" s="4" t="s">
        <v>664</v>
      </c>
      <c r="F304" s="4">
        <v>24.99</v>
      </c>
      <c r="G304" s="4">
        <v>4</v>
      </c>
      <c r="H304" s="4">
        <v>15</v>
      </c>
      <c r="I304" s="4">
        <v>21.24</v>
      </c>
      <c r="J304" s="4">
        <v>84.96</v>
      </c>
      <c r="K304" s="4" t="s">
        <v>675</v>
      </c>
      <c r="L304" s="4" t="s">
        <v>656</v>
      </c>
      <c r="M304" s="5"/>
      <c r="N304">
        <f>VLOOKUP(B304,Customers!A:J,7,0)</f>
        <v>39</v>
      </c>
      <c r="O304" t="str">
        <f>VLOOKUP(B304,Customers!A:J,5,0)</f>
        <v>Austin</v>
      </c>
      <c r="P304" t="str">
        <f>VLOOKUP(B304,Customers!A:J,10,0)</f>
        <v>Free</v>
      </c>
      <c r="Q304" t="str">
        <f>VLOOKUP(B304,Customers!A:J,8,0)</f>
        <v>Female</v>
      </c>
      <c r="R304" t="b">
        <f t="shared" si="8"/>
        <v>1</v>
      </c>
      <c r="S304" s="18">
        <f t="shared" si="9"/>
        <v>45413</v>
      </c>
    </row>
    <row r="305" spans="1:19" x14ac:dyDescent="0.25">
      <c r="A305" s="6" t="s">
        <v>1235</v>
      </c>
      <c r="B305" s="7" t="s">
        <v>162</v>
      </c>
      <c r="C305" s="15">
        <v>44608</v>
      </c>
      <c r="D305" s="7" t="s">
        <v>684</v>
      </c>
      <c r="E305" s="7" t="s">
        <v>685</v>
      </c>
      <c r="F305" s="7">
        <v>49.99</v>
      </c>
      <c r="G305" s="7">
        <v>2</v>
      </c>
      <c r="H305" s="7">
        <v>20</v>
      </c>
      <c r="I305" s="7">
        <v>39.99</v>
      </c>
      <c r="J305" s="7">
        <v>79.98</v>
      </c>
      <c r="K305" s="7" t="s">
        <v>682</v>
      </c>
      <c r="L305" s="7" t="s">
        <v>739</v>
      </c>
      <c r="M305" s="8"/>
      <c r="N305">
        <f>VLOOKUP(B305,Customers!A:J,7,0)</f>
        <v>39</v>
      </c>
      <c r="O305" t="str">
        <f>VLOOKUP(B305,Customers!A:J,5,0)</f>
        <v>Austin</v>
      </c>
      <c r="P305" t="str">
        <f>VLOOKUP(B305,Customers!A:J,10,0)</f>
        <v>Free</v>
      </c>
      <c r="Q305" t="str">
        <f>VLOOKUP(B305,Customers!A:J,8,0)</f>
        <v>Female</v>
      </c>
      <c r="R305" t="b">
        <f t="shared" si="8"/>
        <v>1</v>
      </c>
      <c r="S305" s="18">
        <f t="shared" si="9"/>
        <v>44593</v>
      </c>
    </row>
    <row r="306" spans="1:19" x14ac:dyDescent="0.25">
      <c r="A306" s="3" t="s">
        <v>1237</v>
      </c>
      <c r="B306" s="4" t="s">
        <v>162</v>
      </c>
      <c r="C306" s="14">
        <v>44797</v>
      </c>
      <c r="D306" s="4" t="s">
        <v>672</v>
      </c>
      <c r="E306" s="4" t="s">
        <v>724</v>
      </c>
      <c r="F306" s="4">
        <v>89.99</v>
      </c>
      <c r="G306" s="4">
        <v>1</v>
      </c>
      <c r="H306" s="4">
        <v>5</v>
      </c>
      <c r="I306" s="4">
        <v>85.49</v>
      </c>
      <c r="J306" s="4">
        <v>85.49</v>
      </c>
      <c r="K306" s="4" t="s">
        <v>682</v>
      </c>
      <c r="L306" s="4" t="s">
        <v>656</v>
      </c>
      <c r="M306" s="5"/>
      <c r="N306">
        <f>VLOOKUP(B306,Customers!A:J,7,0)</f>
        <v>39</v>
      </c>
      <c r="O306" t="str">
        <f>VLOOKUP(B306,Customers!A:J,5,0)</f>
        <v>Austin</v>
      </c>
      <c r="P306" t="str">
        <f>VLOOKUP(B306,Customers!A:J,10,0)</f>
        <v>Free</v>
      </c>
      <c r="Q306" t="str">
        <f>VLOOKUP(B306,Customers!A:J,8,0)</f>
        <v>Female</v>
      </c>
      <c r="R306" t="b">
        <f t="shared" si="8"/>
        <v>1</v>
      </c>
      <c r="S306" s="18">
        <f t="shared" si="9"/>
        <v>44774</v>
      </c>
    </row>
    <row r="307" spans="1:19" x14ac:dyDescent="0.25">
      <c r="A307" s="6" t="s">
        <v>1239</v>
      </c>
      <c r="B307" s="7" t="s">
        <v>162</v>
      </c>
      <c r="C307" s="15">
        <v>45070</v>
      </c>
      <c r="D307" s="7" t="s">
        <v>710</v>
      </c>
      <c r="E307" s="7" t="s">
        <v>721</v>
      </c>
      <c r="F307" s="7">
        <v>24.99</v>
      </c>
      <c r="G307" s="7">
        <v>1</v>
      </c>
      <c r="H307" s="7">
        <v>10</v>
      </c>
      <c r="I307" s="7">
        <v>22.49</v>
      </c>
      <c r="J307" s="7">
        <v>22.49</v>
      </c>
      <c r="K307" s="7" t="s">
        <v>655</v>
      </c>
      <c r="L307" s="7" t="s">
        <v>656</v>
      </c>
      <c r="M307" s="8">
        <v>2</v>
      </c>
      <c r="N307">
        <f>VLOOKUP(B307,Customers!A:J,7,0)</f>
        <v>39</v>
      </c>
      <c r="O307" t="str">
        <f>VLOOKUP(B307,Customers!A:J,5,0)</f>
        <v>Austin</v>
      </c>
      <c r="P307" t="str">
        <f>VLOOKUP(B307,Customers!A:J,10,0)</f>
        <v>Free</v>
      </c>
      <c r="Q307" t="str">
        <f>VLOOKUP(B307,Customers!A:J,8,0)</f>
        <v>Female</v>
      </c>
      <c r="R307" t="b">
        <f t="shared" si="8"/>
        <v>1</v>
      </c>
      <c r="S307" s="18">
        <f t="shared" si="9"/>
        <v>45047</v>
      </c>
    </row>
    <row r="308" spans="1:19" x14ac:dyDescent="0.25">
      <c r="A308" s="3" t="s">
        <v>1240</v>
      </c>
      <c r="B308" s="4" t="s">
        <v>162</v>
      </c>
      <c r="C308" s="14">
        <v>44814</v>
      </c>
      <c r="D308" s="4" t="s">
        <v>667</v>
      </c>
      <c r="E308" s="4" t="s">
        <v>714</v>
      </c>
      <c r="F308" s="4">
        <v>44.99</v>
      </c>
      <c r="G308" s="4">
        <v>1</v>
      </c>
      <c r="H308" s="4">
        <v>0</v>
      </c>
      <c r="I308" s="4">
        <v>44.99</v>
      </c>
      <c r="J308" s="4">
        <v>44.99</v>
      </c>
      <c r="K308" s="4" t="s">
        <v>655</v>
      </c>
      <c r="L308" s="4" t="s">
        <v>656</v>
      </c>
      <c r="M308" s="5"/>
      <c r="N308">
        <f>VLOOKUP(B308,Customers!A:J,7,0)</f>
        <v>39</v>
      </c>
      <c r="O308" t="str">
        <f>VLOOKUP(B308,Customers!A:J,5,0)</f>
        <v>Austin</v>
      </c>
      <c r="P308" t="str">
        <f>VLOOKUP(B308,Customers!A:J,10,0)</f>
        <v>Free</v>
      </c>
      <c r="Q308" t="str">
        <f>VLOOKUP(B308,Customers!A:J,8,0)</f>
        <v>Female</v>
      </c>
      <c r="R308" t="b">
        <f t="shared" si="8"/>
        <v>1</v>
      </c>
      <c r="S308" s="18">
        <f t="shared" si="9"/>
        <v>44805</v>
      </c>
    </row>
    <row r="309" spans="1:19" x14ac:dyDescent="0.25">
      <c r="A309" s="6" t="s">
        <v>1241</v>
      </c>
      <c r="B309" s="7" t="s">
        <v>162</v>
      </c>
      <c r="C309" s="15">
        <v>45468</v>
      </c>
      <c r="D309" s="7" t="s">
        <v>672</v>
      </c>
      <c r="E309" s="7" t="s">
        <v>735</v>
      </c>
      <c r="F309" s="7">
        <v>44.99</v>
      </c>
      <c r="G309" s="7">
        <v>1</v>
      </c>
      <c r="H309" s="7">
        <v>0</v>
      </c>
      <c r="I309" s="7">
        <v>44.99</v>
      </c>
      <c r="J309" s="7">
        <v>44.99</v>
      </c>
      <c r="K309" s="7" t="s">
        <v>682</v>
      </c>
      <c r="L309" s="7" t="s">
        <v>656</v>
      </c>
      <c r="M309" s="8">
        <v>5</v>
      </c>
      <c r="N309">
        <f>VLOOKUP(B309,Customers!A:J,7,0)</f>
        <v>39</v>
      </c>
      <c r="O309" t="str">
        <f>VLOOKUP(B309,Customers!A:J,5,0)</f>
        <v>Austin</v>
      </c>
      <c r="P309" t="str">
        <f>VLOOKUP(B309,Customers!A:J,10,0)</f>
        <v>Free</v>
      </c>
      <c r="Q309" t="str">
        <f>VLOOKUP(B309,Customers!A:J,8,0)</f>
        <v>Female</v>
      </c>
      <c r="R309" t="b">
        <f t="shared" si="8"/>
        <v>1</v>
      </c>
      <c r="S309" s="18">
        <f t="shared" si="9"/>
        <v>45444</v>
      </c>
    </row>
    <row r="310" spans="1:19" x14ac:dyDescent="0.25">
      <c r="A310" s="3" t="s">
        <v>1243</v>
      </c>
      <c r="B310" s="4" t="s">
        <v>162</v>
      </c>
      <c r="C310" s="14">
        <v>45456</v>
      </c>
      <c r="D310" s="4" t="s">
        <v>653</v>
      </c>
      <c r="E310" s="4" t="s">
        <v>654</v>
      </c>
      <c r="F310" s="4">
        <v>39.99</v>
      </c>
      <c r="G310" s="4">
        <v>3</v>
      </c>
      <c r="H310" s="4">
        <v>0</v>
      </c>
      <c r="I310" s="4">
        <v>39.99</v>
      </c>
      <c r="J310" s="4">
        <v>119.97</v>
      </c>
      <c r="K310" s="4" t="s">
        <v>682</v>
      </c>
      <c r="L310" s="4" t="s">
        <v>656</v>
      </c>
      <c r="M310" s="5">
        <v>1</v>
      </c>
      <c r="N310">
        <f>VLOOKUP(B310,Customers!A:J,7,0)</f>
        <v>39</v>
      </c>
      <c r="O310" t="str">
        <f>VLOOKUP(B310,Customers!A:J,5,0)</f>
        <v>Austin</v>
      </c>
      <c r="P310" t="str">
        <f>VLOOKUP(B310,Customers!A:J,10,0)</f>
        <v>Free</v>
      </c>
      <c r="Q310" t="str">
        <f>VLOOKUP(B310,Customers!A:J,8,0)</f>
        <v>Female</v>
      </c>
      <c r="R310" t="b">
        <f t="shared" si="8"/>
        <v>1</v>
      </c>
      <c r="S310" s="18">
        <f t="shared" si="9"/>
        <v>45444</v>
      </c>
    </row>
    <row r="311" spans="1:19" x14ac:dyDescent="0.25">
      <c r="A311" s="6" t="s">
        <v>1245</v>
      </c>
      <c r="B311" s="7" t="s">
        <v>162</v>
      </c>
      <c r="C311" s="15">
        <v>45054</v>
      </c>
      <c r="D311" s="7" t="s">
        <v>667</v>
      </c>
      <c r="E311" s="7" t="s">
        <v>668</v>
      </c>
      <c r="F311" s="7">
        <v>64.989999999999995</v>
      </c>
      <c r="G311" s="7">
        <v>2</v>
      </c>
      <c r="H311" s="7">
        <v>0</v>
      </c>
      <c r="I311" s="7">
        <v>64.989999999999995</v>
      </c>
      <c r="J311" s="7">
        <v>129.97999999999999</v>
      </c>
      <c r="K311" s="7" t="s">
        <v>655</v>
      </c>
      <c r="L311" s="7" t="s">
        <v>656</v>
      </c>
      <c r="M311" s="8"/>
      <c r="N311">
        <f>VLOOKUP(B311,Customers!A:J,7,0)</f>
        <v>39</v>
      </c>
      <c r="O311" t="str">
        <f>VLOOKUP(B311,Customers!A:J,5,0)</f>
        <v>Austin</v>
      </c>
      <c r="P311" t="str">
        <f>VLOOKUP(B311,Customers!A:J,10,0)</f>
        <v>Free</v>
      </c>
      <c r="Q311" t="str">
        <f>VLOOKUP(B311,Customers!A:J,8,0)</f>
        <v>Female</v>
      </c>
      <c r="R311" t="b">
        <f t="shared" si="8"/>
        <v>1</v>
      </c>
      <c r="S311" s="18">
        <f t="shared" si="9"/>
        <v>45047</v>
      </c>
    </row>
    <row r="312" spans="1:19" x14ac:dyDescent="0.25">
      <c r="A312" s="3" t="s">
        <v>1246</v>
      </c>
      <c r="B312" s="4" t="s">
        <v>162</v>
      </c>
      <c r="C312" s="14">
        <v>45083</v>
      </c>
      <c r="D312" s="4" t="s">
        <v>653</v>
      </c>
      <c r="E312" s="4" t="s">
        <v>727</v>
      </c>
      <c r="F312" s="4">
        <v>14.99</v>
      </c>
      <c r="G312" s="4">
        <v>3</v>
      </c>
      <c r="H312" s="4">
        <v>15</v>
      </c>
      <c r="I312" s="4">
        <v>12.74</v>
      </c>
      <c r="J312" s="4">
        <v>38.22</v>
      </c>
      <c r="K312" s="4" t="s">
        <v>655</v>
      </c>
      <c r="L312" s="4" t="s">
        <v>656</v>
      </c>
      <c r="M312" s="5">
        <v>4</v>
      </c>
      <c r="N312">
        <f>VLOOKUP(B312,Customers!A:J,7,0)</f>
        <v>39</v>
      </c>
      <c r="O312" t="str">
        <f>VLOOKUP(B312,Customers!A:J,5,0)</f>
        <v>Austin</v>
      </c>
      <c r="P312" t="str">
        <f>VLOOKUP(B312,Customers!A:J,10,0)</f>
        <v>Free</v>
      </c>
      <c r="Q312" t="str">
        <f>VLOOKUP(B312,Customers!A:J,8,0)</f>
        <v>Female</v>
      </c>
      <c r="R312" t="b">
        <f t="shared" si="8"/>
        <v>1</v>
      </c>
      <c r="S312" s="18">
        <f t="shared" si="9"/>
        <v>45078</v>
      </c>
    </row>
    <row r="313" spans="1:19" x14ac:dyDescent="0.25">
      <c r="A313" s="6" t="s">
        <v>1248</v>
      </c>
      <c r="B313" s="7" t="s">
        <v>162</v>
      </c>
      <c r="C313" s="15">
        <v>45450</v>
      </c>
      <c r="D313" s="7" t="s">
        <v>667</v>
      </c>
      <c r="E313" s="7" t="s">
        <v>699</v>
      </c>
      <c r="F313" s="7">
        <v>89.99</v>
      </c>
      <c r="G313" s="7">
        <v>4</v>
      </c>
      <c r="H313" s="7">
        <v>10</v>
      </c>
      <c r="I313" s="7">
        <v>80.989999999999995</v>
      </c>
      <c r="J313" s="7">
        <v>323.95999999999998</v>
      </c>
      <c r="K313" s="7" t="s">
        <v>675</v>
      </c>
      <c r="L313" s="7" t="s">
        <v>656</v>
      </c>
      <c r="M313" s="8">
        <v>4</v>
      </c>
      <c r="N313">
        <f>VLOOKUP(B313,Customers!A:J,7,0)</f>
        <v>39</v>
      </c>
      <c r="O313" t="str">
        <f>VLOOKUP(B313,Customers!A:J,5,0)</f>
        <v>Austin</v>
      </c>
      <c r="P313" t="str">
        <f>VLOOKUP(B313,Customers!A:J,10,0)</f>
        <v>Free</v>
      </c>
      <c r="Q313" t="str">
        <f>VLOOKUP(B313,Customers!A:J,8,0)</f>
        <v>Female</v>
      </c>
      <c r="R313" t="b">
        <f t="shared" si="8"/>
        <v>1</v>
      </c>
      <c r="S313" s="18">
        <f t="shared" si="9"/>
        <v>45444</v>
      </c>
    </row>
    <row r="314" spans="1:19" x14ac:dyDescent="0.25">
      <c r="A314" s="3" t="s">
        <v>1250</v>
      </c>
      <c r="B314" s="4" t="s">
        <v>162</v>
      </c>
      <c r="C314" s="14">
        <v>44975</v>
      </c>
      <c r="D314" s="4" t="s">
        <v>680</v>
      </c>
      <c r="E314" s="4" t="s">
        <v>688</v>
      </c>
      <c r="F314" s="4">
        <v>29.99</v>
      </c>
      <c r="G314" s="4">
        <v>3</v>
      </c>
      <c r="H314" s="4">
        <v>0</v>
      </c>
      <c r="I314" s="4">
        <v>29.99</v>
      </c>
      <c r="J314" s="4">
        <v>89.97</v>
      </c>
      <c r="K314" s="4" t="s">
        <v>669</v>
      </c>
      <c r="L314" s="4" t="s">
        <v>739</v>
      </c>
      <c r="M314" s="5"/>
      <c r="N314">
        <f>VLOOKUP(B314,Customers!A:J,7,0)</f>
        <v>39</v>
      </c>
      <c r="O314" t="str">
        <f>VLOOKUP(B314,Customers!A:J,5,0)</f>
        <v>Austin</v>
      </c>
      <c r="P314" t="str">
        <f>VLOOKUP(B314,Customers!A:J,10,0)</f>
        <v>Free</v>
      </c>
      <c r="Q314" t="str">
        <f>VLOOKUP(B314,Customers!A:J,8,0)</f>
        <v>Female</v>
      </c>
      <c r="R314" t="b">
        <f t="shared" si="8"/>
        <v>1</v>
      </c>
      <c r="S314" s="18">
        <f t="shared" si="9"/>
        <v>44958</v>
      </c>
    </row>
    <row r="315" spans="1:19" x14ac:dyDescent="0.25">
      <c r="A315" s="6" t="s">
        <v>1252</v>
      </c>
      <c r="B315" s="7" t="s">
        <v>162</v>
      </c>
      <c r="C315" s="15">
        <v>44820</v>
      </c>
      <c r="D315" s="7" t="s">
        <v>667</v>
      </c>
      <c r="E315" s="7" t="s">
        <v>699</v>
      </c>
      <c r="F315" s="7">
        <v>89.99</v>
      </c>
      <c r="G315" s="7">
        <v>2</v>
      </c>
      <c r="H315" s="7">
        <v>5</v>
      </c>
      <c r="I315" s="7">
        <v>85.49</v>
      </c>
      <c r="J315" s="7">
        <v>170.98</v>
      </c>
      <c r="K315" s="7" t="s">
        <v>661</v>
      </c>
      <c r="L315" s="7" t="s">
        <v>656</v>
      </c>
      <c r="M315" s="8">
        <v>4</v>
      </c>
      <c r="N315">
        <f>VLOOKUP(B315,Customers!A:J,7,0)</f>
        <v>39</v>
      </c>
      <c r="O315" t="str">
        <f>VLOOKUP(B315,Customers!A:J,5,0)</f>
        <v>Austin</v>
      </c>
      <c r="P315" t="str">
        <f>VLOOKUP(B315,Customers!A:J,10,0)</f>
        <v>Free</v>
      </c>
      <c r="Q315" t="str">
        <f>VLOOKUP(B315,Customers!A:J,8,0)</f>
        <v>Female</v>
      </c>
      <c r="R315" t="b">
        <f t="shared" si="8"/>
        <v>1</v>
      </c>
      <c r="S315" s="18">
        <f t="shared" si="9"/>
        <v>44805</v>
      </c>
    </row>
    <row r="316" spans="1:19" x14ac:dyDescent="0.25">
      <c r="A316" s="3" t="s">
        <v>1254</v>
      </c>
      <c r="B316" s="4" t="s">
        <v>162</v>
      </c>
      <c r="C316" s="14">
        <v>44871</v>
      </c>
      <c r="D316" s="4" t="s">
        <v>684</v>
      </c>
      <c r="E316" s="4" t="s">
        <v>705</v>
      </c>
      <c r="F316" s="4">
        <v>79.989999999999995</v>
      </c>
      <c r="G316" s="4">
        <v>1</v>
      </c>
      <c r="H316" s="4">
        <v>10</v>
      </c>
      <c r="I316" s="4">
        <v>71.989999999999995</v>
      </c>
      <c r="J316" s="4">
        <v>71.989999999999995</v>
      </c>
      <c r="K316" s="4" t="s">
        <v>669</v>
      </c>
      <c r="L316" s="4" t="s">
        <v>656</v>
      </c>
      <c r="M316" s="5">
        <v>3</v>
      </c>
      <c r="N316">
        <f>VLOOKUP(B316,Customers!A:J,7,0)</f>
        <v>39</v>
      </c>
      <c r="O316" t="str">
        <f>VLOOKUP(B316,Customers!A:J,5,0)</f>
        <v>Austin</v>
      </c>
      <c r="P316" t="str">
        <f>VLOOKUP(B316,Customers!A:J,10,0)</f>
        <v>Free</v>
      </c>
      <c r="Q316" t="str">
        <f>VLOOKUP(B316,Customers!A:J,8,0)</f>
        <v>Female</v>
      </c>
      <c r="R316" t="b">
        <f t="shared" si="8"/>
        <v>1</v>
      </c>
      <c r="S316" s="18">
        <f t="shared" si="9"/>
        <v>44866</v>
      </c>
    </row>
    <row r="317" spans="1:19" x14ac:dyDescent="0.25">
      <c r="A317" s="6" t="s">
        <v>1255</v>
      </c>
      <c r="B317" s="7" t="s">
        <v>162</v>
      </c>
      <c r="C317" s="15">
        <v>45161</v>
      </c>
      <c r="D317" s="7" t="s">
        <v>653</v>
      </c>
      <c r="E317" s="7" t="s">
        <v>769</v>
      </c>
      <c r="F317" s="7">
        <v>49.99</v>
      </c>
      <c r="G317" s="7">
        <v>4</v>
      </c>
      <c r="H317" s="7">
        <v>20</v>
      </c>
      <c r="I317" s="7">
        <v>39.99</v>
      </c>
      <c r="J317" s="7">
        <v>159.96</v>
      </c>
      <c r="K317" s="7" t="s">
        <v>655</v>
      </c>
      <c r="L317" s="7" t="s">
        <v>656</v>
      </c>
      <c r="M317" s="8">
        <v>3</v>
      </c>
      <c r="N317">
        <f>VLOOKUP(B317,Customers!A:J,7,0)</f>
        <v>39</v>
      </c>
      <c r="O317" t="str">
        <f>VLOOKUP(B317,Customers!A:J,5,0)</f>
        <v>Austin</v>
      </c>
      <c r="P317" t="str">
        <f>VLOOKUP(B317,Customers!A:J,10,0)</f>
        <v>Free</v>
      </c>
      <c r="Q317" t="str">
        <f>VLOOKUP(B317,Customers!A:J,8,0)</f>
        <v>Female</v>
      </c>
      <c r="R317" t="b">
        <f t="shared" si="8"/>
        <v>1</v>
      </c>
      <c r="S317" s="18">
        <f t="shared" si="9"/>
        <v>45139</v>
      </c>
    </row>
    <row r="318" spans="1:19" x14ac:dyDescent="0.25">
      <c r="A318" s="3" t="s">
        <v>1257</v>
      </c>
      <c r="B318" s="4" t="s">
        <v>162</v>
      </c>
      <c r="C318" s="14">
        <v>44716</v>
      </c>
      <c r="D318" s="4" t="s">
        <v>659</v>
      </c>
      <c r="E318" s="4" t="s">
        <v>762</v>
      </c>
      <c r="F318" s="4">
        <v>49.99</v>
      </c>
      <c r="G318" s="4">
        <v>1</v>
      </c>
      <c r="H318" s="4">
        <v>20</v>
      </c>
      <c r="I318" s="4">
        <v>39.99</v>
      </c>
      <c r="J318" s="4">
        <v>39.99</v>
      </c>
      <c r="K318" s="4" t="s">
        <v>675</v>
      </c>
      <c r="L318" s="4" t="s">
        <v>656</v>
      </c>
      <c r="M318" s="5">
        <v>2</v>
      </c>
      <c r="N318">
        <f>VLOOKUP(B318,Customers!A:J,7,0)</f>
        <v>39</v>
      </c>
      <c r="O318" t="str">
        <f>VLOOKUP(B318,Customers!A:J,5,0)</f>
        <v>Austin</v>
      </c>
      <c r="P318" t="str">
        <f>VLOOKUP(B318,Customers!A:J,10,0)</f>
        <v>Free</v>
      </c>
      <c r="Q318" t="str">
        <f>VLOOKUP(B318,Customers!A:J,8,0)</f>
        <v>Female</v>
      </c>
      <c r="R318" t="b">
        <f t="shared" si="8"/>
        <v>1</v>
      </c>
      <c r="S318" s="18">
        <f t="shared" si="9"/>
        <v>44713</v>
      </c>
    </row>
    <row r="319" spans="1:19" x14ac:dyDescent="0.25">
      <c r="A319" s="6" t="s">
        <v>1258</v>
      </c>
      <c r="B319" s="7" t="s">
        <v>165</v>
      </c>
      <c r="C319" s="15">
        <v>45111</v>
      </c>
      <c r="D319" s="7" t="s">
        <v>672</v>
      </c>
      <c r="E319" s="7" t="s">
        <v>724</v>
      </c>
      <c r="F319" s="7">
        <v>89.99</v>
      </c>
      <c r="G319" s="7">
        <v>3</v>
      </c>
      <c r="H319" s="7">
        <v>15</v>
      </c>
      <c r="I319" s="7">
        <v>76.489999999999995</v>
      </c>
      <c r="J319" s="7">
        <v>229.47</v>
      </c>
      <c r="K319" s="7" t="s">
        <v>661</v>
      </c>
      <c r="L319" s="7" t="s">
        <v>656</v>
      </c>
      <c r="M319" s="8">
        <v>5</v>
      </c>
      <c r="N319">
        <f>VLOOKUP(B319,Customers!A:J,7,0)</f>
        <v>46</v>
      </c>
      <c r="O319" t="str">
        <f>VLOOKUP(B319,Customers!A:J,5,0)</f>
        <v>Los Angeles</v>
      </c>
      <c r="P319" t="str">
        <f>VLOOKUP(B319,Customers!A:J,10,0)</f>
        <v>Free</v>
      </c>
      <c r="Q319" t="str">
        <f>VLOOKUP(B319,Customers!A:J,8,0)</f>
        <v>Male</v>
      </c>
      <c r="R319" t="b">
        <f t="shared" si="8"/>
        <v>1</v>
      </c>
      <c r="S319" s="18">
        <f t="shared" si="9"/>
        <v>45108</v>
      </c>
    </row>
    <row r="320" spans="1:19" x14ac:dyDescent="0.25">
      <c r="A320" s="3" t="s">
        <v>1259</v>
      </c>
      <c r="B320" s="4" t="s">
        <v>165</v>
      </c>
      <c r="C320" s="14">
        <v>45366</v>
      </c>
      <c r="D320" s="4" t="s">
        <v>710</v>
      </c>
      <c r="E320" s="4" t="s">
        <v>721</v>
      </c>
      <c r="F320" s="4">
        <v>24.99</v>
      </c>
      <c r="G320" s="4">
        <v>4</v>
      </c>
      <c r="H320" s="4">
        <v>5</v>
      </c>
      <c r="I320" s="4">
        <v>23.74</v>
      </c>
      <c r="J320" s="4">
        <v>94.96</v>
      </c>
      <c r="K320" s="4" t="s">
        <v>661</v>
      </c>
      <c r="L320" s="4" t="s">
        <v>788</v>
      </c>
      <c r="M320" s="5">
        <v>5</v>
      </c>
      <c r="N320">
        <f>VLOOKUP(B320,Customers!A:J,7,0)</f>
        <v>46</v>
      </c>
      <c r="O320" t="str">
        <f>VLOOKUP(B320,Customers!A:J,5,0)</f>
        <v>Los Angeles</v>
      </c>
      <c r="P320" t="str">
        <f>VLOOKUP(B320,Customers!A:J,10,0)</f>
        <v>Free</v>
      </c>
      <c r="Q320" t="str">
        <f>VLOOKUP(B320,Customers!A:J,8,0)</f>
        <v>Male</v>
      </c>
      <c r="R320" t="b">
        <f t="shared" si="8"/>
        <v>1</v>
      </c>
      <c r="S320" s="18">
        <f t="shared" si="9"/>
        <v>45352</v>
      </c>
    </row>
    <row r="321" spans="1:19" x14ac:dyDescent="0.25">
      <c r="A321" s="6" t="s">
        <v>1261</v>
      </c>
      <c r="B321" s="7" t="s">
        <v>165</v>
      </c>
      <c r="C321" s="15">
        <v>45580</v>
      </c>
      <c r="D321" s="7" t="s">
        <v>680</v>
      </c>
      <c r="E321" s="7" t="s">
        <v>708</v>
      </c>
      <c r="F321" s="7">
        <v>24.99</v>
      </c>
      <c r="G321" s="7">
        <v>1</v>
      </c>
      <c r="H321" s="7">
        <v>0</v>
      </c>
      <c r="I321" s="7">
        <v>24.99</v>
      </c>
      <c r="J321" s="7">
        <v>24.99</v>
      </c>
      <c r="K321" s="7" t="s">
        <v>655</v>
      </c>
      <c r="L321" s="7" t="s">
        <v>788</v>
      </c>
      <c r="M321" s="8">
        <v>5</v>
      </c>
      <c r="N321">
        <f>VLOOKUP(B321,Customers!A:J,7,0)</f>
        <v>46</v>
      </c>
      <c r="O321" t="str">
        <f>VLOOKUP(B321,Customers!A:J,5,0)</f>
        <v>Los Angeles</v>
      </c>
      <c r="P321" t="str">
        <f>VLOOKUP(B321,Customers!A:J,10,0)</f>
        <v>Free</v>
      </c>
      <c r="Q321" t="str">
        <f>VLOOKUP(B321,Customers!A:J,8,0)</f>
        <v>Male</v>
      </c>
      <c r="R321" t="b">
        <f t="shared" si="8"/>
        <v>1</v>
      </c>
      <c r="S321" s="18">
        <f t="shared" si="9"/>
        <v>45566</v>
      </c>
    </row>
    <row r="322" spans="1:19" x14ac:dyDescent="0.25">
      <c r="A322" s="3" t="s">
        <v>1262</v>
      </c>
      <c r="B322" s="4" t="s">
        <v>165</v>
      </c>
      <c r="C322" s="14">
        <v>44717</v>
      </c>
      <c r="D322" s="4" t="s">
        <v>653</v>
      </c>
      <c r="E322" s="4" t="s">
        <v>827</v>
      </c>
      <c r="F322" s="4">
        <v>29.99</v>
      </c>
      <c r="G322" s="4">
        <v>1</v>
      </c>
      <c r="H322" s="4">
        <v>0</v>
      </c>
      <c r="I322" s="4">
        <v>29.99</v>
      </c>
      <c r="J322" s="4">
        <v>29.99</v>
      </c>
      <c r="K322" s="4" t="s">
        <v>661</v>
      </c>
      <c r="L322" s="4" t="s">
        <v>656</v>
      </c>
      <c r="M322" s="5">
        <v>5</v>
      </c>
      <c r="N322">
        <f>VLOOKUP(B322,Customers!A:J,7,0)</f>
        <v>46</v>
      </c>
      <c r="O322" t="str">
        <f>VLOOKUP(B322,Customers!A:J,5,0)</f>
        <v>Los Angeles</v>
      </c>
      <c r="P322" t="str">
        <f>VLOOKUP(B322,Customers!A:J,10,0)</f>
        <v>Free</v>
      </c>
      <c r="Q322" t="str">
        <f>VLOOKUP(B322,Customers!A:J,8,0)</f>
        <v>Male</v>
      </c>
      <c r="R322" t="b">
        <f t="shared" si="8"/>
        <v>1</v>
      </c>
      <c r="S322" s="18">
        <f t="shared" si="9"/>
        <v>44713</v>
      </c>
    </row>
    <row r="323" spans="1:19" x14ac:dyDescent="0.25">
      <c r="A323" s="6" t="s">
        <v>1264</v>
      </c>
      <c r="B323" s="7" t="s">
        <v>165</v>
      </c>
      <c r="C323" s="15">
        <v>44758</v>
      </c>
      <c r="D323" s="7" t="s">
        <v>710</v>
      </c>
      <c r="E323" s="7" t="s">
        <v>721</v>
      </c>
      <c r="F323" s="7">
        <v>24.99</v>
      </c>
      <c r="G323" s="7">
        <v>3</v>
      </c>
      <c r="H323" s="7">
        <v>0</v>
      </c>
      <c r="I323" s="7">
        <v>24.99</v>
      </c>
      <c r="J323" s="7">
        <v>74.97</v>
      </c>
      <c r="K323" s="7" t="s">
        <v>655</v>
      </c>
      <c r="L323" s="7" t="s">
        <v>656</v>
      </c>
      <c r="M323" s="8"/>
      <c r="N323">
        <f>VLOOKUP(B323,Customers!A:J,7,0)</f>
        <v>46</v>
      </c>
      <c r="O323" t="str">
        <f>VLOOKUP(B323,Customers!A:J,5,0)</f>
        <v>Los Angeles</v>
      </c>
      <c r="P323" t="str">
        <f>VLOOKUP(B323,Customers!A:J,10,0)</f>
        <v>Free</v>
      </c>
      <c r="Q323" t="str">
        <f>VLOOKUP(B323,Customers!A:J,8,0)</f>
        <v>Male</v>
      </c>
      <c r="R323" t="b">
        <f t="shared" ref="R323:R386" si="10">ISNUMBER(C323)</f>
        <v>1</v>
      </c>
      <c r="S323" s="18">
        <f t="shared" ref="S323:S386" si="11">DATE(YEAR(C323),MONTH(C323),1)</f>
        <v>44743</v>
      </c>
    </row>
    <row r="324" spans="1:19" x14ac:dyDescent="0.25">
      <c r="A324" s="3" t="s">
        <v>1266</v>
      </c>
      <c r="B324" s="4" t="s">
        <v>165</v>
      </c>
      <c r="C324" s="14">
        <v>45086</v>
      </c>
      <c r="D324" s="4" t="s">
        <v>680</v>
      </c>
      <c r="E324" s="4" t="s">
        <v>688</v>
      </c>
      <c r="F324" s="4">
        <v>29.99</v>
      </c>
      <c r="G324" s="4">
        <v>3</v>
      </c>
      <c r="H324" s="4">
        <v>20</v>
      </c>
      <c r="I324" s="4">
        <v>23.99</v>
      </c>
      <c r="J324" s="4">
        <v>71.97</v>
      </c>
      <c r="K324" s="4" t="s">
        <v>669</v>
      </c>
      <c r="L324" s="4" t="s">
        <v>656</v>
      </c>
      <c r="M324" s="5">
        <v>3</v>
      </c>
      <c r="N324">
        <f>VLOOKUP(B324,Customers!A:J,7,0)</f>
        <v>46</v>
      </c>
      <c r="O324" t="str">
        <f>VLOOKUP(B324,Customers!A:J,5,0)</f>
        <v>Los Angeles</v>
      </c>
      <c r="P324" t="str">
        <f>VLOOKUP(B324,Customers!A:J,10,0)</f>
        <v>Free</v>
      </c>
      <c r="Q324" t="str">
        <f>VLOOKUP(B324,Customers!A:J,8,0)</f>
        <v>Male</v>
      </c>
      <c r="R324" t="b">
        <f t="shared" si="10"/>
        <v>1</v>
      </c>
      <c r="S324" s="18">
        <f t="shared" si="11"/>
        <v>45078</v>
      </c>
    </row>
    <row r="325" spans="1:19" x14ac:dyDescent="0.25">
      <c r="A325" s="6" t="s">
        <v>1268</v>
      </c>
      <c r="B325" s="7" t="s">
        <v>165</v>
      </c>
      <c r="C325" s="15">
        <v>44910</v>
      </c>
      <c r="D325" s="7" t="s">
        <v>710</v>
      </c>
      <c r="E325" s="7" t="s">
        <v>711</v>
      </c>
      <c r="F325" s="7">
        <v>14.99</v>
      </c>
      <c r="G325" s="7">
        <v>1</v>
      </c>
      <c r="H325" s="7">
        <v>0</v>
      </c>
      <c r="I325" s="7">
        <v>14.99</v>
      </c>
      <c r="J325" s="7">
        <v>14.99</v>
      </c>
      <c r="K325" s="7" t="s">
        <v>669</v>
      </c>
      <c r="L325" s="7" t="s">
        <v>739</v>
      </c>
      <c r="M325" s="8"/>
      <c r="N325">
        <f>VLOOKUP(B325,Customers!A:J,7,0)</f>
        <v>46</v>
      </c>
      <c r="O325" t="str">
        <f>VLOOKUP(B325,Customers!A:J,5,0)</f>
        <v>Los Angeles</v>
      </c>
      <c r="P325" t="str">
        <f>VLOOKUP(B325,Customers!A:J,10,0)</f>
        <v>Free</v>
      </c>
      <c r="Q325" t="str">
        <f>VLOOKUP(B325,Customers!A:J,8,0)</f>
        <v>Male</v>
      </c>
      <c r="R325" t="b">
        <f t="shared" si="10"/>
        <v>1</v>
      </c>
      <c r="S325" s="18">
        <f t="shared" si="11"/>
        <v>44896</v>
      </c>
    </row>
    <row r="326" spans="1:19" x14ac:dyDescent="0.25">
      <c r="A326" s="3" t="s">
        <v>1269</v>
      </c>
      <c r="B326" s="4" t="s">
        <v>165</v>
      </c>
      <c r="C326" s="14">
        <v>45616</v>
      </c>
      <c r="D326" s="4" t="s">
        <v>653</v>
      </c>
      <c r="E326" s="4" t="s">
        <v>769</v>
      </c>
      <c r="F326" s="4">
        <v>49.99</v>
      </c>
      <c r="G326" s="4">
        <v>4</v>
      </c>
      <c r="H326" s="4">
        <v>0</v>
      </c>
      <c r="I326" s="4">
        <v>49.99</v>
      </c>
      <c r="J326" s="4">
        <v>199.96</v>
      </c>
      <c r="K326" s="4" t="s">
        <v>675</v>
      </c>
      <c r="L326" s="4" t="s">
        <v>656</v>
      </c>
      <c r="M326" s="5">
        <v>5</v>
      </c>
      <c r="N326">
        <f>VLOOKUP(B326,Customers!A:J,7,0)</f>
        <v>46</v>
      </c>
      <c r="O326" t="str">
        <f>VLOOKUP(B326,Customers!A:J,5,0)</f>
        <v>Los Angeles</v>
      </c>
      <c r="P326" t="str">
        <f>VLOOKUP(B326,Customers!A:J,10,0)</f>
        <v>Free</v>
      </c>
      <c r="Q326" t="str">
        <f>VLOOKUP(B326,Customers!A:J,8,0)</f>
        <v>Male</v>
      </c>
      <c r="R326" t="b">
        <f t="shared" si="10"/>
        <v>1</v>
      </c>
      <c r="S326" s="18">
        <f t="shared" si="11"/>
        <v>45597</v>
      </c>
    </row>
    <row r="327" spans="1:19" x14ac:dyDescent="0.25">
      <c r="A327" s="6" t="s">
        <v>1270</v>
      </c>
      <c r="B327" s="7" t="s">
        <v>168</v>
      </c>
      <c r="C327" s="15">
        <v>44816</v>
      </c>
      <c r="D327" s="7" t="s">
        <v>659</v>
      </c>
      <c r="E327" s="7" t="s">
        <v>762</v>
      </c>
      <c r="F327" s="7">
        <v>49.99</v>
      </c>
      <c r="G327" s="7">
        <v>3</v>
      </c>
      <c r="H327" s="7">
        <v>0</v>
      </c>
      <c r="I327" s="7">
        <v>49.99</v>
      </c>
      <c r="J327" s="7">
        <v>149.97</v>
      </c>
      <c r="K327" s="7" t="s">
        <v>675</v>
      </c>
      <c r="L327" s="7" t="s">
        <v>656</v>
      </c>
      <c r="M327" s="8">
        <v>5</v>
      </c>
      <c r="N327">
        <f>VLOOKUP(B327,Customers!A:J,7,0)</f>
        <v>60</v>
      </c>
      <c r="O327" t="str">
        <f>VLOOKUP(B327,Customers!A:J,5,0)</f>
        <v>San Jose</v>
      </c>
      <c r="P327" t="str">
        <f>VLOOKUP(B327,Customers!A:J,10,0)</f>
        <v>Gold</v>
      </c>
      <c r="Q327" t="str">
        <f>VLOOKUP(B327,Customers!A:J,8,0)</f>
        <v>Female</v>
      </c>
      <c r="R327" t="b">
        <f t="shared" si="10"/>
        <v>1</v>
      </c>
      <c r="S327" s="18">
        <f t="shared" si="11"/>
        <v>44805</v>
      </c>
    </row>
    <row r="328" spans="1:19" x14ac:dyDescent="0.25">
      <c r="A328" s="3" t="s">
        <v>1272</v>
      </c>
      <c r="B328" s="4" t="s">
        <v>168</v>
      </c>
      <c r="C328" s="14">
        <v>44897</v>
      </c>
      <c r="D328" s="4" t="s">
        <v>659</v>
      </c>
      <c r="E328" s="4" t="s">
        <v>820</v>
      </c>
      <c r="F328" s="4">
        <v>39.99</v>
      </c>
      <c r="G328" s="4">
        <v>4</v>
      </c>
      <c r="H328" s="4">
        <v>20</v>
      </c>
      <c r="I328" s="4">
        <v>31.99</v>
      </c>
      <c r="J328" s="4">
        <v>127.96</v>
      </c>
      <c r="K328" s="4" t="s">
        <v>655</v>
      </c>
      <c r="L328" s="4" t="s">
        <v>656</v>
      </c>
      <c r="M328" s="5">
        <v>4</v>
      </c>
      <c r="N328">
        <f>VLOOKUP(B328,Customers!A:J,7,0)</f>
        <v>60</v>
      </c>
      <c r="O328" t="str">
        <f>VLOOKUP(B328,Customers!A:J,5,0)</f>
        <v>San Jose</v>
      </c>
      <c r="P328" t="str">
        <f>VLOOKUP(B328,Customers!A:J,10,0)</f>
        <v>Gold</v>
      </c>
      <c r="Q328" t="str">
        <f>VLOOKUP(B328,Customers!A:J,8,0)</f>
        <v>Female</v>
      </c>
      <c r="R328" t="b">
        <f t="shared" si="10"/>
        <v>1</v>
      </c>
      <c r="S328" s="18">
        <f t="shared" si="11"/>
        <v>44896</v>
      </c>
    </row>
    <row r="329" spans="1:19" x14ac:dyDescent="0.25">
      <c r="A329" s="6" t="s">
        <v>1274</v>
      </c>
      <c r="B329" s="7" t="s">
        <v>168</v>
      </c>
      <c r="C329" s="15">
        <v>45145</v>
      </c>
      <c r="D329" s="7" t="s">
        <v>672</v>
      </c>
      <c r="E329" s="7" t="s">
        <v>735</v>
      </c>
      <c r="F329" s="7">
        <v>44.99</v>
      </c>
      <c r="G329" s="7">
        <v>3</v>
      </c>
      <c r="H329" s="7">
        <v>0</v>
      </c>
      <c r="I329" s="7">
        <v>44.99</v>
      </c>
      <c r="J329" s="7">
        <v>134.97</v>
      </c>
      <c r="K329" s="7" t="s">
        <v>682</v>
      </c>
      <c r="L329" s="7" t="s">
        <v>656</v>
      </c>
      <c r="M329" s="8">
        <v>5</v>
      </c>
      <c r="N329">
        <f>VLOOKUP(B329,Customers!A:J,7,0)</f>
        <v>60</v>
      </c>
      <c r="O329" t="str">
        <f>VLOOKUP(B329,Customers!A:J,5,0)</f>
        <v>San Jose</v>
      </c>
      <c r="P329" t="str">
        <f>VLOOKUP(B329,Customers!A:J,10,0)</f>
        <v>Gold</v>
      </c>
      <c r="Q329" t="str">
        <f>VLOOKUP(B329,Customers!A:J,8,0)</f>
        <v>Female</v>
      </c>
      <c r="R329" t="b">
        <f t="shared" si="10"/>
        <v>1</v>
      </c>
      <c r="S329" s="18">
        <f t="shared" si="11"/>
        <v>45139</v>
      </c>
    </row>
    <row r="330" spans="1:19" x14ac:dyDescent="0.25">
      <c r="A330" s="3" t="s">
        <v>1276</v>
      </c>
      <c r="B330" s="4" t="s">
        <v>168</v>
      </c>
      <c r="C330" s="14">
        <v>45388</v>
      </c>
      <c r="D330" s="4" t="s">
        <v>710</v>
      </c>
      <c r="E330" s="4" t="s">
        <v>730</v>
      </c>
      <c r="F330" s="4">
        <v>39.99</v>
      </c>
      <c r="G330" s="4">
        <v>1</v>
      </c>
      <c r="H330" s="4">
        <v>20</v>
      </c>
      <c r="I330" s="4">
        <v>31.99</v>
      </c>
      <c r="J330" s="4">
        <v>31.99</v>
      </c>
      <c r="K330" s="4" t="s">
        <v>661</v>
      </c>
      <c r="L330" s="4" t="s">
        <v>656</v>
      </c>
      <c r="M330" s="5"/>
      <c r="N330">
        <f>VLOOKUP(B330,Customers!A:J,7,0)</f>
        <v>60</v>
      </c>
      <c r="O330" t="str">
        <f>VLOOKUP(B330,Customers!A:J,5,0)</f>
        <v>San Jose</v>
      </c>
      <c r="P330" t="str">
        <f>VLOOKUP(B330,Customers!A:J,10,0)</f>
        <v>Gold</v>
      </c>
      <c r="Q330" t="str">
        <f>VLOOKUP(B330,Customers!A:J,8,0)</f>
        <v>Female</v>
      </c>
      <c r="R330" t="b">
        <f t="shared" si="10"/>
        <v>1</v>
      </c>
      <c r="S330" s="18">
        <f t="shared" si="11"/>
        <v>45383</v>
      </c>
    </row>
    <row r="331" spans="1:19" x14ac:dyDescent="0.25">
      <c r="A331" s="6" t="s">
        <v>1278</v>
      </c>
      <c r="B331" s="7" t="s">
        <v>171</v>
      </c>
      <c r="C331" s="15">
        <v>44856</v>
      </c>
      <c r="D331" s="7" t="s">
        <v>672</v>
      </c>
      <c r="E331" s="7" t="s">
        <v>724</v>
      </c>
      <c r="F331" s="7">
        <v>89.99</v>
      </c>
      <c r="G331" s="7">
        <v>4</v>
      </c>
      <c r="H331" s="7">
        <v>15</v>
      </c>
      <c r="I331" s="7">
        <v>76.489999999999995</v>
      </c>
      <c r="J331" s="7">
        <v>305.95999999999998</v>
      </c>
      <c r="K331" s="7" t="s">
        <v>675</v>
      </c>
      <c r="L331" s="7" t="s">
        <v>656</v>
      </c>
      <c r="M331" s="8">
        <v>4</v>
      </c>
      <c r="N331">
        <f>VLOOKUP(B331,Customers!A:J,7,0)</f>
        <v>55</v>
      </c>
      <c r="O331" t="str">
        <f>VLOOKUP(B331,Customers!A:J,5,0)</f>
        <v>Chicago</v>
      </c>
      <c r="P331" t="str">
        <f>VLOOKUP(B331,Customers!A:J,10,0)</f>
        <v>Silver</v>
      </c>
      <c r="Q331" t="str">
        <f>VLOOKUP(B331,Customers!A:J,8,0)</f>
        <v>Male</v>
      </c>
      <c r="R331" t="b">
        <f t="shared" si="10"/>
        <v>1</v>
      </c>
      <c r="S331" s="18">
        <f t="shared" si="11"/>
        <v>44835</v>
      </c>
    </row>
    <row r="332" spans="1:19" x14ac:dyDescent="0.25">
      <c r="A332" s="3" t="s">
        <v>1280</v>
      </c>
      <c r="B332" s="4" t="s">
        <v>171</v>
      </c>
      <c r="C332" s="14">
        <v>45378</v>
      </c>
      <c r="D332" s="4" t="s">
        <v>667</v>
      </c>
      <c r="E332" s="4" t="s">
        <v>699</v>
      </c>
      <c r="F332" s="4">
        <v>89.99</v>
      </c>
      <c r="G332" s="4">
        <v>3</v>
      </c>
      <c r="H332" s="4">
        <v>15</v>
      </c>
      <c r="I332" s="4">
        <v>76.489999999999995</v>
      </c>
      <c r="J332" s="4">
        <v>229.47</v>
      </c>
      <c r="K332" s="4" t="s">
        <v>682</v>
      </c>
      <c r="L332" s="4" t="s">
        <v>656</v>
      </c>
      <c r="M332" s="5">
        <v>4</v>
      </c>
      <c r="N332">
        <f>VLOOKUP(B332,Customers!A:J,7,0)</f>
        <v>55</v>
      </c>
      <c r="O332" t="str">
        <f>VLOOKUP(B332,Customers!A:J,5,0)</f>
        <v>Chicago</v>
      </c>
      <c r="P332" t="str">
        <f>VLOOKUP(B332,Customers!A:J,10,0)</f>
        <v>Silver</v>
      </c>
      <c r="Q332" t="str">
        <f>VLOOKUP(B332,Customers!A:J,8,0)</f>
        <v>Male</v>
      </c>
      <c r="R332" t="b">
        <f t="shared" si="10"/>
        <v>1</v>
      </c>
      <c r="S332" s="18">
        <f t="shared" si="11"/>
        <v>45352</v>
      </c>
    </row>
    <row r="333" spans="1:19" x14ac:dyDescent="0.25">
      <c r="A333" s="6" t="s">
        <v>1282</v>
      </c>
      <c r="B333" s="7" t="s">
        <v>171</v>
      </c>
      <c r="C333" s="15">
        <v>44959</v>
      </c>
      <c r="D333" s="7" t="s">
        <v>659</v>
      </c>
      <c r="E333" s="7" t="s">
        <v>762</v>
      </c>
      <c r="F333" s="7">
        <v>49.99</v>
      </c>
      <c r="G333" s="7">
        <v>4</v>
      </c>
      <c r="H333" s="7">
        <v>20</v>
      </c>
      <c r="I333" s="7">
        <v>39.99</v>
      </c>
      <c r="J333" s="7">
        <v>159.96</v>
      </c>
      <c r="K333" s="7" t="s">
        <v>655</v>
      </c>
      <c r="L333" s="7" t="s">
        <v>656</v>
      </c>
      <c r="M333" s="8">
        <v>5</v>
      </c>
      <c r="N333">
        <f>VLOOKUP(B333,Customers!A:J,7,0)</f>
        <v>55</v>
      </c>
      <c r="O333" t="str">
        <f>VLOOKUP(B333,Customers!A:J,5,0)</f>
        <v>Chicago</v>
      </c>
      <c r="P333" t="str">
        <f>VLOOKUP(B333,Customers!A:J,10,0)</f>
        <v>Silver</v>
      </c>
      <c r="Q333" t="str">
        <f>VLOOKUP(B333,Customers!A:J,8,0)</f>
        <v>Male</v>
      </c>
      <c r="R333" t="b">
        <f t="shared" si="10"/>
        <v>1</v>
      </c>
      <c r="S333" s="18">
        <f t="shared" si="11"/>
        <v>44958</v>
      </c>
    </row>
    <row r="334" spans="1:19" x14ac:dyDescent="0.25">
      <c r="A334" s="3" t="s">
        <v>1283</v>
      </c>
      <c r="B334" s="4" t="s">
        <v>171</v>
      </c>
      <c r="C334" s="14">
        <v>45024</v>
      </c>
      <c r="D334" s="4" t="s">
        <v>710</v>
      </c>
      <c r="E334" s="4" t="s">
        <v>744</v>
      </c>
      <c r="F334" s="4">
        <v>29.99</v>
      </c>
      <c r="G334" s="4">
        <v>1</v>
      </c>
      <c r="H334" s="4">
        <v>5</v>
      </c>
      <c r="I334" s="4">
        <v>28.49</v>
      </c>
      <c r="J334" s="4">
        <v>28.49</v>
      </c>
      <c r="K334" s="4" t="s">
        <v>669</v>
      </c>
      <c r="L334" s="4" t="s">
        <v>656</v>
      </c>
      <c r="M334" s="5"/>
      <c r="N334">
        <f>VLOOKUP(B334,Customers!A:J,7,0)</f>
        <v>55</v>
      </c>
      <c r="O334" t="str">
        <f>VLOOKUP(B334,Customers!A:J,5,0)</f>
        <v>Chicago</v>
      </c>
      <c r="P334" t="str">
        <f>VLOOKUP(B334,Customers!A:J,10,0)</f>
        <v>Silver</v>
      </c>
      <c r="Q334" t="str">
        <f>VLOOKUP(B334,Customers!A:J,8,0)</f>
        <v>Male</v>
      </c>
      <c r="R334" t="b">
        <f t="shared" si="10"/>
        <v>1</v>
      </c>
      <c r="S334" s="18">
        <f t="shared" si="11"/>
        <v>45017</v>
      </c>
    </row>
    <row r="335" spans="1:19" x14ac:dyDescent="0.25">
      <c r="A335" s="6" t="s">
        <v>1284</v>
      </c>
      <c r="B335" s="7" t="s">
        <v>171</v>
      </c>
      <c r="C335" s="15">
        <v>45079</v>
      </c>
      <c r="D335" s="7" t="s">
        <v>680</v>
      </c>
      <c r="E335" s="7" t="s">
        <v>681</v>
      </c>
      <c r="F335" s="7">
        <v>19.989999999999998</v>
      </c>
      <c r="G335" s="7">
        <v>3</v>
      </c>
      <c r="H335" s="7">
        <v>10</v>
      </c>
      <c r="I335" s="7">
        <v>17.989999999999998</v>
      </c>
      <c r="J335" s="7">
        <v>53.97</v>
      </c>
      <c r="K335" s="7" t="s">
        <v>675</v>
      </c>
      <c r="L335" s="7" t="s">
        <v>656</v>
      </c>
      <c r="M335" s="8">
        <v>4</v>
      </c>
      <c r="N335">
        <f>VLOOKUP(B335,Customers!A:J,7,0)</f>
        <v>55</v>
      </c>
      <c r="O335" t="str">
        <f>VLOOKUP(B335,Customers!A:J,5,0)</f>
        <v>Chicago</v>
      </c>
      <c r="P335" t="str">
        <f>VLOOKUP(B335,Customers!A:J,10,0)</f>
        <v>Silver</v>
      </c>
      <c r="Q335" t="str">
        <f>VLOOKUP(B335,Customers!A:J,8,0)</f>
        <v>Male</v>
      </c>
      <c r="R335" t="b">
        <f t="shared" si="10"/>
        <v>1</v>
      </c>
      <c r="S335" s="18">
        <f t="shared" si="11"/>
        <v>45078</v>
      </c>
    </row>
    <row r="336" spans="1:19" x14ac:dyDescent="0.25">
      <c r="A336" s="3" t="s">
        <v>1285</v>
      </c>
      <c r="B336" s="4" t="s">
        <v>171</v>
      </c>
      <c r="C336" s="14">
        <v>44963</v>
      </c>
      <c r="D336" s="4" t="s">
        <v>710</v>
      </c>
      <c r="E336" s="4" t="s">
        <v>730</v>
      </c>
      <c r="F336" s="4">
        <v>39.99</v>
      </c>
      <c r="G336" s="4">
        <v>3</v>
      </c>
      <c r="H336" s="4">
        <v>0</v>
      </c>
      <c r="I336" s="4">
        <v>39.99</v>
      </c>
      <c r="J336" s="4">
        <v>119.97</v>
      </c>
      <c r="K336" s="4" t="s">
        <v>669</v>
      </c>
      <c r="L336" s="4" t="s">
        <v>656</v>
      </c>
      <c r="M336" s="5"/>
      <c r="N336">
        <f>VLOOKUP(B336,Customers!A:J,7,0)</f>
        <v>55</v>
      </c>
      <c r="O336" t="str">
        <f>VLOOKUP(B336,Customers!A:J,5,0)</f>
        <v>Chicago</v>
      </c>
      <c r="P336" t="str">
        <f>VLOOKUP(B336,Customers!A:J,10,0)</f>
        <v>Silver</v>
      </c>
      <c r="Q336" t="str">
        <f>VLOOKUP(B336,Customers!A:J,8,0)</f>
        <v>Male</v>
      </c>
      <c r="R336" t="b">
        <f t="shared" si="10"/>
        <v>1</v>
      </c>
      <c r="S336" s="18">
        <f t="shared" si="11"/>
        <v>44958</v>
      </c>
    </row>
    <row r="337" spans="1:19" x14ac:dyDescent="0.25">
      <c r="A337" s="6" t="s">
        <v>1287</v>
      </c>
      <c r="B337" s="7" t="s">
        <v>171</v>
      </c>
      <c r="C337" s="15">
        <v>45312</v>
      </c>
      <c r="D337" s="7" t="s">
        <v>680</v>
      </c>
      <c r="E337" s="7" t="s">
        <v>708</v>
      </c>
      <c r="F337" s="7">
        <v>24.99</v>
      </c>
      <c r="G337" s="7">
        <v>4</v>
      </c>
      <c r="H337" s="7">
        <v>0</v>
      </c>
      <c r="I337" s="7">
        <v>24.99</v>
      </c>
      <c r="J337" s="7">
        <v>99.96</v>
      </c>
      <c r="K337" s="7" t="s">
        <v>675</v>
      </c>
      <c r="L337" s="7" t="s">
        <v>656</v>
      </c>
      <c r="M337" s="8"/>
      <c r="N337">
        <f>VLOOKUP(B337,Customers!A:J,7,0)</f>
        <v>55</v>
      </c>
      <c r="O337" t="str">
        <f>VLOOKUP(B337,Customers!A:J,5,0)</f>
        <v>Chicago</v>
      </c>
      <c r="P337" t="str">
        <f>VLOOKUP(B337,Customers!A:J,10,0)</f>
        <v>Silver</v>
      </c>
      <c r="Q337" t="str">
        <f>VLOOKUP(B337,Customers!A:J,8,0)</f>
        <v>Male</v>
      </c>
      <c r="R337" t="b">
        <f t="shared" si="10"/>
        <v>1</v>
      </c>
      <c r="S337" s="18">
        <f t="shared" si="11"/>
        <v>45292</v>
      </c>
    </row>
    <row r="338" spans="1:19" x14ac:dyDescent="0.25">
      <c r="A338" s="3" t="s">
        <v>1289</v>
      </c>
      <c r="B338" s="4" t="s">
        <v>171</v>
      </c>
      <c r="C338" s="14">
        <v>45031</v>
      </c>
      <c r="D338" s="4" t="s">
        <v>653</v>
      </c>
      <c r="E338" s="4" t="s">
        <v>654</v>
      </c>
      <c r="F338" s="4">
        <v>39.99</v>
      </c>
      <c r="G338" s="4">
        <v>2</v>
      </c>
      <c r="H338" s="4">
        <v>15</v>
      </c>
      <c r="I338" s="4">
        <v>33.99</v>
      </c>
      <c r="J338" s="4">
        <v>67.98</v>
      </c>
      <c r="K338" s="4" t="s">
        <v>675</v>
      </c>
      <c r="L338" s="4" t="s">
        <v>788</v>
      </c>
      <c r="M338" s="5"/>
      <c r="N338">
        <f>VLOOKUP(B338,Customers!A:J,7,0)</f>
        <v>55</v>
      </c>
      <c r="O338" t="str">
        <f>VLOOKUP(B338,Customers!A:J,5,0)</f>
        <v>Chicago</v>
      </c>
      <c r="P338" t="str">
        <f>VLOOKUP(B338,Customers!A:J,10,0)</f>
        <v>Silver</v>
      </c>
      <c r="Q338" t="str">
        <f>VLOOKUP(B338,Customers!A:J,8,0)</f>
        <v>Male</v>
      </c>
      <c r="R338" t="b">
        <f t="shared" si="10"/>
        <v>1</v>
      </c>
      <c r="S338" s="18">
        <f t="shared" si="11"/>
        <v>45017</v>
      </c>
    </row>
    <row r="339" spans="1:19" x14ac:dyDescent="0.25">
      <c r="A339" s="6" t="s">
        <v>1291</v>
      </c>
      <c r="B339" s="7" t="s">
        <v>171</v>
      </c>
      <c r="C339" s="15">
        <v>44881</v>
      </c>
      <c r="D339" s="7" t="s">
        <v>672</v>
      </c>
      <c r="E339" s="7" t="s">
        <v>673</v>
      </c>
      <c r="F339" s="7">
        <v>24.99</v>
      </c>
      <c r="G339" s="7">
        <v>2</v>
      </c>
      <c r="H339" s="7">
        <v>20</v>
      </c>
      <c r="I339" s="7">
        <v>19.989999999999998</v>
      </c>
      <c r="J339" s="7">
        <v>39.979999999999997</v>
      </c>
      <c r="K339" s="7" t="s">
        <v>655</v>
      </c>
      <c r="L339" s="7" t="s">
        <v>656</v>
      </c>
      <c r="M339" s="8"/>
      <c r="N339">
        <f>VLOOKUP(B339,Customers!A:J,7,0)</f>
        <v>55</v>
      </c>
      <c r="O339" t="str">
        <f>VLOOKUP(B339,Customers!A:J,5,0)</f>
        <v>Chicago</v>
      </c>
      <c r="P339" t="str">
        <f>VLOOKUP(B339,Customers!A:J,10,0)</f>
        <v>Silver</v>
      </c>
      <c r="Q339" t="str">
        <f>VLOOKUP(B339,Customers!A:J,8,0)</f>
        <v>Male</v>
      </c>
      <c r="R339" t="b">
        <f t="shared" si="10"/>
        <v>1</v>
      </c>
      <c r="S339" s="18">
        <f t="shared" si="11"/>
        <v>44866</v>
      </c>
    </row>
    <row r="340" spans="1:19" x14ac:dyDescent="0.25">
      <c r="A340" s="3" t="s">
        <v>1292</v>
      </c>
      <c r="B340" s="4" t="s">
        <v>171</v>
      </c>
      <c r="C340" s="14">
        <v>45611</v>
      </c>
      <c r="D340" s="4" t="s">
        <v>653</v>
      </c>
      <c r="E340" s="4" t="s">
        <v>769</v>
      </c>
      <c r="F340" s="4">
        <v>49.99</v>
      </c>
      <c r="G340" s="4">
        <v>3</v>
      </c>
      <c r="H340" s="4">
        <v>0</v>
      </c>
      <c r="I340" s="4">
        <v>49.99</v>
      </c>
      <c r="J340" s="4">
        <v>149.97</v>
      </c>
      <c r="K340" s="4" t="s">
        <v>655</v>
      </c>
      <c r="L340" s="4" t="s">
        <v>739</v>
      </c>
      <c r="M340" s="5"/>
      <c r="N340">
        <f>VLOOKUP(B340,Customers!A:J,7,0)</f>
        <v>55</v>
      </c>
      <c r="O340" t="str">
        <f>VLOOKUP(B340,Customers!A:J,5,0)</f>
        <v>Chicago</v>
      </c>
      <c r="P340" t="str">
        <f>VLOOKUP(B340,Customers!A:J,10,0)</f>
        <v>Silver</v>
      </c>
      <c r="Q340" t="str">
        <f>VLOOKUP(B340,Customers!A:J,8,0)</f>
        <v>Male</v>
      </c>
      <c r="R340" t="b">
        <f t="shared" si="10"/>
        <v>1</v>
      </c>
      <c r="S340" s="18">
        <f t="shared" si="11"/>
        <v>45597</v>
      </c>
    </row>
    <row r="341" spans="1:19" x14ac:dyDescent="0.25">
      <c r="A341" s="6" t="s">
        <v>1293</v>
      </c>
      <c r="B341" s="7" t="s">
        <v>174</v>
      </c>
      <c r="C341" s="15">
        <v>45072</v>
      </c>
      <c r="D341" s="7" t="s">
        <v>667</v>
      </c>
      <c r="E341" s="7" t="s">
        <v>699</v>
      </c>
      <c r="F341" s="7">
        <v>89.99</v>
      </c>
      <c r="G341" s="7">
        <v>2</v>
      </c>
      <c r="H341" s="7">
        <v>0</v>
      </c>
      <c r="I341" s="7">
        <v>89.99</v>
      </c>
      <c r="J341" s="7">
        <v>179.98</v>
      </c>
      <c r="K341" s="7" t="s">
        <v>682</v>
      </c>
      <c r="L341" s="7" t="s">
        <v>656</v>
      </c>
      <c r="M341" s="8">
        <v>5</v>
      </c>
      <c r="N341">
        <f>VLOOKUP(B341,Customers!A:J,7,0)</f>
        <v>48</v>
      </c>
      <c r="O341" t="str">
        <f>VLOOKUP(B341,Customers!A:J,5,0)</f>
        <v>Houston</v>
      </c>
      <c r="P341" t="str">
        <f>VLOOKUP(B341,Customers!A:J,10,0)</f>
        <v>Platinum</v>
      </c>
      <c r="Q341" t="str">
        <f>VLOOKUP(B341,Customers!A:J,8,0)</f>
        <v>Male</v>
      </c>
      <c r="R341" t="b">
        <f t="shared" si="10"/>
        <v>1</v>
      </c>
      <c r="S341" s="18">
        <f t="shared" si="11"/>
        <v>45047</v>
      </c>
    </row>
    <row r="342" spans="1:19" x14ac:dyDescent="0.25">
      <c r="A342" s="3" t="s">
        <v>1295</v>
      </c>
      <c r="B342" s="4" t="s">
        <v>174</v>
      </c>
      <c r="C342" s="14">
        <v>45457</v>
      </c>
      <c r="D342" s="4" t="s">
        <v>672</v>
      </c>
      <c r="E342" s="4" t="s">
        <v>724</v>
      </c>
      <c r="F342" s="4">
        <v>89.99</v>
      </c>
      <c r="G342" s="4">
        <v>4</v>
      </c>
      <c r="H342" s="4">
        <v>0</v>
      </c>
      <c r="I342" s="4">
        <v>89.99</v>
      </c>
      <c r="J342" s="4">
        <v>359.96</v>
      </c>
      <c r="K342" s="4" t="s">
        <v>661</v>
      </c>
      <c r="L342" s="4" t="s">
        <v>656</v>
      </c>
      <c r="M342" s="5">
        <v>4</v>
      </c>
      <c r="N342">
        <f>VLOOKUP(B342,Customers!A:J,7,0)</f>
        <v>48</v>
      </c>
      <c r="O342" t="str">
        <f>VLOOKUP(B342,Customers!A:J,5,0)</f>
        <v>Houston</v>
      </c>
      <c r="P342" t="str">
        <f>VLOOKUP(B342,Customers!A:J,10,0)</f>
        <v>Platinum</v>
      </c>
      <c r="Q342" t="str">
        <f>VLOOKUP(B342,Customers!A:J,8,0)</f>
        <v>Male</v>
      </c>
      <c r="R342" t="b">
        <f t="shared" si="10"/>
        <v>1</v>
      </c>
      <c r="S342" s="18">
        <f t="shared" si="11"/>
        <v>45444</v>
      </c>
    </row>
    <row r="343" spans="1:19" x14ac:dyDescent="0.25">
      <c r="A343" s="6" t="s">
        <v>1297</v>
      </c>
      <c r="B343" s="7" t="s">
        <v>174</v>
      </c>
      <c r="C343" s="15">
        <v>45526</v>
      </c>
      <c r="D343" s="7" t="s">
        <v>680</v>
      </c>
      <c r="E343" s="7" t="s">
        <v>708</v>
      </c>
      <c r="F343" s="7">
        <v>24.99</v>
      </c>
      <c r="G343" s="7">
        <v>2</v>
      </c>
      <c r="H343" s="7">
        <v>20</v>
      </c>
      <c r="I343" s="7">
        <v>19.989999999999998</v>
      </c>
      <c r="J343" s="7">
        <v>39.979999999999997</v>
      </c>
      <c r="K343" s="7" t="s">
        <v>669</v>
      </c>
      <c r="L343" s="7" t="s">
        <v>656</v>
      </c>
      <c r="M343" s="8"/>
      <c r="N343">
        <f>VLOOKUP(B343,Customers!A:J,7,0)</f>
        <v>48</v>
      </c>
      <c r="O343" t="str">
        <f>VLOOKUP(B343,Customers!A:J,5,0)</f>
        <v>Houston</v>
      </c>
      <c r="P343" t="str">
        <f>VLOOKUP(B343,Customers!A:J,10,0)</f>
        <v>Platinum</v>
      </c>
      <c r="Q343" t="str">
        <f>VLOOKUP(B343,Customers!A:J,8,0)</f>
        <v>Male</v>
      </c>
      <c r="R343" t="b">
        <f t="shared" si="10"/>
        <v>1</v>
      </c>
      <c r="S343" s="18">
        <f t="shared" si="11"/>
        <v>45505</v>
      </c>
    </row>
    <row r="344" spans="1:19" x14ac:dyDescent="0.25">
      <c r="A344" s="3" t="s">
        <v>1299</v>
      </c>
      <c r="B344" s="4" t="s">
        <v>174</v>
      </c>
      <c r="C344" s="14">
        <v>45224</v>
      </c>
      <c r="D344" s="4" t="s">
        <v>653</v>
      </c>
      <c r="E344" s="4" t="s">
        <v>727</v>
      </c>
      <c r="F344" s="4">
        <v>14.99</v>
      </c>
      <c r="G344" s="4">
        <v>4</v>
      </c>
      <c r="H344" s="4">
        <v>10</v>
      </c>
      <c r="I344" s="4">
        <v>13.49</v>
      </c>
      <c r="J344" s="4">
        <v>53.96</v>
      </c>
      <c r="K344" s="4" t="s">
        <v>669</v>
      </c>
      <c r="L344" s="4" t="s">
        <v>656</v>
      </c>
      <c r="M344" s="5">
        <v>4</v>
      </c>
      <c r="N344">
        <f>VLOOKUP(B344,Customers!A:J,7,0)</f>
        <v>48</v>
      </c>
      <c r="O344" t="str">
        <f>VLOOKUP(B344,Customers!A:J,5,0)</f>
        <v>Houston</v>
      </c>
      <c r="P344" t="str">
        <f>VLOOKUP(B344,Customers!A:J,10,0)</f>
        <v>Platinum</v>
      </c>
      <c r="Q344" t="str">
        <f>VLOOKUP(B344,Customers!A:J,8,0)</f>
        <v>Male</v>
      </c>
      <c r="R344" t="b">
        <f t="shared" si="10"/>
        <v>1</v>
      </c>
      <c r="S344" s="18">
        <f t="shared" si="11"/>
        <v>45200</v>
      </c>
    </row>
    <row r="345" spans="1:19" x14ac:dyDescent="0.25">
      <c r="A345" s="6" t="s">
        <v>1300</v>
      </c>
      <c r="B345" s="7" t="s">
        <v>174</v>
      </c>
      <c r="C345" s="15">
        <v>45041</v>
      </c>
      <c r="D345" s="7" t="s">
        <v>680</v>
      </c>
      <c r="E345" s="7" t="s">
        <v>708</v>
      </c>
      <c r="F345" s="7">
        <v>24.99</v>
      </c>
      <c r="G345" s="7">
        <v>2</v>
      </c>
      <c r="H345" s="7">
        <v>15</v>
      </c>
      <c r="I345" s="7">
        <v>21.24</v>
      </c>
      <c r="J345" s="7">
        <v>42.48</v>
      </c>
      <c r="K345" s="7" t="s">
        <v>669</v>
      </c>
      <c r="L345" s="7" t="s">
        <v>656</v>
      </c>
      <c r="M345" s="8">
        <v>5</v>
      </c>
      <c r="N345">
        <f>VLOOKUP(B345,Customers!A:J,7,0)</f>
        <v>48</v>
      </c>
      <c r="O345" t="str">
        <f>VLOOKUP(B345,Customers!A:J,5,0)</f>
        <v>Houston</v>
      </c>
      <c r="P345" t="str">
        <f>VLOOKUP(B345,Customers!A:J,10,0)</f>
        <v>Platinum</v>
      </c>
      <c r="Q345" t="str">
        <f>VLOOKUP(B345,Customers!A:J,8,0)</f>
        <v>Male</v>
      </c>
      <c r="R345" t="b">
        <f t="shared" si="10"/>
        <v>1</v>
      </c>
      <c r="S345" s="18">
        <f t="shared" si="11"/>
        <v>45017</v>
      </c>
    </row>
    <row r="346" spans="1:19" x14ac:dyDescent="0.25">
      <c r="A346" s="3" t="s">
        <v>1302</v>
      </c>
      <c r="B346" s="4" t="s">
        <v>174</v>
      </c>
      <c r="C346" s="14">
        <v>45363</v>
      </c>
      <c r="D346" s="4" t="s">
        <v>710</v>
      </c>
      <c r="E346" s="4" t="s">
        <v>730</v>
      </c>
      <c r="F346" s="4">
        <v>39.99</v>
      </c>
      <c r="G346" s="4">
        <v>1</v>
      </c>
      <c r="H346" s="4">
        <v>0</v>
      </c>
      <c r="I346" s="4">
        <v>39.99</v>
      </c>
      <c r="J346" s="4">
        <v>39.99</v>
      </c>
      <c r="K346" s="4" t="s">
        <v>661</v>
      </c>
      <c r="L346" s="4" t="s">
        <v>656</v>
      </c>
      <c r="M346" s="5"/>
      <c r="N346">
        <f>VLOOKUP(B346,Customers!A:J,7,0)</f>
        <v>48</v>
      </c>
      <c r="O346" t="str">
        <f>VLOOKUP(B346,Customers!A:J,5,0)</f>
        <v>Houston</v>
      </c>
      <c r="P346" t="str">
        <f>VLOOKUP(B346,Customers!A:J,10,0)</f>
        <v>Platinum</v>
      </c>
      <c r="Q346" t="str">
        <f>VLOOKUP(B346,Customers!A:J,8,0)</f>
        <v>Male</v>
      </c>
      <c r="R346" t="b">
        <f t="shared" si="10"/>
        <v>1</v>
      </c>
      <c r="S346" s="18">
        <f t="shared" si="11"/>
        <v>45352</v>
      </c>
    </row>
    <row r="347" spans="1:19" x14ac:dyDescent="0.25">
      <c r="A347" s="6" t="s">
        <v>1304</v>
      </c>
      <c r="B347" s="7" t="s">
        <v>174</v>
      </c>
      <c r="C347" s="15">
        <v>44569</v>
      </c>
      <c r="D347" s="7" t="s">
        <v>667</v>
      </c>
      <c r="E347" s="7" t="s">
        <v>668</v>
      </c>
      <c r="F347" s="7">
        <v>64.989999999999995</v>
      </c>
      <c r="G347" s="7">
        <v>2</v>
      </c>
      <c r="H347" s="7">
        <v>10</v>
      </c>
      <c r="I347" s="7">
        <v>58.49</v>
      </c>
      <c r="J347" s="7">
        <v>116.98</v>
      </c>
      <c r="K347" s="7" t="s">
        <v>682</v>
      </c>
      <c r="L347" s="7" t="s">
        <v>656</v>
      </c>
      <c r="M347" s="8"/>
      <c r="N347">
        <f>VLOOKUP(B347,Customers!A:J,7,0)</f>
        <v>48</v>
      </c>
      <c r="O347" t="str">
        <f>VLOOKUP(B347,Customers!A:J,5,0)</f>
        <v>Houston</v>
      </c>
      <c r="P347" t="str">
        <f>VLOOKUP(B347,Customers!A:J,10,0)</f>
        <v>Platinum</v>
      </c>
      <c r="Q347" t="str">
        <f>VLOOKUP(B347,Customers!A:J,8,0)</f>
        <v>Male</v>
      </c>
      <c r="R347" t="b">
        <f t="shared" si="10"/>
        <v>1</v>
      </c>
      <c r="S347" s="18">
        <f t="shared" si="11"/>
        <v>44562</v>
      </c>
    </row>
    <row r="348" spans="1:19" x14ac:dyDescent="0.25">
      <c r="A348" s="3" t="s">
        <v>1305</v>
      </c>
      <c r="B348" s="4" t="s">
        <v>174</v>
      </c>
      <c r="C348" s="14">
        <v>45460</v>
      </c>
      <c r="D348" s="4" t="s">
        <v>684</v>
      </c>
      <c r="E348" s="4" t="s">
        <v>702</v>
      </c>
      <c r="F348" s="4">
        <v>199.99</v>
      </c>
      <c r="G348" s="4">
        <v>4</v>
      </c>
      <c r="H348" s="4">
        <v>20</v>
      </c>
      <c r="I348" s="4">
        <v>159.99</v>
      </c>
      <c r="J348" s="4">
        <v>639.96</v>
      </c>
      <c r="K348" s="4" t="s">
        <v>669</v>
      </c>
      <c r="L348" s="4" t="s">
        <v>656</v>
      </c>
      <c r="M348" s="5"/>
      <c r="N348">
        <f>VLOOKUP(B348,Customers!A:J,7,0)</f>
        <v>48</v>
      </c>
      <c r="O348" t="str">
        <f>VLOOKUP(B348,Customers!A:J,5,0)</f>
        <v>Houston</v>
      </c>
      <c r="P348" t="str">
        <f>VLOOKUP(B348,Customers!A:J,10,0)</f>
        <v>Platinum</v>
      </c>
      <c r="Q348" t="str">
        <f>VLOOKUP(B348,Customers!A:J,8,0)</f>
        <v>Male</v>
      </c>
      <c r="R348" t="b">
        <f t="shared" si="10"/>
        <v>1</v>
      </c>
      <c r="S348" s="18">
        <f t="shared" si="11"/>
        <v>45444</v>
      </c>
    </row>
    <row r="349" spans="1:19" x14ac:dyDescent="0.25">
      <c r="A349" s="6" t="s">
        <v>1307</v>
      </c>
      <c r="B349" s="7" t="s">
        <v>174</v>
      </c>
      <c r="C349" s="15">
        <v>45519</v>
      </c>
      <c r="D349" s="7" t="s">
        <v>653</v>
      </c>
      <c r="E349" s="7" t="s">
        <v>727</v>
      </c>
      <c r="F349" s="7">
        <v>14.99</v>
      </c>
      <c r="G349" s="7">
        <v>2</v>
      </c>
      <c r="H349" s="7">
        <v>10</v>
      </c>
      <c r="I349" s="7">
        <v>13.49</v>
      </c>
      <c r="J349" s="7">
        <v>26.98</v>
      </c>
      <c r="K349" s="7" t="s">
        <v>675</v>
      </c>
      <c r="L349" s="7" t="s">
        <v>656</v>
      </c>
      <c r="M349" s="8">
        <v>4</v>
      </c>
      <c r="N349">
        <f>VLOOKUP(B349,Customers!A:J,7,0)</f>
        <v>48</v>
      </c>
      <c r="O349" t="str">
        <f>VLOOKUP(B349,Customers!A:J,5,0)</f>
        <v>Houston</v>
      </c>
      <c r="P349" t="str">
        <f>VLOOKUP(B349,Customers!A:J,10,0)</f>
        <v>Platinum</v>
      </c>
      <c r="Q349" t="str">
        <f>VLOOKUP(B349,Customers!A:J,8,0)</f>
        <v>Male</v>
      </c>
      <c r="R349" t="b">
        <f t="shared" si="10"/>
        <v>1</v>
      </c>
      <c r="S349" s="18">
        <f t="shared" si="11"/>
        <v>45505</v>
      </c>
    </row>
    <row r="350" spans="1:19" x14ac:dyDescent="0.25">
      <c r="A350" s="3" t="s">
        <v>1309</v>
      </c>
      <c r="B350" s="4" t="s">
        <v>174</v>
      </c>
      <c r="C350" s="14">
        <v>45509</v>
      </c>
      <c r="D350" s="4" t="s">
        <v>680</v>
      </c>
      <c r="E350" s="4" t="s">
        <v>749</v>
      </c>
      <c r="F350" s="4">
        <v>14.99</v>
      </c>
      <c r="G350" s="4">
        <v>4</v>
      </c>
      <c r="H350" s="4">
        <v>0</v>
      </c>
      <c r="I350" s="4">
        <v>14.99</v>
      </c>
      <c r="J350" s="4">
        <v>59.96</v>
      </c>
      <c r="K350" s="4" t="s">
        <v>669</v>
      </c>
      <c r="L350" s="4" t="s">
        <v>656</v>
      </c>
      <c r="M350" s="5">
        <v>3</v>
      </c>
      <c r="N350">
        <f>VLOOKUP(B350,Customers!A:J,7,0)</f>
        <v>48</v>
      </c>
      <c r="O350" t="str">
        <f>VLOOKUP(B350,Customers!A:J,5,0)</f>
        <v>Houston</v>
      </c>
      <c r="P350" t="str">
        <f>VLOOKUP(B350,Customers!A:J,10,0)</f>
        <v>Platinum</v>
      </c>
      <c r="Q350" t="str">
        <f>VLOOKUP(B350,Customers!A:J,8,0)</f>
        <v>Male</v>
      </c>
      <c r="R350" t="b">
        <f t="shared" si="10"/>
        <v>1</v>
      </c>
      <c r="S350" s="18">
        <f t="shared" si="11"/>
        <v>45505</v>
      </c>
    </row>
    <row r="351" spans="1:19" x14ac:dyDescent="0.25">
      <c r="A351" s="6" t="s">
        <v>1310</v>
      </c>
      <c r="B351" s="7" t="s">
        <v>174</v>
      </c>
      <c r="C351" s="15">
        <v>45616</v>
      </c>
      <c r="D351" s="7" t="s">
        <v>667</v>
      </c>
      <c r="E351" s="7" t="s">
        <v>714</v>
      </c>
      <c r="F351" s="7">
        <v>44.99</v>
      </c>
      <c r="G351" s="7">
        <v>3</v>
      </c>
      <c r="H351" s="7">
        <v>5</v>
      </c>
      <c r="I351" s="7">
        <v>42.74</v>
      </c>
      <c r="J351" s="7">
        <v>128.22</v>
      </c>
      <c r="K351" s="7" t="s">
        <v>669</v>
      </c>
      <c r="L351" s="7" t="s">
        <v>788</v>
      </c>
      <c r="M351" s="8">
        <v>5</v>
      </c>
      <c r="N351">
        <f>VLOOKUP(B351,Customers!A:J,7,0)</f>
        <v>48</v>
      </c>
      <c r="O351" t="str">
        <f>VLOOKUP(B351,Customers!A:J,5,0)</f>
        <v>Houston</v>
      </c>
      <c r="P351" t="str">
        <f>VLOOKUP(B351,Customers!A:J,10,0)</f>
        <v>Platinum</v>
      </c>
      <c r="Q351" t="str">
        <f>VLOOKUP(B351,Customers!A:J,8,0)</f>
        <v>Male</v>
      </c>
      <c r="R351" t="b">
        <f t="shared" si="10"/>
        <v>1</v>
      </c>
      <c r="S351" s="18">
        <f t="shared" si="11"/>
        <v>45597</v>
      </c>
    </row>
    <row r="352" spans="1:19" x14ac:dyDescent="0.25">
      <c r="A352" s="3" t="s">
        <v>1311</v>
      </c>
      <c r="B352" s="4" t="s">
        <v>177</v>
      </c>
      <c r="C352" s="14">
        <v>44805</v>
      </c>
      <c r="D352" s="4" t="s">
        <v>667</v>
      </c>
      <c r="E352" s="4" t="s">
        <v>668</v>
      </c>
      <c r="F352" s="4">
        <v>64.989999999999995</v>
      </c>
      <c r="G352" s="4">
        <v>3</v>
      </c>
      <c r="H352" s="4">
        <v>15</v>
      </c>
      <c r="I352" s="4">
        <v>55.24</v>
      </c>
      <c r="J352" s="4">
        <v>165.72</v>
      </c>
      <c r="K352" s="4" t="s">
        <v>655</v>
      </c>
      <c r="L352" s="4" t="s">
        <v>656</v>
      </c>
      <c r="M352" s="5"/>
      <c r="N352">
        <f>VLOOKUP(B352,Customers!A:J,7,0)</f>
        <v>49</v>
      </c>
      <c r="O352" t="str">
        <f>VLOOKUP(B352,Customers!A:J,5,0)</f>
        <v>New York</v>
      </c>
      <c r="P352" t="str">
        <f>VLOOKUP(B352,Customers!A:J,10,0)</f>
        <v>Free</v>
      </c>
      <c r="Q352" t="str">
        <f>VLOOKUP(B352,Customers!A:J,8,0)</f>
        <v>Female</v>
      </c>
      <c r="R352" t="b">
        <f t="shared" si="10"/>
        <v>1</v>
      </c>
      <c r="S352" s="18">
        <f t="shared" si="11"/>
        <v>44805</v>
      </c>
    </row>
    <row r="353" spans="1:19" x14ac:dyDescent="0.25">
      <c r="A353" s="6" t="s">
        <v>1312</v>
      </c>
      <c r="B353" s="7" t="s">
        <v>177</v>
      </c>
      <c r="C353" s="15">
        <v>45001</v>
      </c>
      <c r="D353" s="7" t="s">
        <v>667</v>
      </c>
      <c r="E353" s="7" t="s">
        <v>668</v>
      </c>
      <c r="F353" s="7">
        <v>64.989999999999995</v>
      </c>
      <c r="G353" s="7">
        <v>4</v>
      </c>
      <c r="H353" s="7">
        <v>15</v>
      </c>
      <c r="I353" s="7">
        <v>55.24</v>
      </c>
      <c r="J353" s="7">
        <v>220.96</v>
      </c>
      <c r="K353" s="7" t="s">
        <v>675</v>
      </c>
      <c r="L353" s="7" t="s">
        <v>656</v>
      </c>
      <c r="M353" s="8">
        <v>5</v>
      </c>
      <c r="N353">
        <f>VLOOKUP(B353,Customers!A:J,7,0)</f>
        <v>49</v>
      </c>
      <c r="O353" t="str">
        <f>VLOOKUP(B353,Customers!A:J,5,0)</f>
        <v>New York</v>
      </c>
      <c r="P353" t="str">
        <f>VLOOKUP(B353,Customers!A:J,10,0)</f>
        <v>Free</v>
      </c>
      <c r="Q353" t="str">
        <f>VLOOKUP(B353,Customers!A:J,8,0)</f>
        <v>Female</v>
      </c>
      <c r="R353" t="b">
        <f t="shared" si="10"/>
        <v>1</v>
      </c>
      <c r="S353" s="18">
        <f t="shared" si="11"/>
        <v>44986</v>
      </c>
    </row>
    <row r="354" spans="1:19" x14ac:dyDescent="0.25">
      <c r="A354" s="3" t="s">
        <v>1314</v>
      </c>
      <c r="B354" s="4" t="s">
        <v>177</v>
      </c>
      <c r="C354" s="14">
        <v>44636</v>
      </c>
      <c r="D354" s="4" t="s">
        <v>667</v>
      </c>
      <c r="E354" s="4" t="s">
        <v>699</v>
      </c>
      <c r="F354" s="4">
        <v>89.99</v>
      </c>
      <c r="G354" s="4">
        <v>3</v>
      </c>
      <c r="H354" s="4">
        <v>10</v>
      </c>
      <c r="I354" s="4">
        <v>80.989999999999995</v>
      </c>
      <c r="J354" s="4">
        <v>242.97</v>
      </c>
      <c r="K354" s="4" t="s">
        <v>675</v>
      </c>
      <c r="L354" s="4" t="s">
        <v>656</v>
      </c>
      <c r="M354" s="5"/>
      <c r="N354">
        <f>VLOOKUP(B354,Customers!A:J,7,0)</f>
        <v>49</v>
      </c>
      <c r="O354" t="str">
        <f>VLOOKUP(B354,Customers!A:J,5,0)</f>
        <v>New York</v>
      </c>
      <c r="P354" t="str">
        <f>VLOOKUP(B354,Customers!A:J,10,0)</f>
        <v>Free</v>
      </c>
      <c r="Q354" t="str">
        <f>VLOOKUP(B354,Customers!A:J,8,0)</f>
        <v>Female</v>
      </c>
      <c r="R354" t="b">
        <f t="shared" si="10"/>
        <v>1</v>
      </c>
      <c r="S354" s="18">
        <f t="shared" si="11"/>
        <v>44621</v>
      </c>
    </row>
    <row r="355" spans="1:19" x14ac:dyDescent="0.25">
      <c r="A355" s="6" t="s">
        <v>1315</v>
      </c>
      <c r="B355" s="7" t="s">
        <v>177</v>
      </c>
      <c r="C355" s="15">
        <v>45216</v>
      </c>
      <c r="D355" s="7" t="s">
        <v>667</v>
      </c>
      <c r="E355" s="7" t="s">
        <v>668</v>
      </c>
      <c r="F355" s="7">
        <v>64.989999999999995</v>
      </c>
      <c r="G355" s="7">
        <v>2</v>
      </c>
      <c r="H355" s="7">
        <v>5</v>
      </c>
      <c r="I355" s="7">
        <v>61.74</v>
      </c>
      <c r="J355" s="7">
        <v>123.48</v>
      </c>
      <c r="K355" s="7" t="s">
        <v>661</v>
      </c>
      <c r="L355" s="7" t="s">
        <v>656</v>
      </c>
      <c r="M355" s="8">
        <v>5</v>
      </c>
      <c r="N355">
        <f>VLOOKUP(B355,Customers!A:J,7,0)</f>
        <v>49</v>
      </c>
      <c r="O355" t="str">
        <f>VLOOKUP(B355,Customers!A:J,5,0)</f>
        <v>New York</v>
      </c>
      <c r="P355" t="str">
        <f>VLOOKUP(B355,Customers!A:J,10,0)</f>
        <v>Free</v>
      </c>
      <c r="Q355" t="str">
        <f>VLOOKUP(B355,Customers!A:J,8,0)</f>
        <v>Female</v>
      </c>
      <c r="R355" t="b">
        <f t="shared" si="10"/>
        <v>1</v>
      </c>
      <c r="S355" s="18">
        <f t="shared" si="11"/>
        <v>45200</v>
      </c>
    </row>
    <row r="356" spans="1:19" x14ac:dyDescent="0.25">
      <c r="A356" s="3" t="s">
        <v>1317</v>
      </c>
      <c r="B356" s="4" t="s">
        <v>177</v>
      </c>
      <c r="C356" s="14">
        <v>44851</v>
      </c>
      <c r="D356" s="4" t="s">
        <v>667</v>
      </c>
      <c r="E356" s="4" t="s">
        <v>699</v>
      </c>
      <c r="F356" s="4">
        <v>89.99</v>
      </c>
      <c r="G356" s="4">
        <v>3</v>
      </c>
      <c r="H356" s="4">
        <v>5</v>
      </c>
      <c r="I356" s="4">
        <v>85.49</v>
      </c>
      <c r="J356" s="4">
        <v>256.47000000000003</v>
      </c>
      <c r="K356" s="4" t="s">
        <v>661</v>
      </c>
      <c r="L356" s="4" t="s">
        <v>656</v>
      </c>
      <c r="M356" s="5"/>
      <c r="N356">
        <f>VLOOKUP(B356,Customers!A:J,7,0)</f>
        <v>49</v>
      </c>
      <c r="O356" t="str">
        <f>VLOOKUP(B356,Customers!A:J,5,0)</f>
        <v>New York</v>
      </c>
      <c r="P356" t="str">
        <f>VLOOKUP(B356,Customers!A:J,10,0)</f>
        <v>Free</v>
      </c>
      <c r="Q356" t="str">
        <f>VLOOKUP(B356,Customers!A:J,8,0)</f>
        <v>Female</v>
      </c>
      <c r="R356" t="b">
        <f t="shared" si="10"/>
        <v>1</v>
      </c>
      <c r="S356" s="18">
        <f t="shared" si="11"/>
        <v>44835</v>
      </c>
    </row>
    <row r="357" spans="1:19" x14ac:dyDescent="0.25">
      <c r="A357" s="6" t="s">
        <v>1318</v>
      </c>
      <c r="B357" s="7" t="s">
        <v>177</v>
      </c>
      <c r="C357" s="15">
        <v>45581</v>
      </c>
      <c r="D357" s="7" t="s">
        <v>653</v>
      </c>
      <c r="E357" s="7" t="s">
        <v>827</v>
      </c>
      <c r="F357" s="7">
        <v>29.99</v>
      </c>
      <c r="G357" s="7">
        <v>2</v>
      </c>
      <c r="H357" s="7">
        <v>0</v>
      </c>
      <c r="I357" s="7">
        <v>29.99</v>
      </c>
      <c r="J357" s="7">
        <v>59.98</v>
      </c>
      <c r="K357" s="7" t="s">
        <v>669</v>
      </c>
      <c r="L357" s="7" t="s">
        <v>656</v>
      </c>
      <c r="M357" s="8">
        <v>4</v>
      </c>
      <c r="N357">
        <f>VLOOKUP(B357,Customers!A:J,7,0)</f>
        <v>49</v>
      </c>
      <c r="O357" t="str">
        <f>VLOOKUP(B357,Customers!A:J,5,0)</f>
        <v>New York</v>
      </c>
      <c r="P357" t="str">
        <f>VLOOKUP(B357,Customers!A:J,10,0)</f>
        <v>Free</v>
      </c>
      <c r="Q357" t="str">
        <f>VLOOKUP(B357,Customers!A:J,8,0)</f>
        <v>Female</v>
      </c>
      <c r="R357" t="b">
        <f t="shared" si="10"/>
        <v>1</v>
      </c>
      <c r="S357" s="18">
        <f t="shared" si="11"/>
        <v>45566</v>
      </c>
    </row>
    <row r="358" spans="1:19" x14ac:dyDescent="0.25">
      <c r="A358" s="3" t="s">
        <v>1319</v>
      </c>
      <c r="B358" s="4" t="s">
        <v>180</v>
      </c>
      <c r="C358" s="14">
        <v>44610</v>
      </c>
      <c r="D358" s="4" t="s">
        <v>710</v>
      </c>
      <c r="E358" s="4" t="s">
        <v>711</v>
      </c>
      <c r="F358" s="4">
        <v>14.99</v>
      </c>
      <c r="G358" s="4">
        <v>3</v>
      </c>
      <c r="H358" s="4">
        <v>15</v>
      </c>
      <c r="I358" s="4">
        <v>12.74</v>
      </c>
      <c r="J358" s="4">
        <v>38.22</v>
      </c>
      <c r="K358" s="4" t="s">
        <v>682</v>
      </c>
      <c r="L358" s="4" t="s">
        <v>656</v>
      </c>
      <c r="M358" s="5"/>
      <c r="N358">
        <f>VLOOKUP(B358,Customers!A:J,7,0)</f>
        <v>32</v>
      </c>
      <c r="O358" t="str">
        <f>VLOOKUP(B358,Customers!A:J,5,0)</f>
        <v>Los Angeles</v>
      </c>
      <c r="P358" t="str">
        <f>VLOOKUP(B358,Customers!A:J,10,0)</f>
        <v>Silver</v>
      </c>
      <c r="Q358" t="str">
        <f>VLOOKUP(B358,Customers!A:J,8,0)</f>
        <v>Male</v>
      </c>
      <c r="R358" t="b">
        <f t="shared" si="10"/>
        <v>1</v>
      </c>
      <c r="S358" s="18">
        <f t="shared" si="11"/>
        <v>44593</v>
      </c>
    </row>
    <row r="359" spans="1:19" x14ac:dyDescent="0.25">
      <c r="A359" s="6" t="s">
        <v>1320</v>
      </c>
      <c r="B359" s="7" t="s">
        <v>180</v>
      </c>
      <c r="C359" s="15">
        <v>45201</v>
      </c>
      <c r="D359" s="7" t="s">
        <v>659</v>
      </c>
      <c r="E359" s="7" t="s">
        <v>762</v>
      </c>
      <c r="F359" s="7">
        <v>49.99</v>
      </c>
      <c r="G359" s="7">
        <v>3</v>
      </c>
      <c r="H359" s="7">
        <v>5</v>
      </c>
      <c r="I359" s="7">
        <v>47.49</v>
      </c>
      <c r="J359" s="7">
        <v>142.47</v>
      </c>
      <c r="K359" s="7" t="s">
        <v>675</v>
      </c>
      <c r="L359" s="7" t="s">
        <v>785</v>
      </c>
      <c r="M359" s="8">
        <v>5</v>
      </c>
      <c r="N359">
        <f>VLOOKUP(B359,Customers!A:J,7,0)</f>
        <v>32</v>
      </c>
      <c r="O359" t="str">
        <f>VLOOKUP(B359,Customers!A:J,5,0)</f>
        <v>Los Angeles</v>
      </c>
      <c r="P359" t="str">
        <f>VLOOKUP(B359,Customers!A:J,10,0)</f>
        <v>Silver</v>
      </c>
      <c r="Q359" t="str">
        <f>VLOOKUP(B359,Customers!A:J,8,0)</f>
        <v>Male</v>
      </c>
      <c r="R359" t="b">
        <f t="shared" si="10"/>
        <v>1</v>
      </c>
      <c r="S359" s="18">
        <f t="shared" si="11"/>
        <v>45200</v>
      </c>
    </row>
    <row r="360" spans="1:19" x14ac:dyDescent="0.25">
      <c r="A360" s="3" t="s">
        <v>1322</v>
      </c>
      <c r="B360" s="4" t="s">
        <v>180</v>
      </c>
      <c r="C360" s="14">
        <v>45452</v>
      </c>
      <c r="D360" s="4" t="s">
        <v>659</v>
      </c>
      <c r="E360" s="4" t="s">
        <v>660</v>
      </c>
      <c r="F360" s="4">
        <v>19.989999999999998</v>
      </c>
      <c r="G360" s="4">
        <v>1</v>
      </c>
      <c r="H360" s="4">
        <v>20</v>
      </c>
      <c r="I360" s="4">
        <v>15.99</v>
      </c>
      <c r="J360" s="4">
        <v>15.99</v>
      </c>
      <c r="K360" s="4" t="s">
        <v>669</v>
      </c>
      <c r="L360" s="4" t="s">
        <v>656</v>
      </c>
      <c r="M360" s="5"/>
      <c r="N360">
        <f>VLOOKUP(B360,Customers!A:J,7,0)</f>
        <v>32</v>
      </c>
      <c r="O360" t="str">
        <f>VLOOKUP(B360,Customers!A:J,5,0)</f>
        <v>Los Angeles</v>
      </c>
      <c r="P360" t="str">
        <f>VLOOKUP(B360,Customers!A:J,10,0)</f>
        <v>Silver</v>
      </c>
      <c r="Q360" t="str">
        <f>VLOOKUP(B360,Customers!A:J,8,0)</f>
        <v>Male</v>
      </c>
      <c r="R360" t="b">
        <f t="shared" si="10"/>
        <v>1</v>
      </c>
      <c r="S360" s="18">
        <f t="shared" si="11"/>
        <v>45444</v>
      </c>
    </row>
    <row r="361" spans="1:19" x14ac:dyDescent="0.25">
      <c r="A361" s="6" t="s">
        <v>1324</v>
      </c>
      <c r="B361" s="7" t="s">
        <v>180</v>
      </c>
      <c r="C361" s="15">
        <v>45644</v>
      </c>
      <c r="D361" s="7" t="s">
        <v>667</v>
      </c>
      <c r="E361" s="7" t="s">
        <v>699</v>
      </c>
      <c r="F361" s="7">
        <v>89.99</v>
      </c>
      <c r="G361" s="7">
        <v>2</v>
      </c>
      <c r="H361" s="7">
        <v>0</v>
      </c>
      <c r="I361" s="7">
        <v>89.99</v>
      </c>
      <c r="J361" s="7">
        <v>179.98</v>
      </c>
      <c r="K361" s="7" t="s">
        <v>675</v>
      </c>
      <c r="L361" s="7" t="s">
        <v>656</v>
      </c>
      <c r="M361" s="8">
        <v>4</v>
      </c>
      <c r="N361">
        <f>VLOOKUP(B361,Customers!A:J,7,0)</f>
        <v>32</v>
      </c>
      <c r="O361" t="str">
        <f>VLOOKUP(B361,Customers!A:J,5,0)</f>
        <v>Los Angeles</v>
      </c>
      <c r="P361" t="str">
        <f>VLOOKUP(B361,Customers!A:J,10,0)</f>
        <v>Silver</v>
      </c>
      <c r="Q361" t="str">
        <f>VLOOKUP(B361,Customers!A:J,8,0)</f>
        <v>Male</v>
      </c>
      <c r="R361" t="b">
        <f t="shared" si="10"/>
        <v>1</v>
      </c>
      <c r="S361" s="18">
        <f t="shared" si="11"/>
        <v>45627</v>
      </c>
    </row>
    <row r="362" spans="1:19" x14ac:dyDescent="0.25">
      <c r="A362" s="3" t="s">
        <v>1325</v>
      </c>
      <c r="B362" s="4" t="s">
        <v>180</v>
      </c>
      <c r="C362" s="14">
        <v>44770</v>
      </c>
      <c r="D362" s="4" t="s">
        <v>680</v>
      </c>
      <c r="E362" s="4" t="s">
        <v>749</v>
      </c>
      <c r="F362" s="4">
        <v>14.99</v>
      </c>
      <c r="G362" s="4">
        <v>2</v>
      </c>
      <c r="H362" s="4">
        <v>15</v>
      </c>
      <c r="I362" s="4">
        <v>12.74</v>
      </c>
      <c r="J362" s="4">
        <v>25.48</v>
      </c>
      <c r="K362" s="4" t="s">
        <v>675</v>
      </c>
      <c r="L362" s="4" t="s">
        <v>656</v>
      </c>
      <c r="M362" s="5"/>
      <c r="N362">
        <f>VLOOKUP(B362,Customers!A:J,7,0)</f>
        <v>32</v>
      </c>
      <c r="O362" t="str">
        <f>VLOOKUP(B362,Customers!A:J,5,0)</f>
        <v>Los Angeles</v>
      </c>
      <c r="P362" t="str">
        <f>VLOOKUP(B362,Customers!A:J,10,0)</f>
        <v>Silver</v>
      </c>
      <c r="Q362" t="str">
        <f>VLOOKUP(B362,Customers!A:J,8,0)</f>
        <v>Male</v>
      </c>
      <c r="R362" t="b">
        <f t="shared" si="10"/>
        <v>1</v>
      </c>
      <c r="S362" s="18">
        <f t="shared" si="11"/>
        <v>44743</v>
      </c>
    </row>
    <row r="363" spans="1:19" x14ac:dyDescent="0.25">
      <c r="A363" s="6" t="s">
        <v>1326</v>
      </c>
      <c r="B363" s="7" t="s">
        <v>180</v>
      </c>
      <c r="C363" s="15">
        <v>44703</v>
      </c>
      <c r="D363" s="7" t="s">
        <v>680</v>
      </c>
      <c r="E363" s="7" t="s">
        <v>681</v>
      </c>
      <c r="F363" s="7">
        <v>19.989999999999998</v>
      </c>
      <c r="G363" s="7">
        <v>2</v>
      </c>
      <c r="H363" s="7">
        <v>0</v>
      </c>
      <c r="I363" s="7">
        <v>19.989999999999998</v>
      </c>
      <c r="J363" s="7">
        <v>39.979999999999997</v>
      </c>
      <c r="K363" s="7" t="s">
        <v>682</v>
      </c>
      <c r="L363" s="7" t="s">
        <v>656</v>
      </c>
      <c r="M363" s="8"/>
      <c r="N363">
        <f>VLOOKUP(B363,Customers!A:J,7,0)</f>
        <v>32</v>
      </c>
      <c r="O363" t="str">
        <f>VLOOKUP(B363,Customers!A:J,5,0)</f>
        <v>Los Angeles</v>
      </c>
      <c r="P363" t="str">
        <f>VLOOKUP(B363,Customers!A:J,10,0)</f>
        <v>Silver</v>
      </c>
      <c r="Q363" t="str">
        <f>VLOOKUP(B363,Customers!A:J,8,0)</f>
        <v>Male</v>
      </c>
      <c r="R363" t="b">
        <f t="shared" si="10"/>
        <v>1</v>
      </c>
      <c r="S363" s="18">
        <f t="shared" si="11"/>
        <v>44682</v>
      </c>
    </row>
    <row r="364" spans="1:19" x14ac:dyDescent="0.25">
      <c r="A364" s="3" t="s">
        <v>1328</v>
      </c>
      <c r="B364" s="4" t="s">
        <v>180</v>
      </c>
      <c r="C364" s="14">
        <v>45263</v>
      </c>
      <c r="D364" s="4" t="s">
        <v>672</v>
      </c>
      <c r="E364" s="4" t="s">
        <v>735</v>
      </c>
      <c r="F364" s="4">
        <v>44.99</v>
      </c>
      <c r="G364" s="4">
        <v>2</v>
      </c>
      <c r="H364" s="4">
        <v>0</v>
      </c>
      <c r="I364" s="4">
        <v>44.99</v>
      </c>
      <c r="J364" s="4">
        <v>89.98</v>
      </c>
      <c r="K364" s="4" t="s">
        <v>682</v>
      </c>
      <c r="L364" s="4" t="s">
        <v>656</v>
      </c>
      <c r="M364" s="5">
        <v>4</v>
      </c>
      <c r="N364">
        <f>VLOOKUP(B364,Customers!A:J,7,0)</f>
        <v>32</v>
      </c>
      <c r="O364" t="str">
        <f>VLOOKUP(B364,Customers!A:J,5,0)</f>
        <v>Los Angeles</v>
      </c>
      <c r="P364" t="str">
        <f>VLOOKUP(B364,Customers!A:J,10,0)</f>
        <v>Silver</v>
      </c>
      <c r="Q364" t="str">
        <f>VLOOKUP(B364,Customers!A:J,8,0)</f>
        <v>Male</v>
      </c>
      <c r="R364" t="b">
        <f t="shared" si="10"/>
        <v>1</v>
      </c>
      <c r="S364" s="18">
        <f t="shared" si="11"/>
        <v>45261</v>
      </c>
    </row>
    <row r="365" spans="1:19" x14ac:dyDescent="0.25">
      <c r="A365" s="6" t="s">
        <v>1329</v>
      </c>
      <c r="B365" s="7" t="s">
        <v>180</v>
      </c>
      <c r="C365" s="15">
        <v>44679</v>
      </c>
      <c r="D365" s="7" t="s">
        <v>710</v>
      </c>
      <c r="E365" s="7" t="s">
        <v>744</v>
      </c>
      <c r="F365" s="7">
        <v>29.99</v>
      </c>
      <c r="G365" s="7">
        <v>1</v>
      </c>
      <c r="H365" s="7">
        <v>5</v>
      </c>
      <c r="I365" s="7">
        <v>28.49</v>
      </c>
      <c r="J365" s="7">
        <v>28.49</v>
      </c>
      <c r="K365" s="7" t="s">
        <v>682</v>
      </c>
      <c r="L365" s="7" t="s">
        <v>788</v>
      </c>
      <c r="M365" s="8">
        <v>5</v>
      </c>
      <c r="N365">
        <f>VLOOKUP(B365,Customers!A:J,7,0)</f>
        <v>32</v>
      </c>
      <c r="O365" t="str">
        <f>VLOOKUP(B365,Customers!A:J,5,0)</f>
        <v>Los Angeles</v>
      </c>
      <c r="P365" t="str">
        <f>VLOOKUP(B365,Customers!A:J,10,0)</f>
        <v>Silver</v>
      </c>
      <c r="Q365" t="str">
        <f>VLOOKUP(B365,Customers!A:J,8,0)</f>
        <v>Male</v>
      </c>
      <c r="R365" t="b">
        <f t="shared" si="10"/>
        <v>1</v>
      </c>
      <c r="S365" s="18">
        <f t="shared" si="11"/>
        <v>44652</v>
      </c>
    </row>
    <row r="366" spans="1:19" x14ac:dyDescent="0.25">
      <c r="A366" s="3" t="s">
        <v>1331</v>
      </c>
      <c r="B366" s="4" t="s">
        <v>180</v>
      </c>
      <c r="C366" s="14">
        <v>44816</v>
      </c>
      <c r="D366" s="4" t="s">
        <v>710</v>
      </c>
      <c r="E366" s="4" t="s">
        <v>721</v>
      </c>
      <c r="F366" s="4">
        <v>24.99</v>
      </c>
      <c r="G366" s="4">
        <v>1</v>
      </c>
      <c r="H366" s="4">
        <v>0</v>
      </c>
      <c r="I366" s="4">
        <v>24.99</v>
      </c>
      <c r="J366" s="4">
        <v>24.99</v>
      </c>
      <c r="K366" s="4" t="s">
        <v>682</v>
      </c>
      <c r="L366" s="4" t="s">
        <v>656</v>
      </c>
      <c r="M366" s="5"/>
      <c r="N366">
        <f>VLOOKUP(B366,Customers!A:J,7,0)</f>
        <v>32</v>
      </c>
      <c r="O366" t="str">
        <f>VLOOKUP(B366,Customers!A:J,5,0)</f>
        <v>Los Angeles</v>
      </c>
      <c r="P366" t="str">
        <f>VLOOKUP(B366,Customers!A:J,10,0)</f>
        <v>Silver</v>
      </c>
      <c r="Q366" t="str">
        <f>VLOOKUP(B366,Customers!A:J,8,0)</f>
        <v>Male</v>
      </c>
      <c r="R366" t="b">
        <f t="shared" si="10"/>
        <v>1</v>
      </c>
      <c r="S366" s="18">
        <f t="shared" si="11"/>
        <v>44805</v>
      </c>
    </row>
    <row r="367" spans="1:19" x14ac:dyDescent="0.25">
      <c r="A367" s="6" t="s">
        <v>1332</v>
      </c>
      <c r="B367" s="7" t="s">
        <v>180</v>
      </c>
      <c r="C367" s="15">
        <v>44734</v>
      </c>
      <c r="D367" s="7" t="s">
        <v>672</v>
      </c>
      <c r="E367" s="7" t="s">
        <v>724</v>
      </c>
      <c r="F367" s="7">
        <v>89.99</v>
      </c>
      <c r="G367" s="7">
        <v>3</v>
      </c>
      <c r="H367" s="7">
        <v>0</v>
      </c>
      <c r="I367" s="7">
        <v>89.99</v>
      </c>
      <c r="J367" s="7">
        <v>269.97000000000003</v>
      </c>
      <c r="K367" s="7" t="s">
        <v>682</v>
      </c>
      <c r="L367" s="7" t="s">
        <v>656</v>
      </c>
      <c r="M367" s="8"/>
      <c r="N367">
        <f>VLOOKUP(B367,Customers!A:J,7,0)</f>
        <v>32</v>
      </c>
      <c r="O367" t="str">
        <f>VLOOKUP(B367,Customers!A:J,5,0)</f>
        <v>Los Angeles</v>
      </c>
      <c r="P367" t="str">
        <f>VLOOKUP(B367,Customers!A:J,10,0)</f>
        <v>Silver</v>
      </c>
      <c r="Q367" t="str">
        <f>VLOOKUP(B367,Customers!A:J,8,0)</f>
        <v>Male</v>
      </c>
      <c r="R367" t="b">
        <f t="shared" si="10"/>
        <v>1</v>
      </c>
      <c r="S367" s="18">
        <f t="shared" si="11"/>
        <v>44713</v>
      </c>
    </row>
    <row r="368" spans="1:19" x14ac:dyDescent="0.25">
      <c r="A368" s="3" t="s">
        <v>1334</v>
      </c>
      <c r="B368" s="4" t="s">
        <v>183</v>
      </c>
      <c r="C368" s="14">
        <v>45006</v>
      </c>
      <c r="D368" s="4" t="s">
        <v>667</v>
      </c>
      <c r="E368" s="4" t="s">
        <v>699</v>
      </c>
      <c r="F368" s="4">
        <v>89.99</v>
      </c>
      <c r="G368" s="4">
        <v>2</v>
      </c>
      <c r="H368" s="4">
        <v>0</v>
      </c>
      <c r="I368" s="4">
        <v>89.99</v>
      </c>
      <c r="J368" s="4">
        <v>179.98</v>
      </c>
      <c r="K368" s="4" t="s">
        <v>655</v>
      </c>
      <c r="L368" s="4" t="s">
        <v>656</v>
      </c>
      <c r="M368" s="5">
        <v>4</v>
      </c>
      <c r="N368">
        <f>VLOOKUP(B368,Customers!A:J,7,0)</f>
        <v>35</v>
      </c>
      <c r="O368" t="str">
        <f>VLOOKUP(B368,Customers!A:J,5,0)</f>
        <v>San Jose</v>
      </c>
      <c r="P368" t="str">
        <f>VLOOKUP(B368,Customers!A:J,10,0)</f>
        <v>Free</v>
      </c>
      <c r="Q368" t="str">
        <f>VLOOKUP(B368,Customers!A:J,8,0)</f>
        <v>Female</v>
      </c>
      <c r="R368" t="b">
        <f t="shared" si="10"/>
        <v>1</v>
      </c>
      <c r="S368" s="18">
        <f t="shared" si="11"/>
        <v>44986</v>
      </c>
    </row>
    <row r="369" spans="1:19" x14ac:dyDescent="0.25">
      <c r="A369" s="6" t="s">
        <v>1335</v>
      </c>
      <c r="B369" s="7" t="s">
        <v>183</v>
      </c>
      <c r="C369" s="15">
        <v>44604</v>
      </c>
      <c r="D369" s="7" t="s">
        <v>653</v>
      </c>
      <c r="E369" s="7" t="s">
        <v>727</v>
      </c>
      <c r="F369" s="7">
        <v>14.99</v>
      </c>
      <c r="G369" s="7">
        <v>1</v>
      </c>
      <c r="H369" s="7">
        <v>0</v>
      </c>
      <c r="I369" s="7">
        <v>14.99</v>
      </c>
      <c r="J369" s="7">
        <v>14.99</v>
      </c>
      <c r="K369" s="7" t="s">
        <v>669</v>
      </c>
      <c r="L369" s="7" t="s">
        <v>656</v>
      </c>
      <c r="M369" s="8">
        <v>5</v>
      </c>
      <c r="N369">
        <f>VLOOKUP(B369,Customers!A:J,7,0)</f>
        <v>35</v>
      </c>
      <c r="O369" t="str">
        <f>VLOOKUP(B369,Customers!A:J,5,0)</f>
        <v>San Jose</v>
      </c>
      <c r="P369" t="str">
        <f>VLOOKUP(B369,Customers!A:J,10,0)</f>
        <v>Free</v>
      </c>
      <c r="Q369" t="str">
        <f>VLOOKUP(B369,Customers!A:J,8,0)</f>
        <v>Female</v>
      </c>
      <c r="R369" t="b">
        <f t="shared" si="10"/>
        <v>1</v>
      </c>
      <c r="S369" s="18">
        <f t="shared" si="11"/>
        <v>44593</v>
      </c>
    </row>
    <row r="370" spans="1:19" x14ac:dyDescent="0.25">
      <c r="A370" s="3" t="s">
        <v>1336</v>
      </c>
      <c r="B370" s="4" t="s">
        <v>183</v>
      </c>
      <c r="C370" s="14">
        <v>45187</v>
      </c>
      <c r="D370" s="4" t="s">
        <v>672</v>
      </c>
      <c r="E370" s="4" t="s">
        <v>735</v>
      </c>
      <c r="F370" s="4">
        <v>44.99</v>
      </c>
      <c r="G370" s="4">
        <v>1</v>
      </c>
      <c r="H370" s="4">
        <v>0</v>
      </c>
      <c r="I370" s="4">
        <v>44.99</v>
      </c>
      <c r="J370" s="4">
        <v>44.99</v>
      </c>
      <c r="K370" s="4" t="s">
        <v>682</v>
      </c>
      <c r="L370" s="4" t="s">
        <v>656</v>
      </c>
      <c r="M370" s="5">
        <v>5</v>
      </c>
      <c r="N370">
        <f>VLOOKUP(B370,Customers!A:J,7,0)</f>
        <v>35</v>
      </c>
      <c r="O370" t="str">
        <f>VLOOKUP(B370,Customers!A:J,5,0)</f>
        <v>San Jose</v>
      </c>
      <c r="P370" t="str">
        <f>VLOOKUP(B370,Customers!A:J,10,0)</f>
        <v>Free</v>
      </c>
      <c r="Q370" t="str">
        <f>VLOOKUP(B370,Customers!A:J,8,0)</f>
        <v>Female</v>
      </c>
      <c r="R370" t="b">
        <f t="shared" si="10"/>
        <v>1</v>
      </c>
      <c r="S370" s="18">
        <f t="shared" si="11"/>
        <v>45170</v>
      </c>
    </row>
    <row r="371" spans="1:19" x14ac:dyDescent="0.25">
      <c r="A371" s="6" t="s">
        <v>1338</v>
      </c>
      <c r="B371" s="7" t="s">
        <v>183</v>
      </c>
      <c r="C371" s="15">
        <v>44829</v>
      </c>
      <c r="D371" s="7" t="s">
        <v>672</v>
      </c>
      <c r="E371" s="7" t="s">
        <v>803</v>
      </c>
      <c r="F371" s="7">
        <v>69.989999999999995</v>
      </c>
      <c r="G371" s="7">
        <v>1</v>
      </c>
      <c r="H371" s="7">
        <v>0</v>
      </c>
      <c r="I371" s="7">
        <v>69.989999999999995</v>
      </c>
      <c r="J371" s="7">
        <v>69.989999999999995</v>
      </c>
      <c r="K371" s="7" t="s">
        <v>655</v>
      </c>
      <c r="L371" s="7" t="s">
        <v>656</v>
      </c>
      <c r="M371" s="8">
        <v>5</v>
      </c>
      <c r="N371">
        <f>VLOOKUP(B371,Customers!A:J,7,0)</f>
        <v>35</v>
      </c>
      <c r="O371" t="str">
        <f>VLOOKUP(B371,Customers!A:J,5,0)</f>
        <v>San Jose</v>
      </c>
      <c r="P371" t="str">
        <f>VLOOKUP(B371,Customers!A:J,10,0)</f>
        <v>Free</v>
      </c>
      <c r="Q371" t="str">
        <f>VLOOKUP(B371,Customers!A:J,8,0)</f>
        <v>Female</v>
      </c>
      <c r="R371" t="b">
        <f t="shared" si="10"/>
        <v>1</v>
      </c>
      <c r="S371" s="18">
        <f t="shared" si="11"/>
        <v>44805</v>
      </c>
    </row>
    <row r="372" spans="1:19" x14ac:dyDescent="0.25">
      <c r="A372" s="3" t="s">
        <v>1340</v>
      </c>
      <c r="B372" s="4" t="s">
        <v>183</v>
      </c>
      <c r="C372" s="14">
        <v>44812</v>
      </c>
      <c r="D372" s="4" t="s">
        <v>684</v>
      </c>
      <c r="E372" s="4" t="s">
        <v>815</v>
      </c>
      <c r="F372" s="4">
        <v>34.99</v>
      </c>
      <c r="G372" s="4">
        <v>3</v>
      </c>
      <c r="H372" s="4">
        <v>15</v>
      </c>
      <c r="I372" s="4">
        <v>29.74</v>
      </c>
      <c r="J372" s="4">
        <v>89.22</v>
      </c>
      <c r="K372" s="4" t="s">
        <v>661</v>
      </c>
      <c r="L372" s="4" t="s">
        <v>656</v>
      </c>
      <c r="M372" s="5">
        <v>5</v>
      </c>
      <c r="N372">
        <f>VLOOKUP(B372,Customers!A:J,7,0)</f>
        <v>35</v>
      </c>
      <c r="O372" t="str">
        <f>VLOOKUP(B372,Customers!A:J,5,0)</f>
        <v>San Jose</v>
      </c>
      <c r="P372" t="str">
        <f>VLOOKUP(B372,Customers!A:J,10,0)</f>
        <v>Free</v>
      </c>
      <c r="Q372" t="str">
        <f>VLOOKUP(B372,Customers!A:J,8,0)</f>
        <v>Female</v>
      </c>
      <c r="R372" t="b">
        <f t="shared" si="10"/>
        <v>1</v>
      </c>
      <c r="S372" s="18">
        <f t="shared" si="11"/>
        <v>44805</v>
      </c>
    </row>
    <row r="373" spans="1:19" x14ac:dyDescent="0.25">
      <c r="A373" s="6" t="s">
        <v>1342</v>
      </c>
      <c r="B373" s="7" t="s">
        <v>183</v>
      </c>
      <c r="C373" s="15">
        <v>44750</v>
      </c>
      <c r="D373" s="7" t="s">
        <v>684</v>
      </c>
      <c r="E373" s="7" t="s">
        <v>702</v>
      </c>
      <c r="F373" s="7">
        <v>199.99</v>
      </c>
      <c r="G373" s="7">
        <v>1</v>
      </c>
      <c r="H373" s="7">
        <v>15</v>
      </c>
      <c r="I373" s="7">
        <v>169.99</v>
      </c>
      <c r="J373" s="7">
        <v>169.99</v>
      </c>
      <c r="K373" s="7" t="s">
        <v>661</v>
      </c>
      <c r="L373" s="7" t="s">
        <v>656</v>
      </c>
      <c r="M373" s="8">
        <v>4</v>
      </c>
      <c r="N373">
        <f>VLOOKUP(B373,Customers!A:J,7,0)</f>
        <v>35</v>
      </c>
      <c r="O373" t="str">
        <f>VLOOKUP(B373,Customers!A:J,5,0)</f>
        <v>San Jose</v>
      </c>
      <c r="P373" t="str">
        <f>VLOOKUP(B373,Customers!A:J,10,0)</f>
        <v>Free</v>
      </c>
      <c r="Q373" t="str">
        <f>VLOOKUP(B373,Customers!A:J,8,0)</f>
        <v>Female</v>
      </c>
      <c r="R373" t="b">
        <f t="shared" si="10"/>
        <v>1</v>
      </c>
      <c r="S373" s="18">
        <f t="shared" si="11"/>
        <v>44743</v>
      </c>
    </row>
    <row r="374" spans="1:19" x14ac:dyDescent="0.25">
      <c r="A374" s="3" t="s">
        <v>1344</v>
      </c>
      <c r="B374" s="4" t="s">
        <v>183</v>
      </c>
      <c r="C374" s="14">
        <v>45340</v>
      </c>
      <c r="D374" s="4" t="s">
        <v>710</v>
      </c>
      <c r="E374" s="4" t="s">
        <v>721</v>
      </c>
      <c r="F374" s="4">
        <v>24.99</v>
      </c>
      <c r="G374" s="4">
        <v>4</v>
      </c>
      <c r="H374" s="4">
        <v>5</v>
      </c>
      <c r="I374" s="4">
        <v>23.74</v>
      </c>
      <c r="J374" s="4">
        <v>94.96</v>
      </c>
      <c r="K374" s="4" t="s">
        <v>669</v>
      </c>
      <c r="L374" s="4" t="s">
        <v>785</v>
      </c>
      <c r="M374" s="5">
        <v>5</v>
      </c>
      <c r="N374">
        <f>VLOOKUP(B374,Customers!A:J,7,0)</f>
        <v>35</v>
      </c>
      <c r="O374" t="str">
        <f>VLOOKUP(B374,Customers!A:J,5,0)</f>
        <v>San Jose</v>
      </c>
      <c r="P374" t="str">
        <f>VLOOKUP(B374,Customers!A:J,10,0)</f>
        <v>Free</v>
      </c>
      <c r="Q374" t="str">
        <f>VLOOKUP(B374,Customers!A:J,8,0)</f>
        <v>Female</v>
      </c>
      <c r="R374" t="b">
        <f t="shared" si="10"/>
        <v>1</v>
      </c>
      <c r="S374" s="18">
        <f t="shared" si="11"/>
        <v>45323</v>
      </c>
    </row>
    <row r="375" spans="1:19" x14ac:dyDescent="0.25">
      <c r="A375" s="6" t="s">
        <v>1346</v>
      </c>
      <c r="B375" s="7" t="s">
        <v>183</v>
      </c>
      <c r="C375" s="15">
        <v>45651</v>
      </c>
      <c r="D375" s="7" t="s">
        <v>684</v>
      </c>
      <c r="E375" s="7" t="s">
        <v>705</v>
      </c>
      <c r="F375" s="7">
        <v>79.989999999999995</v>
      </c>
      <c r="G375" s="7">
        <v>1</v>
      </c>
      <c r="H375" s="7">
        <v>0</v>
      </c>
      <c r="I375" s="7">
        <v>79.989999999999995</v>
      </c>
      <c r="J375" s="7">
        <v>79.989999999999995</v>
      </c>
      <c r="K375" s="7" t="s">
        <v>675</v>
      </c>
      <c r="L375" s="7" t="s">
        <v>656</v>
      </c>
      <c r="M375" s="8">
        <v>5</v>
      </c>
      <c r="N375">
        <f>VLOOKUP(B375,Customers!A:J,7,0)</f>
        <v>35</v>
      </c>
      <c r="O375" t="str">
        <f>VLOOKUP(B375,Customers!A:J,5,0)</f>
        <v>San Jose</v>
      </c>
      <c r="P375" t="str">
        <f>VLOOKUP(B375,Customers!A:J,10,0)</f>
        <v>Free</v>
      </c>
      <c r="Q375" t="str">
        <f>VLOOKUP(B375,Customers!A:J,8,0)</f>
        <v>Female</v>
      </c>
      <c r="R375" t="b">
        <f t="shared" si="10"/>
        <v>1</v>
      </c>
      <c r="S375" s="18">
        <f t="shared" si="11"/>
        <v>45627</v>
      </c>
    </row>
    <row r="376" spans="1:19" x14ac:dyDescent="0.25">
      <c r="A376" s="3" t="s">
        <v>1348</v>
      </c>
      <c r="B376" s="4" t="s">
        <v>186</v>
      </c>
      <c r="C376" s="14">
        <v>44967</v>
      </c>
      <c r="D376" s="4" t="s">
        <v>672</v>
      </c>
      <c r="E376" s="4" t="s">
        <v>673</v>
      </c>
      <c r="F376" s="4">
        <v>24.99</v>
      </c>
      <c r="G376" s="4">
        <v>4</v>
      </c>
      <c r="H376" s="4">
        <v>5</v>
      </c>
      <c r="I376" s="4">
        <v>23.74</v>
      </c>
      <c r="J376" s="4">
        <v>94.96</v>
      </c>
      <c r="K376" s="4" t="s">
        <v>675</v>
      </c>
      <c r="L376" s="4" t="s">
        <v>656</v>
      </c>
      <c r="M376" s="5">
        <v>4</v>
      </c>
      <c r="N376">
        <f>VLOOKUP(B376,Customers!A:J,7,0)</f>
        <v>58</v>
      </c>
      <c r="O376" t="str">
        <f>VLOOKUP(B376,Customers!A:J,5,0)</f>
        <v>Dallas</v>
      </c>
      <c r="P376" t="str">
        <f>VLOOKUP(B376,Customers!A:J,10,0)</f>
        <v>Silver</v>
      </c>
      <c r="Q376" t="str">
        <f>VLOOKUP(B376,Customers!A:J,8,0)</f>
        <v>Female</v>
      </c>
      <c r="R376" t="b">
        <f t="shared" si="10"/>
        <v>1</v>
      </c>
      <c r="S376" s="18">
        <f t="shared" si="11"/>
        <v>44958</v>
      </c>
    </row>
    <row r="377" spans="1:19" x14ac:dyDescent="0.25">
      <c r="A377" s="6" t="s">
        <v>1350</v>
      </c>
      <c r="B377" s="7" t="s">
        <v>189</v>
      </c>
      <c r="C377" s="15">
        <v>45433</v>
      </c>
      <c r="D377" s="7" t="s">
        <v>684</v>
      </c>
      <c r="E377" s="7" t="s">
        <v>685</v>
      </c>
      <c r="F377" s="7">
        <v>49.99</v>
      </c>
      <c r="G377" s="7">
        <v>1</v>
      </c>
      <c r="H377" s="7">
        <v>0</v>
      </c>
      <c r="I377" s="7">
        <v>49.99</v>
      </c>
      <c r="J377" s="7">
        <v>49.99</v>
      </c>
      <c r="K377" s="7" t="s">
        <v>655</v>
      </c>
      <c r="L377" s="7" t="s">
        <v>656</v>
      </c>
      <c r="M377" s="8"/>
      <c r="N377">
        <f>VLOOKUP(B377,Customers!A:J,7,0)</f>
        <v>64</v>
      </c>
      <c r="O377" t="str">
        <f>VLOOKUP(B377,Customers!A:J,5,0)</f>
        <v>Houston</v>
      </c>
      <c r="P377" t="str">
        <f>VLOOKUP(B377,Customers!A:J,10,0)</f>
        <v>Free</v>
      </c>
      <c r="Q377" t="str">
        <f>VLOOKUP(B377,Customers!A:J,8,0)</f>
        <v>Female</v>
      </c>
      <c r="R377" t="b">
        <f t="shared" si="10"/>
        <v>1</v>
      </c>
      <c r="S377" s="18">
        <f t="shared" si="11"/>
        <v>45413</v>
      </c>
    </row>
    <row r="378" spans="1:19" x14ac:dyDescent="0.25">
      <c r="A378" s="3" t="s">
        <v>1352</v>
      </c>
      <c r="B378" s="4" t="s">
        <v>189</v>
      </c>
      <c r="C378" s="14">
        <v>45393</v>
      </c>
      <c r="D378" s="4" t="s">
        <v>710</v>
      </c>
      <c r="E378" s="4" t="s">
        <v>721</v>
      </c>
      <c r="F378" s="4">
        <v>24.99</v>
      </c>
      <c r="G378" s="4">
        <v>2</v>
      </c>
      <c r="H378" s="4">
        <v>5</v>
      </c>
      <c r="I378" s="4">
        <v>23.74</v>
      </c>
      <c r="J378" s="4">
        <v>47.48</v>
      </c>
      <c r="K378" s="4" t="s">
        <v>682</v>
      </c>
      <c r="L378" s="4" t="s">
        <v>656</v>
      </c>
      <c r="M378" s="5">
        <v>2</v>
      </c>
      <c r="N378">
        <f>VLOOKUP(B378,Customers!A:J,7,0)</f>
        <v>64</v>
      </c>
      <c r="O378" t="str">
        <f>VLOOKUP(B378,Customers!A:J,5,0)</f>
        <v>Houston</v>
      </c>
      <c r="P378" t="str">
        <f>VLOOKUP(B378,Customers!A:J,10,0)</f>
        <v>Free</v>
      </c>
      <c r="Q378" t="str">
        <f>VLOOKUP(B378,Customers!A:J,8,0)</f>
        <v>Female</v>
      </c>
      <c r="R378" t="b">
        <f t="shared" si="10"/>
        <v>1</v>
      </c>
      <c r="S378" s="18">
        <f t="shared" si="11"/>
        <v>45383</v>
      </c>
    </row>
    <row r="379" spans="1:19" x14ac:dyDescent="0.25">
      <c r="A379" s="6" t="s">
        <v>1354</v>
      </c>
      <c r="B379" s="7" t="s">
        <v>192</v>
      </c>
      <c r="C379" s="15">
        <v>44738</v>
      </c>
      <c r="D379" s="7" t="s">
        <v>680</v>
      </c>
      <c r="E379" s="7" t="s">
        <v>681</v>
      </c>
      <c r="F379" s="7">
        <v>19.989999999999998</v>
      </c>
      <c r="G379" s="7">
        <v>4</v>
      </c>
      <c r="H379" s="7">
        <v>0</v>
      </c>
      <c r="I379" s="7">
        <v>19.989999999999998</v>
      </c>
      <c r="J379" s="7">
        <v>79.959999999999994</v>
      </c>
      <c r="K379" s="7" t="s">
        <v>682</v>
      </c>
      <c r="L379" s="7" t="s">
        <v>656</v>
      </c>
      <c r="M379" s="8">
        <v>2</v>
      </c>
      <c r="N379">
        <f>VLOOKUP(B379,Customers!A:J,7,0)</f>
        <v>58</v>
      </c>
      <c r="O379" t="str">
        <f>VLOOKUP(B379,Customers!A:J,5,0)</f>
        <v>San Diego</v>
      </c>
      <c r="P379" t="str">
        <f>VLOOKUP(B379,Customers!A:J,10,0)</f>
        <v>Free</v>
      </c>
      <c r="Q379" t="str">
        <f>VLOOKUP(B379,Customers!A:J,8,0)</f>
        <v>Female</v>
      </c>
      <c r="R379" t="b">
        <f t="shared" si="10"/>
        <v>1</v>
      </c>
      <c r="S379" s="18">
        <f t="shared" si="11"/>
        <v>44713</v>
      </c>
    </row>
    <row r="380" spans="1:19" x14ac:dyDescent="0.25">
      <c r="A380" s="3" t="s">
        <v>1356</v>
      </c>
      <c r="B380" s="4" t="s">
        <v>192</v>
      </c>
      <c r="C380" s="14">
        <v>44743</v>
      </c>
      <c r="D380" s="4" t="s">
        <v>672</v>
      </c>
      <c r="E380" s="4" t="s">
        <v>803</v>
      </c>
      <c r="F380" s="4">
        <v>69.989999999999995</v>
      </c>
      <c r="G380" s="4">
        <v>1</v>
      </c>
      <c r="H380" s="4">
        <v>5</v>
      </c>
      <c r="I380" s="4">
        <v>66.489999999999995</v>
      </c>
      <c r="J380" s="4">
        <v>66.489999999999995</v>
      </c>
      <c r="K380" s="4" t="s">
        <v>655</v>
      </c>
      <c r="L380" s="4" t="s">
        <v>656</v>
      </c>
      <c r="M380" s="5">
        <v>1</v>
      </c>
      <c r="N380">
        <f>VLOOKUP(B380,Customers!A:J,7,0)</f>
        <v>58</v>
      </c>
      <c r="O380" t="str">
        <f>VLOOKUP(B380,Customers!A:J,5,0)</f>
        <v>San Diego</v>
      </c>
      <c r="P380" t="str">
        <f>VLOOKUP(B380,Customers!A:J,10,0)</f>
        <v>Free</v>
      </c>
      <c r="Q380" t="str">
        <f>VLOOKUP(B380,Customers!A:J,8,0)</f>
        <v>Female</v>
      </c>
      <c r="R380" t="b">
        <f t="shared" si="10"/>
        <v>1</v>
      </c>
      <c r="S380" s="18">
        <f t="shared" si="11"/>
        <v>44743</v>
      </c>
    </row>
    <row r="381" spans="1:19" x14ac:dyDescent="0.25">
      <c r="A381" s="6" t="s">
        <v>1357</v>
      </c>
      <c r="B381" s="7" t="s">
        <v>192</v>
      </c>
      <c r="C381" s="15">
        <v>45319</v>
      </c>
      <c r="D381" s="7" t="s">
        <v>659</v>
      </c>
      <c r="E381" s="7" t="s">
        <v>664</v>
      </c>
      <c r="F381" s="7">
        <v>24.99</v>
      </c>
      <c r="G381" s="7">
        <v>4</v>
      </c>
      <c r="H381" s="7">
        <v>10</v>
      </c>
      <c r="I381" s="7">
        <v>22.49</v>
      </c>
      <c r="J381" s="7">
        <v>89.96</v>
      </c>
      <c r="K381" s="7" t="s">
        <v>675</v>
      </c>
      <c r="L381" s="7" t="s">
        <v>656</v>
      </c>
      <c r="M381" s="8"/>
      <c r="N381">
        <f>VLOOKUP(B381,Customers!A:J,7,0)</f>
        <v>58</v>
      </c>
      <c r="O381" t="str">
        <f>VLOOKUP(B381,Customers!A:J,5,0)</f>
        <v>San Diego</v>
      </c>
      <c r="P381" t="str">
        <f>VLOOKUP(B381,Customers!A:J,10,0)</f>
        <v>Free</v>
      </c>
      <c r="Q381" t="str">
        <f>VLOOKUP(B381,Customers!A:J,8,0)</f>
        <v>Female</v>
      </c>
      <c r="R381" t="b">
        <f t="shared" si="10"/>
        <v>1</v>
      </c>
      <c r="S381" s="18">
        <f t="shared" si="11"/>
        <v>45292</v>
      </c>
    </row>
    <row r="382" spans="1:19" x14ac:dyDescent="0.25">
      <c r="A382" s="3" t="s">
        <v>1359</v>
      </c>
      <c r="B382" s="4" t="s">
        <v>192</v>
      </c>
      <c r="C382" s="14">
        <v>45177</v>
      </c>
      <c r="D382" s="4" t="s">
        <v>684</v>
      </c>
      <c r="E382" s="4" t="s">
        <v>685</v>
      </c>
      <c r="F382" s="4">
        <v>49.99</v>
      </c>
      <c r="G382" s="4">
        <v>3</v>
      </c>
      <c r="H382" s="4">
        <v>0</v>
      </c>
      <c r="I382" s="4">
        <v>49.99</v>
      </c>
      <c r="J382" s="4">
        <v>149.97</v>
      </c>
      <c r="K382" s="4" t="s">
        <v>675</v>
      </c>
      <c r="L382" s="4" t="s">
        <v>656</v>
      </c>
      <c r="M382" s="5">
        <v>5</v>
      </c>
      <c r="N382">
        <f>VLOOKUP(B382,Customers!A:J,7,0)</f>
        <v>58</v>
      </c>
      <c r="O382" t="str">
        <f>VLOOKUP(B382,Customers!A:J,5,0)</f>
        <v>San Diego</v>
      </c>
      <c r="P382" t="str">
        <f>VLOOKUP(B382,Customers!A:J,10,0)</f>
        <v>Free</v>
      </c>
      <c r="Q382" t="str">
        <f>VLOOKUP(B382,Customers!A:J,8,0)</f>
        <v>Female</v>
      </c>
      <c r="R382" t="b">
        <f t="shared" si="10"/>
        <v>1</v>
      </c>
      <c r="S382" s="18">
        <f t="shared" si="11"/>
        <v>45170</v>
      </c>
    </row>
    <row r="383" spans="1:19" x14ac:dyDescent="0.25">
      <c r="A383" s="6" t="s">
        <v>1361</v>
      </c>
      <c r="B383" s="7" t="s">
        <v>192</v>
      </c>
      <c r="C383" s="15">
        <v>45196</v>
      </c>
      <c r="D383" s="7" t="s">
        <v>659</v>
      </c>
      <c r="E383" s="7" t="s">
        <v>820</v>
      </c>
      <c r="F383" s="7">
        <v>39.99</v>
      </c>
      <c r="G383" s="7">
        <v>3</v>
      </c>
      <c r="H383" s="7">
        <v>0</v>
      </c>
      <c r="I383" s="7">
        <v>39.99</v>
      </c>
      <c r="J383" s="7">
        <v>119.97</v>
      </c>
      <c r="K383" s="7" t="s">
        <v>661</v>
      </c>
      <c r="L383" s="7" t="s">
        <v>656</v>
      </c>
      <c r="M383" s="8">
        <v>4</v>
      </c>
      <c r="N383">
        <f>VLOOKUP(B383,Customers!A:J,7,0)</f>
        <v>58</v>
      </c>
      <c r="O383" t="str">
        <f>VLOOKUP(B383,Customers!A:J,5,0)</f>
        <v>San Diego</v>
      </c>
      <c r="P383" t="str">
        <f>VLOOKUP(B383,Customers!A:J,10,0)</f>
        <v>Free</v>
      </c>
      <c r="Q383" t="str">
        <f>VLOOKUP(B383,Customers!A:J,8,0)</f>
        <v>Female</v>
      </c>
      <c r="R383" t="b">
        <f t="shared" si="10"/>
        <v>1</v>
      </c>
      <c r="S383" s="18">
        <f t="shared" si="11"/>
        <v>45170</v>
      </c>
    </row>
    <row r="384" spans="1:19" x14ac:dyDescent="0.25">
      <c r="A384" s="3" t="s">
        <v>1362</v>
      </c>
      <c r="B384" s="4" t="s">
        <v>194</v>
      </c>
      <c r="C384" s="14">
        <v>44978</v>
      </c>
      <c r="D384" s="4" t="s">
        <v>710</v>
      </c>
      <c r="E384" s="4" t="s">
        <v>721</v>
      </c>
      <c r="F384" s="4">
        <v>24.99</v>
      </c>
      <c r="G384" s="4">
        <v>2</v>
      </c>
      <c r="H384" s="4">
        <v>0</v>
      </c>
      <c r="I384" s="4">
        <v>24.99</v>
      </c>
      <c r="J384" s="4">
        <v>49.98</v>
      </c>
      <c r="K384" s="4" t="s">
        <v>661</v>
      </c>
      <c r="L384" s="4" t="s">
        <v>656</v>
      </c>
      <c r="M384" s="5">
        <v>5</v>
      </c>
      <c r="N384">
        <f>VLOOKUP(B384,Customers!A:J,7,0)</f>
        <v>48</v>
      </c>
      <c r="O384" t="str">
        <f>VLOOKUP(B384,Customers!A:J,5,0)</f>
        <v>Dallas</v>
      </c>
      <c r="P384" t="str">
        <f>VLOOKUP(B384,Customers!A:J,10,0)</f>
        <v>Free</v>
      </c>
      <c r="Q384" t="str">
        <f>VLOOKUP(B384,Customers!A:J,8,0)</f>
        <v>Female</v>
      </c>
      <c r="R384" t="b">
        <f t="shared" si="10"/>
        <v>1</v>
      </c>
      <c r="S384" s="18">
        <f t="shared" si="11"/>
        <v>44958</v>
      </c>
    </row>
    <row r="385" spans="1:19" x14ac:dyDescent="0.25">
      <c r="A385" s="6" t="s">
        <v>1363</v>
      </c>
      <c r="B385" s="7" t="s">
        <v>194</v>
      </c>
      <c r="C385" s="15">
        <v>45433</v>
      </c>
      <c r="D385" s="7" t="s">
        <v>667</v>
      </c>
      <c r="E385" s="7" t="s">
        <v>696</v>
      </c>
      <c r="F385" s="7">
        <v>59.99</v>
      </c>
      <c r="G385" s="7">
        <v>1</v>
      </c>
      <c r="H385" s="7">
        <v>0</v>
      </c>
      <c r="I385" s="7">
        <v>59.99</v>
      </c>
      <c r="J385" s="7">
        <v>59.99</v>
      </c>
      <c r="K385" s="7" t="s">
        <v>682</v>
      </c>
      <c r="L385" s="7" t="s">
        <v>656</v>
      </c>
      <c r="M385" s="8"/>
      <c r="N385">
        <f>VLOOKUP(B385,Customers!A:J,7,0)</f>
        <v>48</v>
      </c>
      <c r="O385" t="str">
        <f>VLOOKUP(B385,Customers!A:J,5,0)</f>
        <v>Dallas</v>
      </c>
      <c r="P385" t="str">
        <f>VLOOKUP(B385,Customers!A:J,10,0)</f>
        <v>Free</v>
      </c>
      <c r="Q385" t="str">
        <f>VLOOKUP(B385,Customers!A:J,8,0)</f>
        <v>Female</v>
      </c>
      <c r="R385" t="b">
        <f t="shared" si="10"/>
        <v>1</v>
      </c>
      <c r="S385" s="18">
        <f t="shared" si="11"/>
        <v>45413</v>
      </c>
    </row>
    <row r="386" spans="1:19" x14ac:dyDescent="0.25">
      <c r="A386" s="3" t="s">
        <v>1364</v>
      </c>
      <c r="B386" s="4" t="s">
        <v>194</v>
      </c>
      <c r="C386" s="14">
        <v>44621</v>
      </c>
      <c r="D386" s="4" t="s">
        <v>653</v>
      </c>
      <c r="E386" s="4" t="s">
        <v>827</v>
      </c>
      <c r="F386" s="4">
        <v>29.99</v>
      </c>
      <c r="G386" s="4">
        <v>2</v>
      </c>
      <c r="H386" s="4">
        <v>0</v>
      </c>
      <c r="I386" s="4">
        <v>29.99</v>
      </c>
      <c r="J386" s="4">
        <v>59.98</v>
      </c>
      <c r="K386" s="4" t="s">
        <v>655</v>
      </c>
      <c r="L386" s="4" t="s">
        <v>656</v>
      </c>
      <c r="M386" s="5">
        <v>4</v>
      </c>
      <c r="N386">
        <f>VLOOKUP(B386,Customers!A:J,7,0)</f>
        <v>48</v>
      </c>
      <c r="O386" t="str">
        <f>VLOOKUP(B386,Customers!A:J,5,0)</f>
        <v>Dallas</v>
      </c>
      <c r="P386" t="str">
        <f>VLOOKUP(B386,Customers!A:J,10,0)</f>
        <v>Free</v>
      </c>
      <c r="Q386" t="str">
        <f>VLOOKUP(B386,Customers!A:J,8,0)</f>
        <v>Female</v>
      </c>
      <c r="R386" t="b">
        <f t="shared" si="10"/>
        <v>1</v>
      </c>
      <c r="S386" s="18">
        <f t="shared" si="11"/>
        <v>44621</v>
      </c>
    </row>
    <row r="387" spans="1:19" x14ac:dyDescent="0.25">
      <c r="A387" s="6" t="s">
        <v>1365</v>
      </c>
      <c r="B387" s="7" t="s">
        <v>197</v>
      </c>
      <c r="C387" s="15">
        <v>45258</v>
      </c>
      <c r="D387" s="7" t="s">
        <v>684</v>
      </c>
      <c r="E387" s="7" t="s">
        <v>705</v>
      </c>
      <c r="F387" s="7">
        <v>79.989999999999995</v>
      </c>
      <c r="G387" s="7">
        <v>2</v>
      </c>
      <c r="H387" s="7">
        <v>0</v>
      </c>
      <c r="I387" s="7">
        <v>79.989999999999995</v>
      </c>
      <c r="J387" s="7">
        <v>159.97999999999999</v>
      </c>
      <c r="K387" s="7" t="s">
        <v>661</v>
      </c>
      <c r="L387" s="7" t="s">
        <v>656</v>
      </c>
      <c r="M387" s="8"/>
      <c r="N387">
        <f>VLOOKUP(B387,Customers!A:J,7,0)</f>
        <v>56</v>
      </c>
      <c r="O387" t="str">
        <f>VLOOKUP(B387,Customers!A:J,5,0)</f>
        <v>New York</v>
      </c>
      <c r="P387" t="str">
        <f>VLOOKUP(B387,Customers!A:J,10,0)</f>
        <v>Gold</v>
      </c>
      <c r="Q387" t="str">
        <f>VLOOKUP(B387,Customers!A:J,8,0)</f>
        <v>Male</v>
      </c>
      <c r="R387" t="b">
        <f t="shared" ref="R387:R450" si="12">ISNUMBER(C387)</f>
        <v>1</v>
      </c>
      <c r="S387" s="18">
        <f t="shared" ref="S387:S450" si="13">DATE(YEAR(C387),MONTH(C387),1)</f>
        <v>45231</v>
      </c>
    </row>
    <row r="388" spans="1:19" x14ac:dyDescent="0.25">
      <c r="A388" s="3" t="s">
        <v>1367</v>
      </c>
      <c r="B388" s="4" t="s">
        <v>197</v>
      </c>
      <c r="C388" s="14">
        <v>45417</v>
      </c>
      <c r="D388" s="4" t="s">
        <v>653</v>
      </c>
      <c r="E388" s="4" t="s">
        <v>727</v>
      </c>
      <c r="F388" s="4">
        <v>14.99</v>
      </c>
      <c r="G388" s="4">
        <v>3</v>
      </c>
      <c r="H388" s="4">
        <v>0</v>
      </c>
      <c r="I388" s="4">
        <v>14.99</v>
      </c>
      <c r="J388" s="4">
        <v>44.97</v>
      </c>
      <c r="K388" s="4" t="s">
        <v>669</v>
      </c>
      <c r="L388" s="4" t="s">
        <v>739</v>
      </c>
      <c r="M388" s="5">
        <v>5</v>
      </c>
      <c r="N388">
        <f>VLOOKUP(B388,Customers!A:J,7,0)</f>
        <v>56</v>
      </c>
      <c r="O388" t="str">
        <f>VLOOKUP(B388,Customers!A:J,5,0)</f>
        <v>New York</v>
      </c>
      <c r="P388" t="str">
        <f>VLOOKUP(B388,Customers!A:J,10,0)</f>
        <v>Gold</v>
      </c>
      <c r="Q388" t="str">
        <f>VLOOKUP(B388,Customers!A:J,8,0)</f>
        <v>Male</v>
      </c>
      <c r="R388" t="b">
        <f t="shared" si="12"/>
        <v>1</v>
      </c>
      <c r="S388" s="18">
        <f t="shared" si="13"/>
        <v>45413</v>
      </c>
    </row>
    <row r="389" spans="1:19" x14ac:dyDescent="0.25">
      <c r="A389" s="6" t="s">
        <v>1369</v>
      </c>
      <c r="B389" s="7" t="s">
        <v>197</v>
      </c>
      <c r="C389" s="15">
        <v>44663</v>
      </c>
      <c r="D389" s="7" t="s">
        <v>684</v>
      </c>
      <c r="E389" s="7" t="s">
        <v>685</v>
      </c>
      <c r="F389" s="7">
        <v>49.99</v>
      </c>
      <c r="G389" s="7">
        <v>3</v>
      </c>
      <c r="H389" s="7">
        <v>0</v>
      </c>
      <c r="I389" s="7">
        <v>49.99</v>
      </c>
      <c r="J389" s="7">
        <v>149.97</v>
      </c>
      <c r="K389" s="7" t="s">
        <v>675</v>
      </c>
      <c r="L389" s="7" t="s">
        <v>785</v>
      </c>
      <c r="M389" s="8">
        <v>4</v>
      </c>
      <c r="N389">
        <f>VLOOKUP(B389,Customers!A:J,7,0)</f>
        <v>56</v>
      </c>
      <c r="O389" t="str">
        <f>VLOOKUP(B389,Customers!A:J,5,0)</f>
        <v>New York</v>
      </c>
      <c r="P389" t="str">
        <f>VLOOKUP(B389,Customers!A:J,10,0)</f>
        <v>Gold</v>
      </c>
      <c r="Q389" t="str">
        <f>VLOOKUP(B389,Customers!A:J,8,0)</f>
        <v>Male</v>
      </c>
      <c r="R389" t="b">
        <f t="shared" si="12"/>
        <v>1</v>
      </c>
      <c r="S389" s="18">
        <f t="shared" si="13"/>
        <v>44652</v>
      </c>
    </row>
    <row r="390" spans="1:19" x14ac:dyDescent="0.25">
      <c r="A390" s="3" t="s">
        <v>1371</v>
      </c>
      <c r="B390" s="4" t="s">
        <v>197</v>
      </c>
      <c r="C390" s="14">
        <v>45447</v>
      </c>
      <c r="D390" s="4" t="s">
        <v>680</v>
      </c>
      <c r="E390" s="4" t="s">
        <v>688</v>
      </c>
      <c r="F390" s="4">
        <v>29.99</v>
      </c>
      <c r="G390" s="4">
        <v>1</v>
      </c>
      <c r="H390" s="4">
        <v>15</v>
      </c>
      <c r="I390" s="4">
        <v>25.49</v>
      </c>
      <c r="J390" s="4">
        <v>25.49</v>
      </c>
      <c r="K390" s="4" t="s">
        <v>675</v>
      </c>
      <c r="L390" s="4" t="s">
        <v>656</v>
      </c>
      <c r="M390" s="5">
        <v>3</v>
      </c>
      <c r="N390">
        <f>VLOOKUP(B390,Customers!A:J,7,0)</f>
        <v>56</v>
      </c>
      <c r="O390" t="str">
        <f>VLOOKUP(B390,Customers!A:J,5,0)</f>
        <v>New York</v>
      </c>
      <c r="P390" t="str">
        <f>VLOOKUP(B390,Customers!A:J,10,0)</f>
        <v>Gold</v>
      </c>
      <c r="Q390" t="str">
        <f>VLOOKUP(B390,Customers!A:J,8,0)</f>
        <v>Male</v>
      </c>
      <c r="R390" t="b">
        <f t="shared" si="12"/>
        <v>1</v>
      </c>
      <c r="S390" s="18">
        <f t="shared" si="13"/>
        <v>45444</v>
      </c>
    </row>
    <row r="391" spans="1:19" x14ac:dyDescent="0.25">
      <c r="A391" s="6" t="s">
        <v>1373</v>
      </c>
      <c r="B391" s="7" t="s">
        <v>197</v>
      </c>
      <c r="C391" s="15">
        <v>45197</v>
      </c>
      <c r="D391" s="7" t="s">
        <v>667</v>
      </c>
      <c r="E391" s="7" t="s">
        <v>714</v>
      </c>
      <c r="F391" s="7">
        <v>44.99</v>
      </c>
      <c r="G391" s="7">
        <v>4</v>
      </c>
      <c r="H391" s="7">
        <v>20</v>
      </c>
      <c r="I391" s="7">
        <v>35.99</v>
      </c>
      <c r="J391" s="7">
        <v>143.96</v>
      </c>
      <c r="K391" s="7" t="s">
        <v>669</v>
      </c>
      <c r="L391" s="7" t="s">
        <v>656</v>
      </c>
      <c r="M391" s="8">
        <v>3</v>
      </c>
      <c r="N391">
        <f>VLOOKUP(B391,Customers!A:J,7,0)</f>
        <v>56</v>
      </c>
      <c r="O391" t="str">
        <f>VLOOKUP(B391,Customers!A:J,5,0)</f>
        <v>New York</v>
      </c>
      <c r="P391" t="str">
        <f>VLOOKUP(B391,Customers!A:J,10,0)</f>
        <v>Gold</v>
      </c>
      <c r="Q391" t="str">
        <f>VLOOKUP(B391,Customers!A:J,8,0)</f>
        <v>Male</v>
      </c>
      <c r="R391" t="b">
        <f t="shared" si="12"/>
        <v>1</v>
      </c>
      <c r="S391" s="18">
        <f t="shared" si="13"/>
        <v>45170</v>
      </c>
    </row>
    <row r="392" spans="1:19" x14ac:dyDescent="0.25">
      <c r="A392" s="3" t="s">
        <v>1374</v>
      </c>
      <c r="B392" s="4" t="s">
        <v>197</v>
      </c>
      <c r="C392" s="14">
        <v>45454</v>
      </c>
      <c r="D392" s="4" t="s">
        <v>672</v>
      </c>
      <c r="E392" s="4" t="s">
        <v>803</v>
      </c>
      <c r="F392" s="4">
        <v>69.989999999999995</v>
      </c>
      <c r="G392" s="4">
        <v>3</v>
      </c>
      <c r="H392" s="4">
        <v>5</v>
      </c>
      <c r="I392" s="4">
        <v>66.489999999999995</v>
      </c>
      <c r="J392" s="4">
        <v>199.47</v>
      </c>
      <c r="K392" s="4" t="s">
        <v>661</v>
      </c>
      <c r="L392" s="4" t="s">
        <v>656</v>
      </c>
      <c r="M392" s="5"/>
      <c r="N392">
        <f>VLOOKUP(B392,Customers!A:J,7,0)</f>
        <v>56</v>
      </c>
      <c r="O392" t="str">
        <f>VLOOKUP(B392,Customers!A:J,5,0)</f>
        <v>New York</v>
      </c>
      <c r="P392" t="str">
        <f>VLOOKUP(B392,Customers!A:J,10,0)</f>
        <v>Gold</v>
      </c>
      <c r="Q392" t="str">
        <f>VLOOKUP(B392,Customers!A:J,8,0)</f>
        <v>Male</v>
      </c>
      <c r="R392" t="b">
        <f t="shared" si="12"/>
        <v>1</v>
      </c>
      <c r="S392" s="18">
        <f t="shared" si="13"/>
        <v>45444</v>
      </c>
    </row>
    <row r="393" spans="1:19" x14ac:dyDescent="0.25">
      <c r="A393" s="6" t="s">
        <v>1376</v>
      </c>
      <c r="B393" s="7" t="s">
        <v>197</v>
      </c>
      <c r="C393" s="15">
        <v>44898</v>
      </c>
      <c r="D393" s="7" t="s">
        <v>680</v>
      </c>
      <c r="E393" s="7" t="s">
        <v>688</v>
      </c>
      <c r="F393" s="7">
        <v>29.99</v>
      </c>
      <c r="G393" s="7">
        <v>2</v>
      </c>
      <c r="H393" s="7">
        <v>15</v>
      </c>
      <c r="I393" s="7">
        <v>25.49</v>
      </c>
      <c r="J393" s="7">
        <v>50.98</v>
      </c>
      <c r="K393" s="7" t="s">
        <v>682</v>
      </c>
      <c r="L393" s="7" t="s">
        <v>656</v>
      </c>
      <c r="M393" s="8">
        <v>4</v>
      </c>
      <c r="N393">
        <f>VLOOKUP(B393,Customers!A:J,7,0)</f>
        <v>56</v>
      </c>
      <c r="O393" t="str">
        <f>VLOOKUP(B393,Customers!A:J,5,0)</f>
        <v>New York</v>
      </c>
      <c r="P393" t="str">
        <f>VLOOKUP(B393,Customers!A:J,10,0)</f>
        <v>Gold</v>
      </c>
      <c r="Q393" t="str">
        <f>VLOOKUP(B393,Customers!A:J,8,0)</f>
        <v>Male</v>
      </c>
      <c r="R393" t="b">
        <f t="shared" si="12"/>
        <v>1</v>
      </c>
      <c r="S393" s="18">
        <f t="shared" si="13"/>
        <v>44896</v>
      </c>
    </row>
    <row r="394" spans="1:19" x14ac:dyDescent="0.25">
      <c r="A394" s="3" t="s">
        <v>1378</v>
      </c>
      <c r="B394" s="4" t="s">
        <v>197</v>
      </c>
      <c r="C394" s="14">
        <v>45403</v>
      </c>
      <c r="D394" s="4" t="s">
        <v>684</v>
      </c>
      <c r="E394" s="4" t="s">
        <v>702</v>
      </c>
      <c r="F394" s="4">
        <v>199.99</v>
      </c>
      <c r="G394" s="4">
        <v>2</v>
      </c>
      <c r="H394" s="4">
        <v>15</v>
      </c>
      <c r="I394" s="4">
        <v>169.99</v>
      </c>
      <c r="J394" s="4">
        <v>339.98</v>
      </c>
      <c r="K394" s="4" t="s">
        <v>675</v>
      </c>
      <c r="L394" s="4" t="s">
        <v>656</v>
      </c>
      <c r="M394" s="5"/>
      <c r="N394">
        <f>VLOOKUP(B394,Customers!A:J,7,0)</f>
        <v>56</v>
      </c>
      <c r="O394" t="str">
        <f>VLOOKUP(B394,Customers!A:J,5,0)</f>
        <v>New York</v>
      </c>
      <c r="P394" t="str">
        <f>VLOOKUP(B394,Customers!A:J,10,0)</f>
        <v>Gold</v>
      </c>
      <c r="Q394" t="str">
        <f>VLOOKUP(B394,Customers!A:J,8,0)</f>
        <v>Male</v>
      </c>
      <c r="R394" t="b">
        <f t="shared" si="12"/>
        <v>1</v>
      </c>
      <c r="S394" s="18">
        <f t="shared" si="13"/>
        <v>45383</v>
      </c>
    </row>
    <row r="395" spans="1:19" x14ac:dyDescent="0.25">
      <c r="A395" s="6" t="s">
        <v>1380</v>
      </c>
      <c r="B395" s="7" t="s">
        <v>197</v>
      </c>
      <c r="C395" s="15">
        <v>45025</v>
      </c>
      <c r="D395" s="7" t="s">
        <v>672</v>
      </c>
      <c r="E395" s="7" t="s">
        <v>735</v>
      </c>
      <c r="F395" s="7">
        <v>44.99</v>
      </c>
      <c r="G395" s="7">
        <v>2</v>
      </c>
      <c r="H395" s="7">
        <v>0</v>
      </c>
      <c r="I395" s="7">
        <v>44.99</v>
      </c>
      <c r="J395" s="7">
        <v>89.98</v>
      </c>
      <c r="K395" s="7" t="s">
        <v>655</v>
      </c>
      <c r="L395" s="7" t="s">
        <v>656</v>
      </c>
      <c r="M395" s="8">
        <v>3</v>
      </c>
      <c r="N395">
        <f>VLOOKUP(B395,Customers!A:J,7,0)</f>
        <v>56</v>
      </c>
      <c r="O395" t="str">
        <f>VLOOKUP(B395,Customers!A:J,5,0)</f>
        <v>New York</v>
      </c>
      <c r="P395" t="str">
        <f>VLOOKUP(B395,Customers!A:J,10,0)</f>
        <v>Gold</v>
      </c>
      <c r="Q395" t="str">
        <f>VLOOKUP(B395,Customers!A:J,8,0)</f>
        <v>Male</v>
      </c>
      <c r="R395" t="b">
        <f t="shared" si="12"/>
        <v>1</v>
      </c>
      <c r="S395" s="18">
        <f t="shared" si="13"/>
        <v>45017</v>
      </c>
    </row>
    <row r="396" spans="1:19" x14ac:dyDescent="0.25">
      <c r="A396" s="3" t="s">
        <v>1381</v>
      </c>
      <c r="B396" s="4" t="s">
        <v>197</v>
      </c>
      <c r="C396" s="14">
        <v>45407</v>
      </c>
      <c r="D396" s="4" t="s">
        <v>684</v>
      </c>
      <c r="E396" s="4" t="s">
        <v>705</v>
      </c>
      <c r="F396" s="4">
        <v>79.989999999999995</v>
      </c>
      <c r="G396" s="4">
        <v>2</v>
      </c>
      <c r="H396" s="4">
        <v>5</v>
      </c>
      <c r="I396" s="4">
        <v>75.989999999999995</v>
      </c>
      <c r="J396" s="4">
        <v>151.97999999999999</v>
      </c>
      <c r="K396" s="4" t="s">
        <v>661</v>
      </c>
      <c r="L396" s="4" t="s">
        <v>785</v>
      </c>
      <c r="M396" s="5">
        <v>3</v>
      </c>
      <c r="N396">
        <f>VLOOKUP(B396,Customers!A:J,7,0)</f>
        <v>56</v>
      </c>
      <c r="O396" t="str">
        <f>VLOOKUP(B396,Customers!A:J,5,0)</f>
        <v>New York</v>
      </c>
      <c r="P396" t="str">
        <f>VLOOKUP(B396,Customers!A:J,10,0)</f>
        <v>Gold</v>
      </c>
      <c r="Q396" t="str">
        <f>VLOOKUP(B396,Customers!A:J,8,0)</f>
        <v>Male</v>
      </c>
      <c r="R396" t="b">
        <f t="shared" si="12"/>
        <v>1</v>
      </c>
      <c r="S396" s="18">
        <f t="shared" si="13"/>
        <v>45383</v>
      </c>
    </row>
    <row r="397" spans="1:19" x14ac:dyDescent="0.25">
      <c r="A397" s="6" t="s">
        <v>1383</v>
      </c>
      <c r="B397" s="7" t="s">
        <v>197</v>
      </c>
      <c r="C397" s="15">
        <v>45317</v>
      </c>
      <c r="D397" s="7" t="s">
        <v>659</v>
      </c>
      <c r="E397" s="7" t="s">
        <v>664</v>
      </c>
      <c r="F397" s="7">
        <v>24.99</v>
      </c>
      <c r="G397" s="7">
        <v>1</v>
      </c>
      <c r="H397" s="7">
        <v>5</v>
      </c>
      <c r="I397" s="7">
        <v>23.74</v>
      </c>
      <c r="J397" s="7">
        <v>23.74</v>
      </c>
      <c r="K397" s="7" t="s">
        <v>661</v>
      </c>
      <c r="L397" s="7" t="s">
        <v>656</v>
      </c>
      <c r="M397" s="8">
        <v>5</v>
      </c>
      <c r="N397">
        <f>VLOOKUP(B397,Customers!A:J,7,0)</f>
        <v>56</v>
      </c>
      <c r="O397" t="str">
        <f>VLOOKUP(B397,Customers!A:J,5,0)</f>
        <v>New York</v>
      </c>
      <c r="P397" t="str">
        <f>VLOOKUP(B397,Customers!A:J,10,0)</f>
        <v>Gold</v>
      </c>
      <c r="Q397" t="str">
        <f>VLOOKUP(B397,Customers!A:J,8,0)</f>
        <v>Male</v>
      </c>
      <c r="R397" t="b">
        <f t="shared" si="12"/>
        <v>1</v>
      </c>
      <c r="S397" s="18">
        <f t="shared" si="13"/>
        <v>45292</v>
      </c>
    </row>
    <row r="398" spans="1:19" x14ac:dyDescent="0.25">
      <c r="A398" s="3" t="s">
        <v>1385</v>
      </c>
      <c r="B398" s="4" t="s">
        <v>197</v>
      </c>
      <c r="C398" s="14">
        <v>45021</v>
      </c>
      <c r="D398" s="4" t="s">
        <v>672</v>
      </c>
      <c r="E398" s="4" t="s">
        <v>673</v>
      </c>
      <c r="F398" s="4">
        <v>24.99</v>
      </c>
      <c r="G398" s="4">
        <v>4</v>
      </c>
      <c r="H398" s="4">
        <v>10</v>
      </c>
      <c r="I398" s="4">
        <v>22.49</v>
      </c>
      <c r="J398" s="4">
        <v>89.96</v>
      </c>
      <c r="K398" s="4" t="s">
        <v>655</v>
      </c>
      <c r="L398" s="4" t="s">
        <v>739</v>
      </c>
      <c r="M398" s="5">
        <v>4</v>
      </c>
      <c r="N398">
        <f>VLOOKUP(B398,Customers!A:J,7,0)</f>
        <v>56</v>
      </c>
      <c r="O398" t="str">
        <f>VLOOKUP(B398,Customers!A:J,5,0)</f>
        <v>New York</v>
      </c>
      <c r="P398" t="str">
        <f>VLOOKUP(B398,Customers!A:J,10,0)</f>
        <v>Gold</v>
      </c>
      <c r="Q398" t="str">
        <f>VLOOKUP(B398,Customers!A:J,8,0)</f>
        <v>Male</v>
      </c>
      <c r="R398" t="b">
        <f t="shared" si="12"/>
        <v>1</v>
      </c>
      <c r="S398" s="18">
        <f t="shared" si="13"/>
        <v>45017</v>
      </c>
    </row>
    <row r="399" spans="1:19" x14ac:dyDescent="0.25">
      <c r="A399" s="6" t="s">
        <v>1387</v>
      </c>
      <c r="B399" s="7" t="s">
        <v>197</v>
      </c>
      <c r="C399" s="15">
        <v>45575</v>
      </c>
      <c r="D399" s="7" t="s">
        <v>680</v>
      </c>
      <c r="E399" s="7" t="s">
        <v>708</v>
      </c>
      <c r="F399" s="7">
        <v>24.99</v>
      </c>
      <c r="G399" s="7">
        <v>4</v>
      </c>
      <c r="H399" s="7">
        <v>5</v>
      </c>
      <c r="I399" s="7">
        <v>23.74</v>
      </c>
      <c r="J399" s="7">
        <v>94.96</v>
      </c>
      <c r="K399" s="7" t="s">
        <v>675</v>
      </c>
      <c r="L399" s="7" t="s">
        <v>656</v>
      </c>
      <c r="M399" s="8">
        <v>4</v>
      </c>
      <c r="N399">
        <f>VLOOKUP(B399,Customers!A:J,7,0)</f>
        <v>56</v>
      </c>
      <c r="O399" t="str">
        <f>VLOOKUP(B399,Customers!A:J,5,0)</f>
        <v>New York</v>
      </c>
      <c r="P399" t="str">
        <f>VLOOKUP(B399,Customers!A:J,10,0)</f>
        <v>Gold</v>
      </c>
      <c r="Q399" t="str">
        <f>VLOOKUP(B399,Customers!A:J,8,0)</f>
        <v>Male</v>
      </c>
      <c r="R399" t="b">
        <f t="shared" si="12"/>
        <v>1</v>
      </c>
      <c r="S399" s="18">
        <f t="shared" si="13"/>
        <v>45566</v>
      </c>
    </row>
    <row r="400" spans="1:19" x14ac:dyDescent="0.25">
      <c r="A400" s="3" t="s">
        <v>1388</v>
      </c>
      <c r="B400" s="4" t="s">
        <v>200</v>
      </c>
      <c r="C400" s="14">
        <v>45246</v>
      </c>
      <c r="D400" s="4" t="s">
        <v>653</v>
      </c>
      <c r="E400" s="4" t="s">
        <v>769</v>
      </c>
      <c r="F400" s="4">
        <v>49.99</v>
      </c>
      <c r="G400" s="4">
        <v>4</v>
      </c>
      <c r="H400" s="4">
        <v>5</v>
      </c>
      <c r="I400" s="4">
        <v>47.49</v>
      </c>
      <c r="J400" s="4">
        <v>189.96</v>
      </c>
      <c r="K400" s="4" t="s">
        <v>682</v>
      </c>
      <c r="L400" s="4" t="s">
        <v>656</v>
      </c>
      <c r="M400" s="5">
        <v>5</v>
      </c>
      <c r="N400">
        <f>VLOOKUP(B400,Customers!A:J,7,0)</f>
        <v>63</v>
      </c>
      <c r="O400" t="str">
        <f>VLOOKUP(B400,Customers!A:J,5,0)</f>
        <v>Houston</v>
      </c>
      <c r="P400" t="str">
        <f>VLOOKUP(B400,Customers!A:J,10,0)</f>
        <v>Free</v>
      </c>
      <c r="Q400" t="str">
        <f>VLOOKUP(B400,Customers!A:J,8,0)</f>
        <v>Male</v>
      </c>
      <c r="R400" t="b">
        <f t="shared" si="12"/>
        <v>1</v>
      </c>
      <c r="S400" s="18">
        <f t="shared" si="13"/>
        <v>45231</v>
      </c>
    </row>
    <row r="401" spans="1:19" x14ac:dyDescent="0.25">
      <c r="A401" s="6" t="s">
        <v>1390</v>
      </c>
      <c r="B401" s="7" t="s">
        <v>200</v>
      </c>
      <c r="C401" s="15">
        <v>45356</v>
      </c>
      <c r="D401" s="7" t="s">
        <v>659</v>
      </c>
      <c r="E401" s="7" t="s">
        <v>762</v>
      </c>
      <c r="F401" s="7">
        <v>49.99</v>
      </c>
      <c r="G401" s="7">
        <v>2</v>
      </c>
      <c r="H401" s="7">
        <v>20</v>
      </c>
      <c r="I401" s="7">
        <v>39.99</v>
      </c>
      <c r="J401" s="7">
        <v>79.98</v>
      </c>
      <c r="K401" s="7" t="s">
        <v>661</v>
      </c>
      <c r="L401" s="7" t="s">
        <v>788</v>
      </c>
      <c r="M401" s="8"/>
      <c r="N401">
        <f>VLOOKUP(B401,Customers!A:J,7,0)</f>
        <v>63</v>
      </c>
      <c r="O401" t="str">
        <f>VLOOKUP(B401,Customers!A:J,5,0)</f>
        <v>Houston</v>
      </c>
      <c r="P401" t="str">
        <f>VLOOKUP(B401,Customers!A:J,10,0)</f>
        <v>Free</v>
      </c>
      <c r="Q401" t="str">
        <f>VLOOKUP(B401,Customers!A:J,8,0)</f>
        <v>Male</v>
      </c>
      <c r="R401" t="b">
        <f t="shared" si="12"/>
        <v>1</v>
      </c>
      <c r="S401" s="18">
        <f t="shared" si="13"/>
        <v>45352</v>
      </c>
    </row>
    <row r="402" spans="1:19" x14ac:dyDescent="0.25">
      <c r="A402" s="3" t="s">
        <v>1392</v>
      </c>
      <c r="B402" s="4" t="s">
        <v>200</v>
      </c>
      <c r="C402" s="14">
        <v>44566</v>
      </c>
      <c r="D402" s="4" t="s">
        <v>684</v>
      </c>
      <c r="E402" s="4" t="s">
        <v>705</v>
      </c>
      <c r="F402" s="4">
        <v>79.989999999999995</v>
      </c>
      <c r="G402" s="4">
        <v>3</v>
      </c>
      <c r="H402" s="4">
        <v>0</v>
      </c>
      <c r="I402" s="4">
        <v>79.989999999999995</v>
      </c>
      <c r="J402" s="4">
        <v>239.97</v>
      </c>
      <c r="K402" s="4" t="s">
        <v>661</v>
      </c>
      <c r="L402" s="4" t="s">
        <v>656</v>
      </c>
      <c r="M402" s="5">
        <v>5</v>
      </c>
      <c r="N402">
        <f>VLOOKUP(B402,Customers!A:J,7,0)</f>
        <v>63</v>
      </c>
      <c r="O402" t="str">
        <f>VLOOKUP(B402,Customers!A:J,5,0)</f>
        <v>Houston</v>
      </c>
      <c r="P402" t="str">
        <f>VLOOKUP(B402,Customers!A:J,10,0)</f>
        <v>Free</v>
      </c>
      <c r="Q402" t="str">
        <f>VLOOKUP(B402,Customers!A:J,8,0)</f>
        <v>Male</v>
      </c>
      <c r="R402" t="b">
        <f t="shared" si="12"/>
        <v>1</v>
      </c>
      <c r="S402" s="18">
        <f t="shared" si="13"/>
        <v>44562</v>
      </c>
    </row>
    <row r="403" spans="1:19" x14ac:dyDescent="0.25">
      <c r="A403" s="6" t="s">
        <v>1393</v>
      </c>
      <c r="B403" s="7" t="s">
        <v>200</v>
      </c>
      <c r="C403" s="15">
        <v>44708</v>
      </c>
      <c r="D403" s="7" t="s">
        <v>653</v>
      </c>
      <c r="E403" s="7" t="s">
        <v>727</v>
      </c>
      <c r="F403" s="7">
        <v>14.99</v>
      </c>
      <c r="G403" s="7">
        <v>1</v>
      </c>
      <c r="H403" s="7">
        <v>5</v>
      </c>
      <c r="I403" s="7">
        <v>14.24</v>
      </c>
      <c r="J403" s="7">
        <v>14.24</v>
      </c>
      <c r="K403" s="7" t="s">
        <v>675</v>
      </c>
      <c r="L403" s="7" t="s">
        <v>656</v>
      </c>
      <c r="M403" s="8">
        <v>4</v>
      </c>
      <c r="N403">
        <f>VLOOKUP(B403,Customers!A:J,7,0)</f>
        <v>63</v>
      </c>
      <c r="O403" t="str">
        <f>VLOOKUP(B403,Customers!A:J,5,0)</f>
        <v>Houston</v>
      </c>
      <c r="P403" t="str">
        <f>VLOOKUP(B403,Customers!A:J,10,0)</f>
        <v>Free</v>
      </c>
      <c r="Q403" t="str">
        <f>VLOOKUP(B403,Customers!A:J,8,0)</f>
        <v>Male</v>
      </c>
      <c r="R403" t="b">
        <f t="shared" si="12"/>
        <v>1</v>
      </c>
      <c r="S403" s="18">
        <f t="shared" si="13"/>
        <v>44682</v>
      </c>
    </row>
    <row r="404" spans="1:19" x14ac:dyDescent="0.25">
      <c r="A404" s="3" t="s">
        <v>1395</v>
      </c>
      <c r="B404" s="4" t="s">
        <v>200</v>
      </c>
      <c r="C404" s="14">
        <v>45031</v>
      </c>
      <c r="D404" s="4" t="s">
        <v>672</v>
      </c>
      <c r="E404" s="4" t="s">
        <v>673</v>
      </c>
      <c r="F404" s="4">
        <v>24.99</v>
      </c>
      <c r="G404" s="4">
        <v>4</v>
      </c>
      <c r="H404" s="4">
        <v>0</v>
      </c>
      <c r="I404" s="4">
        <v>24.99</v>
      </c>
      <c r="J404" s="4">
        <v>99.96</v>
      </c>
      <c r="K404" s="4" t="s">
        <v>661</v>
      </c>
      <c r="L404" s="4" t="s">
        <v>656</v>
      </c>
      <c r="M404" s="5"/>
      <c r="N404">
        <f>VLOOKUP(B404,Customers!A:J,7,0)</f>
        <v>63</v>
      </c>
      <c r="O404" t="str">
        <f>VLOOKUP(B404,Customers!A:J,5,0)</f>
        <v>Houston</v>
      </c>
      <c r="P404" t="str">
        <f>VLOOKUP(B404,Customers!A:J,10,0)</f>
        <v>Free</v>
      </c>
      <c r="Q404" t="str">
        <f>VLOOKUP(B404,Customers!A:J,8,0)</f>
        <v>Male</v>
      </c>
      <c r="R404" t="b">
        <f t="shared" si="12"/>
        <v>1</v>
      </c>
      <c r="S404" s="18">
        <f t="shared" si="13"/>
        <v>45017</v>
      </c>
    </row>
    <row r="405" spans="1:19" x14ac:dyDescent="0.25">
      <c r="A405" s="6" t="s">
        <v>1396</v>
      </c>
      <c r="B405" s="7" t="s">
        <v>200</v>
      </c>
      <c r="C405" s="15">
        <v>44672</v>
      </c>
      <c r="D405" s="7" t="s">
        <v>684</v>
      </c>
      <c r="E405" s="7" t="s">
        <v>702</v>
      </c>
      <c r="F405" s="7">
        <v>199.99</v>
      </c>
      <c r="G405" s="7">
        <v>2</v>
      </c>
      <c r="H405" s="7">
        <v>20</v>
      </c>
      <c r="I405" s="7">
        <v>159.99</v>
      </c>
      <c r="J405" s="7">
        <v>319.98</v>
      </c>
      <c r="K405" s="7" t="s">
        <v>682</v>
      </c>
      <c r="L405" s="7" t="s">
        <v>693</v>
      </c>
      <c r="M405" s="8">
        <v>1</v>
      </c>
      <c r="N405">
        <f>VLOOKUP(B405,Customers!A:J,7,0)</f>
        <v>63</v>
      </c>
      <c r="O405" t="str">
        <f>VLOOKUP(B405,Customers!A:J,5,0)</f>
        <v>Houston</v>
      </c>
      <c r="P405" t="str">
        <f>VLOOKUP(B405,Customers!A:J,10,0)</f>
        <v>Free</v>
      </c>
      <c r="Q405" t="str">
        <f>VLOOKUP(B405,Customers!A:J,8,0)</f>
        <v>Male</v>
      </c>
      <c r="R405" t="b">
        <f t="shared" si="12"/>
        <v>1</v>
      </c>
      <c r="S405" s="18">
        <f t="shared" si="13"/>
        <v>44652</v>
      </c>
    </row>
    <row r="406" spans="1:19" x14ac:dyDescent="0.25">
      <c r="A406" s="3" t="s">
        <v>1398</v>
      </c>
      <c r="B406" s="4" t="s">
        <v>200</v>
      </c>
      <c r="C406" s="14">
        <v>44915</v>
      </c>
      <c r="D406" s="4" t="s">
        <v>710</v>
      </c>
      <c r="E406" s="4" t="s">
        <v>711</v>
      </c>
      <c r="F406" s="4">
        <v>14.99</v>
      </c>
      <c r="G406" s="4">
        <v>2</v>
      </c>
      <c r="H406" s="4">
        <v>15</v>
      </c>
      <c r="I406" s="4">
        <v>12.74</v>
      </c>
      <c r="J406" s="4">
        <v>25.48</v>
      </c>
      <c r="K406" s="4" t="s">
        <v>682</v>
      </c>
      <c r="L406" s="4" t="s">
        <v>656</v>
      </c>
      <c r="M406" s="5">
        <v>5</v>
      </c>
      <c r="N406">
        <f>VLOOKUP(B406,Customers!A:J,7,0)</f>
        <v>63</v>
      </c>
      <c r="O406" t="str">
        <f>VLOOKUP(B406,Customers!A:J,5,0)</f>
        <v>Houston</v>
      </c>
      <c r="P406" t="str">
        <f>VLOOKUP(B406,Customers!A:J,10,0)</f>
        <v>Free</v>
      </c>
      <c r="Q406" t="str">
        <f>VLOOKUP(B406,Customers!A:J,8,0)</f>
        <v>Male</v>
      </c>
      <c r="R406" t="b">
        <f t="shared" si="12"/>
        <v>1</v>
      </c>
      <c r="S406" s="18">
        <f t="shared" si="13"/>
        <v>44896</v>
      </c>
    </row>
    <row r="407" spans="1:19" x14ac:dyDescent="0.25">
      <c r="A407" s="6" t="s">
        <v>1400</v>
      </c>
      <c r="B407" s="7" t="s">
        <v>203</v>
      </c>
      <c r="C407" s="15">
        <v>44567</v>
      </c>
      <c r="D407" s="7" t="s">
        <v>684</v>
      </c>
      <c r="E407" s="7" t="s">
        <v>815</v>
      </c>
      <c r="F407" s="7">
        <v>34.99</v>
      </c>
      <c r="G407" s="7">
        <v>2</v>
      </c>
      <c r="H407" s="7">
        <v>20</v>
      </c>
      <c r="I407" s="7">
        <v>27.99</v>
      </c>
      <c r="J407" s="7">
        <v>55.98</v>
      </c>
      <c r="K407" s="7" t="s">
        <v>675</v>
      </c>
      <c r="L407" s="7" t="s">
        <v>656</v>
      </c>
      <c r="M407" s="8"/>
      <c r="N407">
        <f>VLOOKUP(B407,Customers!A:J,7,0)</f>
        <v>29</v>
      </c>
      <c r="O407" t="str">
        <f>VLOOKUP(B407,Customers!A:J,5,0)</f>
        <v>Los Angeles</v>
      </c>
      <c r="P407" t="str">
        <f>VLOOKUP(B407,Customers!A:J,10,0)</f>
        <v>Platinum</v>
      </c>
      <c r="Q407" t="str">
        <f>VLOOKUP(B407,Customers!A:J,8,0)</f>
        <v>Female</v>
      </c>
      <c r="R407" t="b">
        <f t="shared" si="12"/>
        <v>1</v>
      </c>
      <c r="S407" s="18">
        <f t="shared" si="13"/>
        <v>44562</v>
      </c>
    </row>
    <row r="408" spans="1:19" x14ac:dyDescent="0.25">
      <c r="A408" s="3" t="s">
        <v>1402</v>
      </c>
      <c r="B408" s="4" t="s">
        <v>206</v>
      </c>
      <c r="C408" s="14">
        <v>45414</v>
      </c>
      <c r="D408" s="4" t="s">
        <v>653</v>
      </c>
      <c r="E408" s="4" t="s">
        <v>727</v>
      </c>
      <c r="F408" s="4">
        <v>14.99</v>
      </c>
      <c r="G408" s="4">
        <v>2</v>
      </c>
      <c r="H408" s="4">
        <v>20</v>
      </c>
      <c r="I408" s="4">
        <v>11.99</v>
      </c>
      <c r="J408" s="4">
        <v>23.98</v>
      </c>
      <c r="K408" s="4" t="s">
        <v>682</v>
      </c>
      <c r="L408" s="4" t="s">
        <v>656</v>
      </c>
      <c r="M408" s="5"/>
      <c r="N408">
        <f>VLOOKUP(B408,Customers!A:J,7,0)</f>
        <v>28</v>
      </c>
      <c r="O408" t="str">
        <f>VLOOKUP(B408,Customers!A:J,5,0)</f>
        <v>Chicago</v>
      </c>
      <c r="P408" t="str">
        <f>VLOOKUP(B408,Customers!A:J,10,0)</f>
        <v>Platinum</v>
      </c>
      <c r="Q408" t="str">
        <f>VLOOKUP(B408,Customers!A:J,8,0)</f>
        <v>Male</v>
      </c>
      <c r="R408" t="b">
        <f t="shared" si="12"/>
        <v>1</v>
      </c>
      <c r="S408" s="18">
        <f t="shared" si="13"/>
        <v>45413</v>
      </c>
    </row>
    <row r="409" spans="1:19" x14ac:dyDescent="0.25">
      <c r="A409" s="6" t="s">
        <v>1404</v>
      </c>
      <c r="B409" s="7" t="s">
        <v>206</v>
      </c>
      <c r="C409" s="15">
        <v>44879</v>
      </c>
      <c r="D409" s="7" t="s">
        <v>672</v>
      </c>
      <c r="E409" s="7" t="s">
        <v>735</v>
      </c>
      <c r="F409" s="7">
        <v>44.99</v>
      </c>
      <c r="G409" s="7">
        <v>3</v>
      </c>
      <c r="H409" s="7">
        <v>0</v>
      </c>
      <c r="I409" s="7">
        <v>44.99</v>
      </c>
      <c r="J409" s="7">
        <v>134.97</v>
      </c>
      <c r="K409" s="7" t="s">
        <v>682</v>
      </c>
      <c r="L409" s="7" t="s">
        <v>656</v>
      </c>
      <c r="M409" s="8">
        <v>5</v>
      </c>
      <c r="N409">
        <f>VLOOKUP(B409,Customers!A:J,7,0)</f>
        <v>28</v>
      </c>
      <c r="O409" t="str">
        <f>VLOOKUP(B409,Customers!A:J,5,0)</f>
        <v>Chicago</v>
      </c>
      <c r="P409" t="str">
        <f>VLOOKUP(B409,Customers!A:J,10,0)</f>
        <v>Platinum</v>
      </c>
      <c r="Q409" t="str">
        <f>VLOOKUP(B409,Customers!A:J,8,0)</f>
        <v>Male</v>
      </c>
      <c r="R409" t="b">
        <f t="shared" si="12"/>
        <v>1</v>
      </c>
      <c r="S409" s="18">
        <f t="shared" si="13"/>
        <v>44866</v>
      </c>
    </row>
    <row r="410" spans="1:19" x14ac:dyDescent="0.25">
      <c r="A410" s="3" t="s">
        <v>1405</v>
      </c>
      <c r="B410" s="4" t="s">
        <v>206</v>
      </c>
      <c r="C410" s="14">
        <v>45465</v>
      </c>
      <c r="D410" s="4" t="s">
        <v>659</v>
      </c>
      <c r="E410" s="4" t="s">
        <v>820</v>
      </c>
      <c r="F410" s="4">
        <v>39.99</v>
      </c>
      <c r="G410" s="4">
        <v>3</v>
      </c>
      <c r="H410" s="4">
        <v>0</v>
      </c>
      <c r="I410" s="4">
        <v>39.99</v>
      </c>
      <c r="J410" s="4">
        <v>119.97</v>
      </c>
      <c r="K410" s="4" t="s">
        <v>655</v>
      </c>
      <c r="L410" s="4" t="s">
        <v>656</v>
      </c>
      <c r="M410" s="5">
        <v>5</v>
      </c>
      <c r="N410">
        <f>VLOOKUP(B410,Customers!A:J,7,0)</f>
        <v>28</v>
      </c>
      <c r="O410" t="str">
        <f>VLOOKUP(B410,Customers!A:J,5,0)</f>
        <v>Chicago</v>
      </c>
      <c r="P410" t="str">
        <f>VLOOKUP(B410,Customers!A:J,10,0)</f>
        <v>Platinum</v>
      </c>
      <c r="Q410" t="str">
        <f>VLOOKUP(B410,Customers!A:J,8,0)</f>
        <v>Male</v>
      </c>
      <c r="R410" t="b">
        <f t="shared" si="12"/>
        <v>1</v>
      </c>
      <c r="S410" s="18">
        <f t="shared" si="13"/>
        <v>45444</v>
      </c>
    </row>
    <row r="411" spans="1:19" x14ac:dyDescent="0.25">
      <c r="A411" s="6" t="s">
        <v>1407</v>
      </c>
      <c r="B411" s="7" t="s">
        <v>206</v>
      </c>
      <c r="C411" s="15">
        <v>44850</v>
      </c>
      <c r="D411" s="7" t="s">
        <v>667</v>
      </c>
      <c r="E411" s="7" t="s">
        <v>668</v>
      </c>
      <c r="F411" s="7">
        <v>64.989999999999995</v>
      </c>
      <c r="G411" s="7">
        <v>4</v>
      </c>
      <c r="H411" s="7">
        <v>0</v>
      </c>
      <c r="I411" s="7">
        <v>64.989999999999995</v>
      </c>
      <c r="J411" s="7">
        <v>259.95999999999998</v>
      </c>
      <c r="K411" s="7" t="s">
        <v>661</v>
      </c>
      <c r="L411" s="7" t="s">
        <v>656</v>
      </c>
      <c r="M411" s="8">
        <v>5</v>
      </c>
      <c r="N411">
        <f>VLOOKUP(B411,Customers!A:J,7,0)</f>
        <v>28</v>
      </c>
      <c r="O411" t="str">
        <f>VLOOKUP(B411,Customers!A:J,5,0)</f>
        <v>Chicago</v>
      </c>
      <c r="P411" t="str">
        <f>VLOOKUP(B411,Customers!A:J,10,0)</f>
        <v>Platinum</v>
      </c>
      <c r="Q411" t="str">
        <f>VLOOKUP(B411,Customers!A:J,8,0)</f>
        <v>Male</v>
      </c>
      <c r="R411" t="b">
        <f t="shared" si="12"/>
        <v>1</v>
      </c>
      <c r="S411" s="18">
        <f t="shared" si="13"/>
        <v>44835</v>
      </c>
    </row>
    <row r="412" spans="1:19" x14ac:dyDescent="0.25">
      <c r="A412" s="3" t="s">
        <v>1408</v>
      </c>
      <c r="B412" s="4" t="s">
        <v>206</v>
      </c>
      <c r="C412" s="14">
        <v>45096</v>
      </c>
      <c r="D412" s="4" t="s">
        <v>653</v>
      </c>
      <c r="E412" s="4" t="s">
        <v>727</v>
      </c>
      <c r="F412" s="4">
        <v>14.99</v>
      </c>
      <c r="G412" s="4">
        <v>2</v>
      </c>
      <c r="H412" s="4">
        <v>5</v>
      </c>
      <c r="I412" s="4">
        <v>14.24</v>
      </c>
      <c r="J412" s="4">
        <v>28.48</v>
      </c>
      <c r="K412" s="4" t="s">
        <v>682</v>
      </c>
      <c r="L412" s="4" t="s">
        <v>656</v>
      </c>
      <c r="M412" s="5">
        <v>4</v>
      </c>
      <c r="N412">
        <f>VLOOKUP(B412,Customers!A:J,7,0)</f>
        <v>28</v>
      </c>
      <c r="O412" t="str">
        <f>VLOOKUP(B412,Customers!A:J,5,0)</f>
        <v>Chicago</v>
      </c>
      <c r="P412" t="str">
        <f>VLOOKUP(B412,Customers!A:J,10,0)</f>
        <v>Platinum</v>
      </c>
      <c r="Q412" t="str">
        <f>VLOOKUP(B412,Customers!A:J,8,0)</f>
        <v>Male</v>
      </c>
      <c r="R412" t="b">
        <f t="shared" si="12"/>
        <v>1</v>
      </c>
      <c r="S412" s="18">
        <f t="shared" si="13"/>
        <v>45078</v>
      </c>
    </row>
    <row r="413" spans="1:19" x14ac:dyDescent="0.25">
      <c r="A413" s="6" t="s">
        <v>1410</v>
      </c>
      <c r="B413" s="7" t="s">
        <v>206</v>
      </c>
      <c r="C413" s="15">
        <v>45605</v>
      </c>
      <c r="D413" s="7" t="s">
        <v>684</v>
      </c>
      <c r="E413" s="7" t="s">
        <v>705</v>
      </c>
      <c r="F413" s="7">
        <v>79.989999999999995</v>
      </c>
      <c r="G413" s="7">
        <v>2</v>
      </c>
      <c r="H413" s="7">
        <v>5</v>
      </c>
      <c r="I413" s="7">
        <v>75.989999999999995</v>
      </c>
      <c r="J413" s="7">
        <v>151.97999999999999</v>
      </c>
      <c r="K413" s="7" t="s">
        <v>675</v>
      </c>
      <c r="L413" s="7" t="s">
        <v>788</v>
      </c>
      <c r="M413" s="8"/>
      <c r="N413">
        <f>VLOOKUP(B413,Customers!A:J,7,0)</f>
        <v>28</v>
      </c>
      <c r="O413" t="str">
        <f>VLOOKUP(B413,Customers!A:J,5,0)</f>
        <v>Chicago</v>
      </c>
      <c r="P413" t="str">
        <f>VLOOKUP(B413,Customers!A:J,10,0)</f>
        <v>Platinum</v>
      </c>
      <c r="Q413" t="str">
        <f>VLOOKUP(B413,Customers!A:J,8,0)</f>
        <v>Male</v>
      </c>
      <c r="R413" t="b">
        <f t="shared" si="12"/>
        <v>1</v>
      </c>
      <c r="S413" s="18">
        <f t="shared" si="13"/>
        <v>45597</v>
      </c>
    </row>
    <row r="414" spans="1:19" x14ac:dyDescent="0.25">
      <c r="A414" s="3" t="s">
        <v>1412</v>
      </c>
      <c r="B414" s="4" t="s">
        <v>206</v>
      </c>
      <c r="C414" s="14">
        <v>45205</v>
      </c>
      <c r="D414" s="4" t="s">
        <v>667</v>
      </c>
      <c r="E414" s="4" t="s">
        <v>699</v>
      </c>
      <c r="F414" s="4">
        <v>89.99</v>
      </c>
      <c r="G414" s="4">
        <v>4</v>
      </c>
      <c r="H414" s="4">
        <v>20</v>
      </c>
      <c r="I414" s="4">
        <v>71.989999999999995</v>
      </c>
      <c r="J414" s="4">
        <v>287.95999999999998</v>
      </c>
      <c r="K414" s="4" t="s">
        <v>669</v>
      </c>
      <c r="L414" s="4" t="s">
        <v>788</v>
      </c>
      <c r="M414" s="5"/>
      <c r="N414">
        <f>VLOOKUP(B414,Customers!A:J,7,0)</f>
        <v>28</v>
      </c>
      <c r="O414" t="str">
        <f>VLOOKUP(B414,Customers!A:J,5,0)</f>
        <v>Chicago</v>
      </c>
      <c r="P414" t="str">
        <f>VLOOKUP(B414,Customers!A:J,10,0)</f>
        <v>Platinum</v>
      </c>
      <c r="Q414" t="str">
        <f>VLOOKUP(B414,Customers!A:J,8,0)</f>
        <v>Male</v>
      </c>
      <c r="R414" t="b">
        <f t="shared" si="12"/>
        <v>1</v>
      </c>
      <c r="S414" s="18">
        <f t="shared" si="13"/>
        <v>45200</v>
      </c>
    </row>
    <row r="415" spans="1:19" x14ac:dyDescent="0.25">
      <c r="A415" s="6" t="s">
        <v>1413</v>
      </c>
      <c r="B415" s="7" t="s">
        <v>206</v>
      </c>
      <c r="C415" s="15">
        <v>45479</v>
      </c>
      <c r="D415" s="7" t="s">
        <v>653</v>
      </c>
      <c r="E415" s="7" t="s">
        <v>827</v>
      </c>
      <c r="F415" s="7">
        <v>29.99</v>
      </c>
      <c r="G415" s="7">
        <v>3</v>
      </c>
      <c r="H415" s="7">
        <v>10</v>
      </c>
      <c r="I415" s="7">
        <v>26.99</v>
      </c>
      <c r="J415" s="7">
        <v>80.97</v>
      </c>
      <c r="K415" s="7" t="s">
        <v>682</v>
      </c>
      <c r="L415" s="7" t="s">
        <v>656</v>
      </c>
      <c r="M415" s="8"/>
      <c r="N415">
        <f>VLOOKUP(B415,Customers!A:J,7,0)</f>
        <v>28</v>
      </c>
      <c r="O415" t="str">
        <f>VLOOKUP(B415,Customers!A:J,5,0)</f>
        <v>Chicago</v>
      </c>
      <c r="P415" t="str">
        <f>VLOOKUP(B415,Customers!A:J,10,0)</f>
        <v>Platinum</v>
      </c>
      <c r="Q415" t="str">
        <f>VLOOKUP(B415,Customers!A:J,8,0)</f>
        <v>Male</v>
      </c>
      <c r="R415" t="b">
        <f t="shared" si="12"/>
        <v>1</v>
      </c>
      <c r="S415" s="18">
        <f t="shared" si="13"/>
        <v>45474</v>
      </c>
    </row>
    <row r="416" spans="1:19" x14ac:dyDescent="0.25">
      <c r="A416" s="3" t="s">
        <v>1415</v>
      </c>
      <c r="B416" s="4" t="s">
        <v>209</v>
      </c>
      <c r="C416" s="14">
        <v>45544</v>
      </c>
      <c r="D416" s="4" t="s">
        <v>659</v>
      </c>
      <c r="E416" s="4" t="s">
        <v>762</v>
      </c>
      <c r="F416" s="4">
        <v>49.99</v>
      </c>
      <c r="G416" s="4">
        <v>1</v>
      </c>
      <c r="H416" s="4">
        <v>0</v>
      </c>
      <c r="I416" s="4">
        <v>49.99</v>
      </c>
      <c r="J416" s="4">
        <v>49.99</v>
      </c>
      <c r="K416" s="4" t="s">
        <v>682</v>
      </c>
      <c r="L416" s="4" t="s">
        <v>656</v>
      </c>
      <c r="M416" s="5">
        <v>5</v>
      </c>
      <c r="N416">
        <f>VLOOKUP(B416,Customers!A:J,7,0)</f>
        <v>23</v>
      </c>
      <c r="O416" t="str">
        <f>VLOOKUP(B416,Customers!A:J,5,0)</f>
        <v>San Diego</v>
      </c>
      <c r="P416" t="str">
        <f>VLOOKUP(B416,Customers!A:J,10,0)</f>
        <v>Platinum</v>
      </c>
      <c r="Q416" t="str">
        <f>VLOOKUP(B416,Customers!A:J,8,0)</f>
        <v>Female</v>
      </c>
      <c r="R416" t="b">
        <f t="shared" si="12"/>
        <v>1</v>
      </c>
      <c r="S416" s="18">
        <f t="shared" si="13"/>
        <v>45536</v>
      </c>
    </row>
    <row r="417" spans="1:19" x14ac:dyDescent="0.25">
      <c r="A417" s="6" t="s">
        <v>1417</v>
      </c>
      <c r="B417" s="7" t="s">
        <v>209</v>
      </c>
      <c r="C417" s="15">
        <v>45285</v>
      </c>
      <c r="D417" s="7" t="s">
        <v>684</v>
      </c>
      <c r="E417" s="7" t="s">
        <v>702</v>
      </c>
      <c r="F417" s="7">
        <v>199.99</v>
      </c>
      <c r="G417" s="7">
        <v>1</v>
      </c>
      <c r="H417" s="7">
        <v>0</v>
      </c>
      <c r="I417" s="7">
        <v>199.99</v>
      </c>
      <c r="J417" s="7">
        <v>199.99</v>
      </c>
      <c r="K417" s="7" t="s">
        <v>661</v>
      </c>
      <c r="L417" s="7" t="s">
        <v>656</v>
      </c>
      <c r="M417" s="8">
        <v>4</v>
      </c>
      <c r="N417">
        <f>VLOOKUP(B417,Customers!A:J,7,0)</f>
        <v>23</v>
      </c>
      <c r="O417" t="str">
        <f>VLOOKUP(B417,Customers!A:J,5,0)</f>
        <v>San Diego</v>
      </c>
      <c r="P417" t="str">
        <f>VLOOKUP(B417,Customers!A:J,10,0)</f>
        <v>Platinum</v>
      </c>
      <c r="Q417" t="str">
        <f>VLOOKUP(B417,Customers!A:J,8,0)</f>
        <v>Female</v>
      </c>
      <c r="R417" t="b">
        <f t="shared" si="12"/>
        <v>1</v>
      </c>
      <c r="S417" s="18">
        <f t="shared" si="13"/>
        <v>45261</v>
      </c>
    </row>
    <row r="418" spans="1:19" x14ac:dyDescent="0.25">
      <c r="A418" s="3" t="s">
        <v>1419</v>
      </c>
      <c r="B418" s="4" t="s">
        <v>209</v>
      </c>
      <c r="C418" s="14">
        <v>44570</v>
      </c>
      <c r="D418" s="4" t="s">
        <v>680</v>
      </c>
      <c r="E418" s="4" t="s">
        <v>749</v>
      </c>
      <c r="F418" s="4">
        <v>14.99</v>
      </c>
      <c r="G418" s="4">
        <v>4</v>
      </c>
      <c r="H418" s="4">
        <v>20</v>
      </c>
      <c r="I418" s="4">
        <v>11.99</v>
      </c>
      <c r="J418" s="4">
        <v>47.96</v>
      </c>
      <c r="K418" s="4" t="s">
        <v>675</v>
      </c>
      <c r="L418" s="4" t="s">
        <v>788</v>
      </c>
      <c r="M418" s="5"/>
      <c r="N418">
        <f>VLOOKUP(B418,Customers!A:J,7,0)</f>
        <v>23</v>
      </c>
      <c r="O418" t="str">
        <f>VLOOKUP(B418,Customers!A:J,5,0)</f>
        <v>San Diego</v>
      </c>
      <c r="P418" t="str">
        <f>VLOOKUP(B418,Customers!A:J,10,0)</f>
        <v>Platinum</v>
      </c>
      <c r="Q418" t="str">
        <f>VLOOKUP(B418,Customers!A:J,8,0)</f>
        <v>Female</v>
      </c>
      <c r="R418" t="b">
        <f t="shared" si="12"/>
        <v>1</v>
      </c>
      <c r="S418" s="18">
        <f t="shared" si="13"/>
        <v>44562</v>
      </c>
    </row>
    <row r="419" spans="1:19" x14ac:dyDescent="0.25">
      <c r="A419" s="6" t="s">
        <v>1421</v>
      </c>
      <c r="B419" s="7" t="s">
        <v>209</v>
      </c>
      <c r="C419" s="15">
        <v>44899</v>
      </c>
      <c r="D419" s="7" t="s">
        <v>659</v>
      </c>
      <c r="E419" s="7" t="s">
        <v>820</v>
      </c>
      <c r="F419" s="7">
        <v>39.99</v>
      </c>
      <c r="G419" s="7">
        <v>1</v>
      </c>
      <c r="H419" s="7">
        <v>10</v>
      </c>
      <c r="I419" s="7">
        <v>35.99</v>
      </c>
      <c r="J419" s="7">
        <v>35.99</v>
      </c>
      <c r="K419" s="7" t="s">
        <v>661</v>
      </c>
      <c r="L419" s="7" t="s">
        <v>656</v>
      </c>
      <c r="M419" s="8">
        <v>5</v>
      </c>
      <c r="N419">
        <f>VLOOKUP(B419,Customers!A:J,7,0)</f>
        <v>23</v>
      </c>
      <c r="O419" t="str">
        <f>VLOOKUP(B419,Customers!A:J,5,0)</f>
        <v>San Diego</v>
      </c>
      <c r="P419" t="str">
        <f>VLOOKUP(B419,Customers!A:J,10,0)</f>
        <v>Platinum</v>
      </c>
      <c r="Q419" t="str">
        <f>VLOOKUP(B419,Customers!A:J,8,0)</f>
        <v>Female</v>
      </c>
      <c r="R419" t="b">
        <f t="shared" si="12"/>
        <v>1</v>
      </c>
      <c r="S419" s="18">
        <f t="shared" si="13"/>
        <v>44896</v>
      </c>
    </row>
    <row r="420" spans="1:19" x14ac:dyDescent="0.25">
      <c r="A420" s="3" t="s">
        <v>1423</v>
      </c>
      <c r="B420" s="4" t="s">
        <v>209</v>
      </c>
      <c r="C420" s="14">
        <v>45096</v>
      </c>
      <c r="D420" s="4" t="s">
        <v>653</v>
      </c>
      <c r="E420" s="4" t="s">
        <v>727</v>
      </c>
      <c r="F420" s="4">
        <v>14.99</v>
      </c>
      <c r="G420" s="4">
        <v>3</v>
      </c>
      <c r="H420" s="4">
        <v>20</v>
      </c>
      <c r="I420" s="4">
        <v>11.99</v>
      </c>
      <c r="J420" s="4">
        <v>35.97</v>
      </c>
      <c r="K420" s="4" t="s">
        <v>669</v>
      </c>
      <c r="L420" s="4" t="s">
        <v>656</v>
      </c>
      <c r="M420" s="5">
        <v>4</v>
      </c>
      <c r="N420">
        <f>VLOOKUP(B420,Customers!A:J,7,0)</f>
        <v>23</v>
      </c>
      <c r="O420" t="str">
        <f>VLOOKUP(B420,Customers!A:J,5,0)</f>
        <v>San Diego</v>
      </c>
      <c r="P420" t="str">
        <f>VLOOKUP(B420,Customers!A:J,10,0)</f>
        <v>Platinum</v>
      </c>
      <c r="Q420" t="str">
        <f>VLOOKUP(B420,Customers!A:J,8,0)</f>
        <v>Female</v>
      </c>
      <c r="R420" t="b">
        <f t="shared" si="12"/>
        <v>1</v>
      </c>
      <c r="S420" s="18">
        <f t="shared" si="13"/>
        <v>45078</v>
      </c>
    </row>
    <row r="421" spans="1:19" x14ac:dyDescent="0.25">
      <c r="A421" s="6" t="s">
        <v>1424</v>
      </c>
      <c r="B421" s="7" t="s">
        <v>209</v>
      </c>
      <c r="C421" s="15">
        <v>44960</v>
      </c>
      <c r="D421" s="7" t="s">
        <v>653</v>
      </c>
      <c r="E421" s="7" t="s">
        <v>727</v>
      </c>
      <c r="F421" s="7">
        <v>14.99</v>
      </c>
      <c r="G421" s="7">
        <v>3</v>
      </c>
      <c r="H421" s="7">
        <v>0</v>
      </c>
      <c r="I421" s="7">
        <v>14.99</v>
      </c>
      <c r="J421" s="7">
        <v>44.97</v>
      </c>
      <c r="K421" s="7" t="s">
        <v>669</v>
      </c>
      <c r="L421" s="7" t="s">
        <v>656</v>
      </c>
      <c r="M421" s="8"/>
      <c r="N421">
        <f>VLOOKUP(B421,Customers!A:J,7,0)</f>
        <v>23</v>
      </c>
      <c r="O421" t="str">
        <f>VLOOKUP(B421,Customers!A:J,5,0)</f>
        <v>San Diego</v>
      </c>
      <c r="P421" t="str">
        <f>VLOOKUP(B421,Customers!A:J,10,0)</f>
        <v>Platinum</v>
      </c>
      <c r="Q421" t="str">
        <f>VLOOKUP(B421,Customers!A:J,8,0)</f>
        <v>Female</v>
      </c>
      <c r="R421" t="b">
        <f t="shared" si="12"/>
        <v>1</v>
      </c>
      <c r="S421" s="18">
        <f t="shared" si="13"/>
        <v>44958</v>
      </c>
    </row>
    <row r="422" spans="1:19" x14ac:dyDescent="0.25">
      <c r="A422" s="3" t="s">
        <v>1426</v>
      </c>
      <c r="B422" s="4" t="s">
        <v>209</v>
      </c>
      <c r="C422" s="14">
        <v>44570</v>
      </c>
      <c r="D422" s="4" t="s">
        <v>659</v>
      </c>
      <c r="E422" s="4" t="s">
        <v>664</v>
      </c>
      <c r="F422" s="4">
        <v>24.99</v>
      </c>
      <c r="G422" s="4">
        <v>2</v>
      </c>
      <c r="H422" s="4">
        <v>0</v>
      </c>
      <c r="I422" s="4">
        <v>24.99</v>
      </c>
      <c r="J422" s="4">
        <v>49.98</v>
      </c>
      <c r="K422" s="4" t="s">
        <v>669</v>
      </c>
      <c r="L422" s="4" t="s">
        <v>656</v>
      </c>
      <c r="M422" s="5">
        <v>3</v>
      </c>
      <c r="N422">
        <f>VLOOKUP(B422,Customers!A:J,7,0)</f>
        <v>23</v>
      </c>
      <c r="O422" t="str">
        <f>VLOOKUP(B422,Customers!A:J,5,0)</f>
        <v>San Diego</v>
      </c>
      <c r="P422" t="str">
        <f>VLOOKUP(B422,Customers!A:J,10,0)</f>
        <v>Platinum</v>
      </c>
      <c r="Q422" t="str">
        <f>VLOOKUP(B422,Customers!A:J,8,0)</f>
        <v>Female</v>
      </c>
      <c r="R422" t="b">
        <f t="shared" si="12"/>
        <v>1</v>
      </c>
      <c r="S422" s="18">
        <f t="shared" si="13"/>
        <v>44562</v>
      </c>
    </row>
    <row r="423" spans="1:19" x14ac:dyDescent="0.25">
      <c r="A423" s="6" t="s">
        <v>1427</v>
      </c>
      <c r="B423" s="7" t="s">
        <v>209</v>
      </c>
      <c r="C423" s="15">
        <v>45518</v>
      </c>
      <c r="D423" s="7" t="s">
        <v>684</v>
      </c>
      <c r="E423" s="7" t="s">
        <v>705</v>
      </c>
      <c r="F423" s="7">
        <v>79.989999999999995</v>
      </c>
      <c r="G423" s="7">
        <v>1</v>
      </c>
      <c r="H423" s="7">
        <v>0</v>
      </c>
      <c r="I423" s="7">
        <v>79.989999999999995</v>
      </c>
      <c r="J423" s="7">
        <v>79.989999999999995</v>
      </c>
      <c r="K423" s="7" t="s">
        <v>661</v>
      </c>
      <c r="L423" s="7" t="s">
        <v>656</v>
      </c>
      <c r="M423" s="8">
        <v>3</v>
      </c>
      <c r="N423">
        <f>VLOOKUP(B423,Customers!A:J,7,0)</f>
        <v>23</v>
      </c>
      <c r="O423" t="str">
        <f>VLOOKUP(B423,Customers!A:J,5,0)</f>
        <v>San Diego</v>
      </c>
      <c r="P423" t="str">
        <f>VLOOKUP(B423,Customers!A:J,10,0)</f>
        <v>Platinum</v>
      </c>
      <c r="Q423" t="str">
        <f>VLOOKUP(B423,Customers!A:J,8,0)</f>
        <v>Female</v>
      </c>
      <c r="R423" t="b">
        <f t="shared" si="12"/>
        <v>1</v>
      </c>
      <c r="S423" s="18">
        <f t="shared" si="13"/>
        <v>45505</v>
      </c>
    </row>
    <row r="424" spans="1:19" x14ac:dyDescent="0.25">
      <c r="A424" s="3" t="s">
        <v>1429</v>
      </c>
      <c r="B424" s="4" t="s">
        <v>209</v>
      </c>
      <c r="C424" s="14">
        <v>44784</v>
      </c>
      <c r="D424" s="4" t="s">
        <v>710</v>
      </c>
      <c r="E424" s="4" t="s">
        <v>721</v>
      </c>
      <c r="F424" s="4">
        <v>24.99</v>
      </c>
      <c r="G424" s="4">
        <v>2</v>
      </c>
      <c r="H424" s="4">
        <v>5</v>
      </c>
      <c r="I424" s="4">
        <v>23.74</v>
      </c>
      <c r="J424" s="4">
        <v>47.48</v>
      </c>
      <c r="K424" s="4" t="s">
        <v>655</v>
      </c>
      <c r="L424" s="4" t="s">
        <v>656</v>
      </c>
      <c r="M424" s="5">
        <v>5</v>
      </c>
      <c r="N424">
        <f>VLOOKUP(B424,Customers!A:J,7,0)</f>
        <v>23</v>
      </c>
      <c r="O424" t="str">
        <f>VLOOKUP(B424,Customers!A:J,5,0)</f>
        <v>San Diego</v>
      </c>
      <c r="P424" t="str">
        <f>VLOOKUP(B424,Customers!A:J,10,0)</f>
        <v>Platinum</v>
      </c>
      <c r="Q424" t="str">
        <f>VLOOKUP(B424,Customers!A:J,8,0)</f>
        <v>Female</v>
      </c>
      <c r="R424" t="b">
        <f t="shared" si="12"/>
        <v>1</v>
      </c>
      <c r="S424" s="18">
        <f t="shared" si="13"/>
        <v>44774</v>
      </c>
    </row>
    <row r="425" spans="1:19" x14ac:dyDescent="0.25">
      <c r="A425" s="6" t="s">
        <v>1431</v>
      </c>
      <c r="B425" s="7" t="s">
        <v>212</v>
      </c>
      <c r="C425" s="15">
        <v>45395</v>
      </c>
      <c r="D425" s="7" t="s">
        <v>659</v>
      </c>
      <c r="E425" s="7" t="s">
        <v>660</v>
      </c>
      <c r="F425" s="7">
        <v>19.989999999999998</v>
      </c>
      <c r="G425" s="7">
        <v>2</v>
      </c>
      <c r="H425" s="7">
        <v>10</v>
      </c>
      <c r="I425" s="7">
        <v>17.989999999999998</v>
      </c>
      <c r="J425" s="7">
        <v>35.979999999999997</v>
      </c>
      <c r="K425" s="7" t="s">
        <v>661</v>
      </c>
      <c r="L425" s="7" t="s">
        <v>656</v>
      </c>
      <c r="M425" s="8"/>
      <c r="N425">
        <f>VLOOKUP(B425,Customers!A:J,7,0)</f>
        <v>26</v>
      </c>
      <c r="O425" t="str">
        <f>VLOOKUP(B425,Customers!A:J,5,0)</f>
        <v>Dallas</v>
      </c>
      <c r="P425" t="str">
        <f>VLOOKUP(B425,Customers!A:J,10,0)</f>
        <v>Platinum</v>
      </c>
      <c r="Q425" t="str">
        <f>VLOOKUP(B425,Customers!A:J,8,0)</f>
        <v>Female</v>
      </c>
      <c r="R425" t="b">
        <f t="shared" si="12"/>
        <v>1</v>
      </c>
      <c r="S425" s="18">
        <f t="shared" si="13"/>
        <v>45383</v>
      </c>
    </row>
    <row r="426" spans="1:19" x14ac:dyDescent="0.25">
      <c r="A426" s="3" t="s">
        <v>1432</v>
      </c>
      <c r="B426" s="4" t="s">
        <v>212</v>
      </c>
      <c r="C426" s="14">
        <v>45439</v>
      </c>
      <c r="D426" s="4" t="s">
        <v>667</v>
      </c>
      <c r="E426" s="4" t="s">
        <v>699</v>
      </c>
      <c r="F426" s="4">
        <v>89.99</v>
      </c>
      <c r="G426" s="4">
        <v>3</v>
      </c>
      <c r="H426" s="4">
        <v>15</v>
      </c>
      <c r="I426" s="4">
        <v>76.489999999999995</v>
      </c>
      <c r="J426" s="4">
        <v>229.47</v>
      </c>
      <c r="K426" s="4" t="s">
        <v>682</v>
      </c>
      <c r="L426" s="4" t="s">
        <v>656</v>
      </c>
      <c r="M426" s="5">
        <v>4</v>
      </c>
      <c r="N426">
        <f>VLOOKUP(B426,Customers!A:J,7,0)</f>
        <v>26</v>
      </c>
      <c r="O426" t="str">
        <f>VLOOKUP(B426,Customers!A:J,5,0)</f>
        <v>Dallas</v>
      </c>
      <c r="P426" t="str">
        <f>VLOOKUP(B426,Customers!A:J,10,0)</f>
        <v>Platinum</v>
      </c>
      <c r="Q426" t="str">
        <f>VLOOKUP(B426,Customers!A:J,8,0)</f>
        <v>Female</v>
      </c>
      <c r="R426" t="b">
        <f t="shared" si="12"/>
        <v>1</v>
      </c>
      <c r="S426" s="18">
        <f t="shared" si="13"/>
        <v>45413</v>
      </c>
    </row>
    <row r="427" spans="1:19" x14ac:dyDescent="0.25">
      <c r="A427" s="6" t="s">
        <v>1433</v>
      </c>
      <c r="B427" s="7" t="s">
        <v>212</v>
      </c>
      <c r="C427" s="15">
        <v>44656</v>
      </c>
      <c r="D427" s="7" t="s">
        <v>667</v>
      </c>
      <c r="E427" s="7" t="s">
        <v>668</v>
      </c>
      <c r="F427" s="7">
        <v>64.989999999999995</v>
      </c>
      <c r="G427" s="7">
        <v>1</v>
      </c>
      <c r="H427" s="7">
        <v>0</v>
      </c>
      <c r="I427" s="7">
        <v>64.989999999999995</v>
      </c>
      <c r="J427" s="7">
        <v>64.989999999999995</v>
      </c>
      <c r="K427" s="7" t="s">
        <v>675</v>
      </c>
      <c r="L427" s="7" t="s">
        <v>693</v>
      </c>
      <c r="M427" s="8">
        <v>4</v>
      </c>
      <c r="N427">
        <f>VLOOKUP(B427,Customers!A:J,7,0)</f>
        <v>26</v>
      </c>
      <c r="O427" t="str">
        <f>VLOOKUP(B427,Customers!A:J,5,0)</f>
        <v>Dallas</v>
      </c>
      <c r="P427" t="str">
        <f>VLOOKUP(B427,Customers!A:J,10,0)</f>
        <v>Platinum</v>
      </c>
      <c r="Q427" t="str">
        <f>VLOOKUP(B427,Customers!A:J,8,0)</f>
        <v>Female</v>
      </c>
      <c r="R427" t="b">
        <f t="shared" si="12"/>
        <v>1</v>
      </c>
      <c r="S427" s="18">
        <f t="shared" si="13"/>
        <v>44652</v>
      </c>
    </row>
    <row r="428" spans="1:19" x14ac:dyDescent="0.25">
      <c r="A428" s="3" t="s">
        <v>1435</v>
      </c>
      <c r="B428" s="4" t="s">
        <v>212</v>
      </c>
      <c r="C428" s="14">
        <v>45385</v>
      </c>
      <c r="D428" s="4" t="s">
        <v>680</v>
      </c>
      <c r="E428" s="4" t="s">
        <v>749</v>
      </c>
      <c r="F428" s="4">
        <v>14.99</v>
      </c>
      <c r="G428" s="4">
        <v>4</v>
      </c>
      <c r="H428" s="4">
        <v>5</v>
      </c>
      <c r="I428" s="4">
        <v>14.24</v>
      </c>
      <c r="J428" s="4">
        <v>56.96</v>
      </c>
      <c r="K428" s="4" t="s">
        <v>682</v>
      </c>
      <c r="L428" s="4" t="s">
        <v>656</v>
      </c>
      <c r="M428" s="5">
        <v>4</v>
      </c>
      <c r="N428">
        <f>VLOOKUP(B428,Customers!A:J,7,0)</f>
        <v>26</v>
      </c>
      <c r="O428" t="str">
        <f>VLOOKUP(B428,Customers!A:J,5,0)</f>
        <v>Dallas</v>
      </c>
      <c r="P428" t="str">
        <f>VLOOKUP(B428,Customers!A:J,10,0)</f>
        <v>Platinum</v>
      </c>
      <c r="Q428" t="str">
        <f>VLOOKUP(B428,Customers!A:J,8,0)</f>
        <v>Female</v>
      </c>
      <c r="R428" t="b">
        <f t="shared" si="12"/>
        <v>1</v>
      </c>
      <c r="S428" s="18">
        <f t="shared" si="13"/>
        <v>45383</v>
      </c>
    </row>
    <row r="429" spans="1:19" x14ac:dyDescent="0.25">
      <c r="A429" s="6" t="s">
        <v>1437</v>
      </c>
      <c r="B429" s="7" t="s">
        <v>212</v>
      </c>
      <c r="C429" s="15">
        <v>45103</v>
      </c>
      <c r="D429" s="7" t="s">
        <v>667</v>
      </c>
      <c r="E429" s="7" t="s">
        <v>696</v>
      </c>
      <c r="F429" s="7">
        <v>59.99</v>
      </c>
      <c r="G429" s="7">
        <v>2</v>
      </c>
      <c r="H429" s="7">
        <v>20</v>
      </c>
      <c r="I429" s="7">
        <v>47.99</v>
      </c>
      <c r="J429" s="7">
        <v>95.98</v>
      </c>
      <c r="K429" s="7" t="s">
        <v>661</v>
      </c>
      <c r="L429" s="7" t="s">
        <v>656</v>
      </c>
      <c r="M429" s="8">
        <v>4</v>
      </c>
      <c r="N429">
        <f>VLOOKUP(B429,Customers!A:J,7,0)</f>
        <v>26</v>
      </c>
      <c r="O429" t="str">
        <f>VLOOKUP(B429,Customers!A:J,5,0)</f>
        <v>Dallas</v>
      </c>
      <c r="P429" t="str">
        <f>VLOOKUP(B429,Customers!A:J,10,0)</f>
        <v>Platinum</v>
      </c>
      <c r="Q429" t="str">
        <f>VLOOKUP(B429,Customers!A:J,8,0)</f>
        <v>Female</v>
      </c>
      <c r="R429" t="b">
        <f t="shared" si="12"/>
        <v>1</v>
      </c>
      <c r="S429" s="18">
        <f t="shared" si="13"/>
        <v>45078</v>
      </c>
    </row>
    <row r="430" spans="1:19" x14ac:dyDescent="0.25">
      <c r="A430" s="3" t="s">
        <v>1439</v>
      </c>
      <c r="B430" s="4" t="s">
        <v>212</v>
      </c>
      <c r="C430" s="14">
        <v>45402</v>
      </c>
      <c r="D430" s="4" t="s">
        <v>680</v>
      </c>
      <c r="E430" s="4" t="s">
        <v>688</v>
      </c>
      <c r="F430" s="4">
        <v>29.99</v>
      </c>
      <c r="G430" s="4">
        <v>1</v>
      </c>
      <c r="H430" s="4">
        <v>0</v>
      </c>
      <c r="I430" s="4">
        <v>29.99</v>
      </c>
      <c r="J430" s="4">
        <v>29.99</v>
      </c>
      <c r="K430" s="4" t="s">
        <v>675</v>
      </c>
      <c r="L430" s="4" t="s">
        <v>656</v>
      </c>
      <c r="M430" s="5"/>
      <c r="N430">
        <f>VLOOKUP(B430,Customers!A:J,7,0)</f>
        <v>26</v>
      </c>
      <c r="O430" t="str">
        <f>VLOOKUP(B430,Customers!A:J,5,0)</f>
        <v>Dallas</v>
      </c>
      <c r="P430" t="str">
        <f>VLOOKUP(B430,Customers!A:J,10,0)</f>
        <v>Platinum</v>
      </c>
      <c r="Q430" t="str">
        <f>VLOOKUP(B430,Customers!A:J,8,0)</f>
        <v>Female</v>
      </c>
      <c r="R430" t="b">
        <f t="shared" si="12"/>
        <v>1</v>
      </c>
      <c r="S430" s="18">
        <f t="shared" si="13"/>
        <v>45383</v>
      </c>
    </row>
    <row r="431" spans="1:19" x14ac:dyDescent="0.25">
      <c r="A431" s="6" t="s">
        <v>1441</v>
      </c>
      <c r="B431" s="7" t="s">
        <v>212</v>
      </c>
      <c r="C431" s="15">
        <v>45606</v>
      </c>
      <c r="D431" s="7" t="s">
        <v>684</v>
      </c>
      <c r="E431" s="7" t="s">
        <v>705</v>
      </c>
      <c r="F431" s="7">
        <v>79.989999999999995</v>
      </c>
      <c r="G431" s="7">
        <v>3</v>
      </c>
      <c r="H431" s="7">
        <v>15</v>
      </c>
      <c r="I431" s="7">
        <v>67.989999999999995</v>
      </c>
      <c r="J431" s="7">
        <v>203.97</v>
      </c>
      <c r="K431" s="7" t="s">
        <v>661</v>
      </c>
      <c r="L431" s="7" t="s">
        <v>656</v>
      </c>
      <c r="M431" s="8">
        <v>4</v>
      </c>
      <c r="N431">
        <f>VLOOKUP(B431,Customers!A:J,7,0)</f>
        <v>26</v>
      </c>
      <c r="O431" t="str">
        <f>VLOOKUP(B431,Customers!A:J,5,0)</f>
        <v>Dallas</v>
      </c>
      <c r="P431" t="str">
        <f>VLOOKUP(B431,Customers!A:J,10,0)</f>
        <v>Platinum</v>
      </c>
      <c r="Q431" t="str">
        <f>VLOOKUP(B431,Customers!A:J,8,0)</f>
        <v>Female</v>
      </c>
      <c r="R431" t="b">
        <f t="shared" si="12"/>
        <v>1</v>
      </c>
      <c r="S431" s="18">
        <f t="shared" si="13"/>
        <v>45597</v>
      </c>
    </row>
    <row r="432" spans="1:19" x14ac:dyDescent="0.25">
      <c r="A432" s="3" t="s">
        <v>1442</v>
      </c>
      <c r="B432" s="4" t="s">
        <v>212</v>
      </c>
      <c r="C432" s="14">
        <v>44671</v>
      </c>
      <c r="D432" s="4" t="s">
        <v>667</v>
      </c>
      <c r="E432" s="4" t="s">
        <v>696</v>
      </c>
      <c r="F432" s="4">
        <v>59.99</v>
      </c>
      <c r="G432" s="4">
        <v>2</v>
      </c>
      <c r="H432" s="4">
        <v>0</v>
      </c>
      <c r="I432" s="4">
        <v>59.99</v>
      </c>
      <c r="J432" s="4">
        <v>119.98</v>
      </c>
      <c r="K432" s="4" t="s">
        <v>682</v>
      </c>
      <c r="L432" s="4" t="s">
        <v>656</v>
      </c>
      <c r="M432" s="5">
        <v>5</v>
      </c>
      <c r="N432">
        <f>VLOOKUP(B432,Customers!A:J,7,0)</f>
        <v>26</v>
      </c>
      <c r="O432" t="str">
        <f>VLOOKUP(B432,Customers!A:J,5,0)</f>
        <v>Dallas</v>
      </c>
      <c r="P432" t="str">
        <f>VLOOKUP(B432,Customers!A:J,10,0)</f>
        <v>Platinum</v>
      </c>
      <c r="Q432" t="str">
        <f>VLOOKUP(B432,Customers!A:J,8,0)</f>
        <v>Female</v>
      </c>
      <c r="R432" t="b">
        <f t="shared" si="12"/>
        <v>1</v>
      </c>
      <c r="S432" s="18">
        <f t="shared" si="13"/>
        <v>44652</v>
      </c>
    </row>
    <row r="433" spans="1:19" x14ac:dyDescent="0.25">
      <c r="A433" s="6" t="s">
        <v>1444</v>
      </c>
      <c r="B433" s="7" t="s">
        <v>212</v>
      </c>
      <c r="C433" s="15">
        <v>45573</v>
      </c>
      <c r="D433" s="7" t="s">
        <v>667</v>
      </c>
      <c r="E433" s="7" t="s">
        <v>699</v>
      </c>
      <c r="F433" s="7">
        <v>89.99</v>
      </c>
      <c r="G433" s="7">
        <v>2</v>
      </c>
      <c r="H433" s="7">
        <v>10</v>
      </c>
      <c r="I433" s="7">
        <v>80.989999999999995</v>
      </c>
      <c r="J433" s="7">
        <v>161.97999999999999</v>
      </c>
      <c r="K433" s="7" t="s">
        <v>661</v>
      </c>
      <c r="L433" s="7" t="s">
        <v>656</v>
      </c>
      <c r="M433" s="8">
        <v>5</v>
      </c>
      <c r="N433">
        <f>VLOOKUP(B433,Customers!A:J,7,0)</f>
        <v>26</v>
      </c>
      <c r="O433" t="str">
        <f>VLOOKUP(B433,Customers!A:J,5,0)</f>
        <v>Dallas</v>
      </c>
      <c r="P433" t="str">
        <f>VLOOKUP(B433,Customers!A:J,10,0)</f>
        <v>Platinum</v>
      </c>
      <c r="Q433" t="str">
        <f>VLOOKUP(B433,Customers!A:J,8,0)</f>
        <v>Female</v>
      </c>
      <c r="R433" t="b">
        <f t="shared" si="12"/>
        <v>1</v>
      </c>
      <c r="S433" s="18">
        <f t="shared" si="13"/>
        <v>45566</v>
      </c>
    </row>
    <row r="434" spans="1:19" x14ac:dyDescent="0.25">
      <c r="A434" s="3" t="s">
        <v>1446</v>
      </c>
      <c r="B434" s="4" t="s">
        <v>212</v>
      </c>
      <c r="C434" s="14">
        <v>45460</v>
      </c>
      <c r="D434" s="4" t="s">
        <v>684</v>
      </c>
      <c r="E434" s="4" t="s">
        <v>702</v>
      </c>
      <c r="F434" s="4">
        <v>199.99</v>
      </c>
      <c r="G434" s="4">
        <v>2</v>
      </c>
      <c r="H434" s="4">
        <v>0</v>
      </c>
      <c r="I434" s="4">
        <v>199.99</v>
      </c>
      <c r="J434" s="4">
        <v>399.98</v>
      </c>
      <c r="K434" s="4" t="s">
        <v>682</v>
      </c>
      <c r="L434" s="4" t="s">
        <v>656</v>
      </c>
      <c r="M434" s="5">
        <v>5</v>
      </c>
      <c r="N434">
        <f>VLOOKUP(B434,Customers!A:J,7,0)</f>
        <v>26</v>
      </c>
      <c r="O434" t="str">
        <f>VLOOKUP(B434,Customers!A:J,5,0)</f>
        <v>Dallas</v>
      </c>
      <c r="P434" t="str">
        <f>VLOOKUP(B434,Customers!A:J,10,0)</f>
        <v>Platinum</v>
      </c>
      <c r="Q434" t="str">
        <f>VLOOKUP(B434,Customers!A:J,8,0)</f>
        <v>Female</v>
      </c>
      <c r="R434" t="b">
        <f t="shared" si="12"/>
        <v>1</v>
      </c>
      <c r="S434" s="18">
        <f t="shared" si="13"/>
        <v>45444</v>
      </c>
    </row>
    <row r="435" spans="1:19" x14ac:dyDescent="0.25">
      <c r="A435" s="6" t="s">
        <v>1447</v>
      </c>
      <c r="B435" s="7" t="s">
        <v>212</v>
      </c>
      <c r="C435" s="15">
        <v>45087</v>
      </c>
      <c r="D435" s="7" t="s">
        <v>680</v>
      </c>
      <c r="E435" s="7" t="s">
        <v>681</v>
      </c>
      <c r="F435" s="7">
        <v>19.989999999999998</v>
      </c>
      <c r="G435" s="7">
        <v>3</v>
      </c>
      <c r="H435" s="7">
        <v>0</v>
      </c>
      <c r="I435" s="7">
        <v>19.989999999999998</v>
      </c>
      <c r="J435" s="7">
        <v>59.97</v>
      </c>
      <c r="K435" s="7" t="s">
        <v>669</v>
      </c>
      <c r="L435" s="7" t="s">
        <v>739</v>
      </c>
      <c r="M435" s="8">
        <v>4</v>
      </c>
      <c r="N435">
        <f>VLOOKUP(B435,Customers!A:J,7,0)</f>
        <v>26</v>
      </c>
      <c r="O435" t="str">
        <f>VLOOKUP(B435,Customers!A:J,5,0)</f>
        <v>Dallas</v>
      </c>
      <c r="P435" t="str">
        <f>VLOOKUP(B435,Customers!A:J,10,0)</f>
        <v>Platinum</v>
      </c>
      <c r="Q435" t="str">
        <f>VLOOKUP(B435,Customers!A:J,8,0)</f>
        <v>Female</v>
      </c>
      <c r="R435" t="b">
        <f t="shared" si="12"/>
        <v>1</v>
      </c>
      <c r="S435" s="18">
        <f t="shared" si="13"/>
        <v>45078</v>
      </c>
    </row>
    <row r="436" spans="1:19" x14ac:dyDescent="0.25">
      <c r="A436" s="3" t="s">
        <v>1448</v>
      </c>
      <c r="B436" s="4" t="s">
        <v>212</v>
      </c>
      <c r="C436" s="14">
        <v>44656</v>
      </c>
      <c r="D436" s="4" t="s">
        <v>672</v>
      </c>
      <c r="E436" s="4" t="s">
        <v>803</v>
      </c>
      <c r="F436" s="4">
        <v>69.989999999999995</v>
      </c>
      <c r="G436" s="4">
        <v>1</v>
      </c>
      <c r="H436" s="4">
        <v>20</v>
      </c>
      <c r="I436" s="4">
        <v>55.99</v>
      </c>
      <c r="J436" s="4">
        <v>55.99</v>
      </c>
      <c r="K436" s="4" t="s">
        <v>661</v>
      </c>
      <c r="L436" s="4" t="s">
        <v>656</v>
      </c>
      <c r="M436" s="5"/>
      <c r="N436">
        <f>VLOOKUP(B436,Customers!A:J,7,0)</f>
        <v>26</v>
      </c>
      <c r="O436" t="str">
        <f>VLOOKUP(B436,Customers!A:J,5,0)</f>
        <v>Dallas</v>
      </c>
      <c r="P436" t="str">
        <f>VLOOKUP(B436,Customers!A:J,10,0)</f>
        <v>Platinum</v>
      </c>
      <c r="Q436" t="str">
        <f>VLOOKUP(B436,Customers!A:J,8,0)</f>
        <v>Female</v>
      </c>
      <c r="R436" t="b">
        <f t="shared" si="12"/>
        <v>1</v>
      </c>
      <c r="S436" s="18">
        <f t="shared" si="13"/>
        <v>44652</v>
      </c>
    </row>
    <row r="437" spans="1:19" x14ac:dyDescent="0.25">
      <c r="A437" s="6" t="s">
        <v>1449</v>
      </c>
      <c r="B437" s="7" t="s">
        <v>212</v>
      </c>
      <c r="C437" s="15">
        <v>44602</v>
      </c>
      <c r="D437" s="7" t="s">
        <v>672</v>
      </c>
      <c r="E437" s="7" t="s">
        <v>803</v>
      </c>
      <c r="F437" s="7">
        <v>69.989999999999995</v>
      </c>
      <c r="G437" s="7">
        <v>1</v>
      </c>
      <c r="H437" s="7">
        <v>15</v>
      </c>
      <c r="I437" s="7">
        <v>59.49</v>
      </c>
      <c r="J437" s="7">
        <v>59.49</v>
      </c>
      <c r="K437" s="7" t="s">
        <v>682</v>
      </c>
      <c r="L437" s="7" t="s">
        <v>656</v>
      </c>
      <c r="M437" s="8">
        <v>4</v>
      </c>
      <c r="N437">
        <f>VLOOKUP(B437,Customers!A:J,7,0)</f>
        <v>26</v>
      </c>
      <c r="O437" t="str">
        <f>VLOOKUP(B437,Customers!A:J,5,0)</f>
        <v>Dallas</v>
      </c>
      <c r="P437" t="str">
        <f>VLOOKUP(B437,Customers!A:J,10,0)</f>
        <v>Platinum</v>
      </c>
      <c r="Q437" t="str">
        <f>VLOOKUP(B437,Customers!A:J,8,0)</f>
        <v>Female</v>
      </c>
      <c r="R437" t="b">
        <f t="shared" si="12"/>
        <v>1</v>
      </c>
      <c r="S437" s="18">
        <f t="shared" si="13"/>
        <v>44593</v>
      </c>
    </row>
    <row r="438" spans="1:19" x14ac:dyDescent="0.25">
      <c r="A438" s="3" t="s">
        <v>1451</v>
      </c>
      <c r="B438" s="4" t="s">
        <v>212</v>
      </c>
      <c r="C438" s="14">
        <v>45421</v>
      </c>
      <c r="D438" s="4" t="s">
        <v>653</v>
      </c>
      <c r="E438" s="4" t="s">
        <v>769</v>
      </c>
      <c r="F438" s="4">
        <v>49.99</v>
      </c>
      <c r="G438" s="4">
        <v>2</v>
      </c>
      <c r="H438" s="4">
        <v>0</v>
      </c>
      <c r="I438" s="4">
        <v>49.99</v>
      </c>
      <c r="J438" s="4">
        <v>99.98</v>
      </c>
      <c r="K438" s="4" t="s">
        <v>669</v>
      </c>
      <c r="L438" s="4" t="s">
        <v>656</v>
      </c>
      <c r="M438" s="5">
        <v>1</v>
      </c>
      <c r="N438">
        <f>VLOOKUP(B438,Customers!A:J,7,0)</f>
        <v>26</v>
      </c>
      <c r="O438" t="str">
        <f>VLOOKUP(B438,Customers!A:J,5,0)</f>
        <v>Dallas</v>
      </c>
      <c r="P438" t="str">
        <f>VLOOKUP(B438,Customers!A:J,10,0)</f>
        <v>Platinum</v>
      </c>
      <c r="Q438" t="str">
        <f>VLOOKUP(B438,Customers!A:J,8,0)</f>
        <v>Female</v>
      </c>
      <c r="R438" t="b">
        <f t="shared" si="12"/>
        <v>1</v>
      </c>
      <c r="S438" s="18">
        <f t="shared" si="13"/>
        <v>45413</v>
      </c>
    </row>
    <row r="439" spans="1:19" x14ac:dyDescent="0.25">
      <c r="A439" s="6" t="s">
        <v>1452</v>
      </c>
      <c r="B439" s="7" t="s">
        <v>212</v>
      </c>
      <c r="C439" s="15">
        <v>45466</v>
      </c>
      <c r="D439" s="7" t="s">
        <v>653</v>
      </c>
      <c r="E439" s="7" t="s">
        <v>727</v>
      </c>
      <c r="F439" s="7">
        <v>14.99</v>
      </c>
      <c r="G439" s="7">
        <v>3</v>
      </c>
      <c r="H439" s="7">
        <v>0</v>
      </c>
      <c r="I439" s="7">
        <v>14.99</v>
      </c>
      <c r="J439" s="7">
        <v>44.97</v>
      </c>
      <c r="K439" s="7" t="s">
        <v>661</v>
      </c>
      <c r="L439" s="7" t="s">
        <v>656</v>
      </c>
      <c r="M439" s="8">
        <v>5</v>
      </c>
      <c r="N439">
        <f>VLOOKUP(B439,Customers!A:J,7,0)</f>
        <v>26</v>
      </c>
      <c r="O439" t="str">
        <f>VLOOKUP(B439,Customers!A:J,5,0)</f>
        <v>Dallas</v>
      </c>
      <c r="P439" t="str">
        <f>VLOOKUP(B439,Customers!A:J,10,0)</f>
        <v>Platinum</v>
      </c>
      <c r="Q439" t="str">
        <f>VLOOKUP(B439,Customers!A:J,8,0)</f>
        <v>Female</v>
      </c>
      <c r="R439" t="b">
        <f t="shared" si="12"/>
        <v>1</v>
      </c>
      <c r="S439" s="18">
        <f t="shared" si="13"/>
        <v>45444</v>
      </c>
    </row>
    <row r="440" spans="1:19" x14ac:dyDescent="0.25">
      <c r="A440" s="3" t="s">
        <v>1454</v>
      </c>
      <c r="B440" s="4" t="s">
        <v>215</v>
      </c>
      <c r="C440" s="14">
        <v>44830</v>
      </c>
      <c r="D440" s="4" t="s">
        <v>667</v>
      </c>
      <c r="E440" s="4" t="s">
        <v>668</v>
      </c>
      <c r="F440" s="4">
        <v>64.989999999999995</v>
      </c>
      <c r="G440" s="4">
        <v>2</v>
      </c>
      <c r="H440" s="4">
        <v>15</v>
      </c>
      <c r="I440" s="4">
        <v>55.24</v>
      </c>
      <c r="J440" s="4">
        <v>110.48</v>
      </c>
      <c r="K440" s="4" t="s">
        <v>661</v>
      </c>
      <c r="L440" s="4" t="s">
        <v>656</v>
      </c>
      <c r="M440" s="5">
        <v>4</v>
      </c>
      <c r="N440">
        <f>VLOOKUP(B440,Customers!A:J,7,0)</f>
        <v>36</v>
      </c>
      <c r="O440" t="str">
        <f>VLOOKUP(B440,Customers!A:J,5,0)</f>
        <v>Chicago</v>
      </c>
      <c r="P440" t="str">
        <f>VLOOKUP(B440,Customers!A:J,10,0)</f>
        <v>Free</v>
      </c>
      <c r="Q440" t="str">
        <f>VLOOKUP(B440,Customers!A:J,8,0)</f>
        <v>Male</v>
      </c>
      <c r="R440" t="b">
        <f t="shared" si="12"/>
        <v>1</v>
      </c>
      <c r="S440" s="18">
        <f t="shared" si="13"/>
        <v>44805</v>
      </c>
    </row>
    <row r="441" spans="1:19" x14ac:dyDescent="0.25">
      <c r="A441" s="6" t="s">
        <v>1456</v>
      </c>
      <c r="B441" s="7" t="s">
        <v>215</v>
      </c>
      <c r="C441" s="15">
        <v>44615</v>
      </c>
      <c r="D441" s="7" t="s">
        <v>684</v>
      </c>
      <c r="E441" s="7" t="s">
        <v>702</v>
      </c>
      <c r="F441" s="7">
        <v>199.99</v>
      </c>
      <c r="G441" s="7">
        <v>2</v>
      </c>
      <c r="H441" s="7">
        <v>0</v>
      </c>
      <c r="I441" s="7">
        <v>199.99</v>
      </c>
      <c r="J441" s="7">
        <v>399.98</v>
      </c>
      <c r="K441" s="7" t="s">
        <v>655</v>
      </c>
      <c r="L441" s="7" t="s">
        <v>656</v>
      </c>
      <c r="M441" s="8"/>
      <c r="N441">
        <f>VLOOKUP(B441,Customers!A:J,7,0)</f>
        <v>36</v>
      </c>
      <c r="O441" t="str">
        <f>VLOOKUP(B441,Customers!A:J,5,0)</f>
        <v>Chicago</v>
      </c>
      <c r="P441" t="str">
        <f>VLOOKUP(B441,Customers!A:J,10,0)</f>
        <v>Free</v>
      </c>
      <c r="Q441" t="str">
        <f>VLOOKUP(B441,Customers!A:J,8,0)</f>
        <v>Male</v>
      </c>
      <c r="R441" t="b">
        <f t="shared" si="12"/>
        <v>1</v>
      </c>
      <c r="S441" s="18">
        <f t="shared" si="13"/>
        <v>44593</v>
      </c>
    </row>
    <row r="442" spans="1:19" x14ac:dyDescent="0.25">
      <c r="A442" s="3" t="s">
        <v>1458</v>
      </c>
      <c r="B442" s="4" t="s">
        <v>215</v>
      </c>
      <c r="C442" s="14">
        <v>44657</v>
      </c>
      <c r="D442" s="4" t="s">
        <v>710</v>
      </c>
      <c r="E442" s="4" t="s">
        <v>721</v>
      </c>
      <c r="F442" s="4">
        <v>24.99</v>
      </c>
      <c r="G442" s="4">
        <v>2</v>
      </c>
      <c r="H442" s="4">
        <v>5</v>
      </c>
      <c r="I442" s="4">
        <v>23.74</v>
      </c>
      <c r="J442" s="4">
        <v>47.48</v>
      </c>
      <c r="K442" s="4" t="s">
        <v>669</v>
      </c>
      <c r="L442" s="4" t="s">
        <v>656</v>
      </c>
      <c r="M442" s="5">
        <v>4</v>
      </c>
      <c r="N442">
        <f>VLOOKUP(B442,Customers!A:J,7,0)</f>
        <v>36</v>
      </c>
      <c r="O442" t="str">
        <f>VLOOKUP(B442,Customers!A:J,5,0)</f>
        <v>Chicago</v>
      </c>
      <c r="P442" t="str">
        <f>VLOOKUP(B442,Customers!A:J,10,0)</f>
        <v>Free</v>
      </c>
      <c r="Q442" t="str">
        <f>VLOOKUP(B442,Customers!A:J,8,0)</f>
        <v>Male</v>
      </c>
      <c r="R442" t="b">
        <f t="shared" si="12"/>
        <v>1</v>
      </c>
      <c r="S442" s="18">
        <f t="shared" si="13"/>
        <v>44652</v>
      </c>
    </row>
    <row r="443" spans="1:19" x14ac:dyDescent="0.25">
      <c r="A443" s="6" t="s">
        <v>1459</v>
      </c>
      <c r="B443" s="7" t="s">
        <v>215</v>
      </c>
      <c r="C443" s="15">
        <v>44951</v>
      </c>
      <c r="D443" s="7" t="s">
        <v>659</v>
      </c>
      <c r="E443" s="7" t="s">
        <v>820</v>
      </c>
      <c r="F443" s="7">
        <v>39.99</v>
      </c>
      <c r="G443" s="7">
        <v>4</v>
      </c>
      <c r="H443" s="7">
        <v>0</v>
      </c>
      <c r="I443" s="7">
        <v>39.99</v>
      </c>
      <c r="J443" s="7">
        <v>159.96</v>
      </c>
      <c r="K443" s="7" t="s">
        <v>669</v>
      </c>
      <c r="L443" s="7" t="s">
        <v>656</v>
      </c>
      <c r="M443" s="8"/>
      <c r="N443">
        <f>VLOOKUP(B443,Customers!A:J,7,0)</f>
        <v>36</v>
      </c>
      <c r="O443" t="str">
        <f>VLOOKUP(B443,Customers!A:J,5,0)</f>
        <v>Chicago</v>
      </c>
      <c r="P443" t="str">
        <f>VLOOKUP(B443,Customers!A:J,10,0)</f>
        <v>Free</v>
      </c>
      <c r="Q443" t="str">
        <f>VLOOKUP(B443,Customers!A:J,8,0)</f>
        <v>Male</v>
      </c>
      <c r="R443" t="b">
        <f t="shared" si="12"/>
        <v>1</v>
      </c>
      <c r="S443" s="18">
        <f t="shared" si="13"/>
        <v>44927</v>
      </c>
    </row>
    <row r="444" spans="1:19" x14ac:dyDescent="0.25">
      <c r="A444" s="3" t="s">
        <v>1461</v>
      </c>
      <c r="B444" s="4" t="s">
        <v>215</v>
      </c>
      <c r="C444" s="14">
        <v>45517</v>
      </c>
      <c r="D444" s="4" t="s">
        <v>710</v>
      </c>
      <c r="E444" s="4" t="s">
        <v>711</v>
      </c>
      <c r="F444" s="4">
        <v>14.99</v>
      </c>
      <c r="G444" s="4">
        <v>4</v>
      </c>
      <c r="H444" s="4">
        <v>15</v>
      </c>
      <c r="I444" s="4">
        <v>12.74</v>
      </c>
      <c r="J444" s="4">
        <v>50.96</v>
      </c>
      <c r="K444" s="4" t="s">
        <v>682</v>
      </c>
      <c r="L444" s="4" t="s">
        <v>656</v>
      </c>
      <c r="M444" s="5">
        <v>3</v>
      </c>
      <c r="N444">
        <f>VLOOKUP(B444,Customers!A:J,7,0)</f>
        <v>36</v>
      </c>
      <c r="O444" t="str">
        <f>VLOOKUP(B444,Customers!A:J,5,0)</f>
        <v>Chicago</v>
      </c>
      <c r="P444" t="str">
        <f>VLOOKUP(B444,Customers!A:J,10,0)</f>
        <v>Free</v>
      </c>
      <c r="Q444" t="str">
        <f>VLOOKUP(B444,Customers!A:J,8,0)</f>
        <v>Male</v>
      </c>
      <c r="R444" t="b">
        <f t="shared" si="12"/>
        <v>1</v>
      </c>
      <c r="S444" s="18">
        <f t="shared" si="13"/>
        <v>45505</v>
      </c>
    </row>
    <row r="445" spans="1:19" x14ac:dyDescent="0.25">
      <c r="A445" s="6" t="s">
        <v>1462</v>
      </c>
      <c r="B445" s="7" t="s">
        <v>215</v>
      </c>
      <c r="C445" s="15">
        <v>44858</v>
      </c>
      <c r="D445" s="7" t="s">
        <v>684</v>
      </c>
      <c r="E445" s="7" t="s">
        <v>705</v>
      </c>
      <c r="F445" s="7">
        <v>79.989999999999995</v>
      </c>
      <c r="G445" s="7">
        <v>2</v>
      </c>
      <c r="H445" s="7">
        <v>0</v>
      </c>
      <c r="I445" s="7">
        <v>79.989999999999995</v>
      </c>
      <c r="J445" s="7">
        <v>159.97999999999999</v>
      </c>
      <c r="K445" s="7" t="s">
        <v>675</v>
      </c>
      <c r="L445" s="7" t="s">
        <v>656</v>
      </c>
      <c r="M445" s="8">
        <v>3</v>
      </c>
      <c r="N445">
        <f>VLOOKUP(B445,Customers!A:J,7,0)</f>
        <v>36</v>
      </c>
      <c r="O445" t="str">
        <f>VLOOKUP(B445,Customers!A:J,5,0)</f>
        <v>Chicago</v>
      </c>
      <c r="P445" t="str">
        <f>VLOOKUP(B445,Customers!A:J,10,0)</f>
        <v>Free</v>
      </c>
      <c r="Q445" t="str">
        <f>VLOOKUP(B445,Customers!A:J,8,0)</f>
        <v>Male</v>
      </c>
      <c r="R445" t="b">
        <f t="shared" si="12"/>
        <v>1</v>
      </c>
      <c r="S445" s="18">
        <f t="shared" si="13"/>
        <v>44835</v>
      </c>
    </row>
    <row r="446" spans="1:19" x14ac:dyDescent="0.25">
      <c r="A446" s="3" t="s">
        <v>1464</v>
      </c>
      <c r="B446" s="4" t="s">
        <v>215</v>
      </c>
      <c r="C446" s="14">
        <v>44692</v>
      </c>
      <c r="D446" s="4" t="s">
        <v>667</v>
      </c>
      <c r="E446" s="4" t="s">
        <v>714</v>
      </c>
      <c r="F446" s="4">
        <v>44.99</v>
      </c>
      <c r="G446" s="4">
        <v>4</v>
      </c>
      <c r="H446" s="4">
        <v>20</v>
      </c>
      <c r="I446" s="4">
        <v>35.99</v>
      </c>
      <c r="J446" s="4">
        <v>143.96</v>
      </c>
      <c r="K446" s="4" t="s">
        <v>682</v>
      </c>
      <c r="L446" s="4" t="s">
        <v>656</v>
      </c>
      <c r="M446" s="5">
        <v>4</v>
      </c>
      <c r="N446">
        <f>VLOOKUP(B446,Customers!A:J,7,0)</f>
        <v>36</v>
      </c>
      <c r="O446" t="str">
        <f>VLOOKUP(B446,Customers!A:J,5,0)</f>
        <v>Chicago</v>
      </c>
      <c r="P446" t="str">
        <f>VLOOKUP(B446,Customers!A:J,10,0)</f>
        <v>Free</v>
      </c>
      <c r="Q446" t="str">
        <f>VLOOKUP(B446,Customers!A:J,8,0)</f>
        <v>Male</v>
      </c>
      <c r="R446" t="b">
        <f t="shared" si="12"/>
        <v>1</v>
      </c>
      <c r="S446" s="18">
        <f t="shared" si="13"/>
        <v>44682</v>
      </c>
    </row>
    <row r="447" spans="1:19" x14ac:dyDescent="0.25">
      <c r="A447" s="6" t="s">
        <v>1466</v>
      </c>
      <c r="B447" s="7" t="s">
        <v>215</v>
      </c>
      <c r="C447" s="15">
        <v>44653</v>
      </c>
      <c r="D447" s="7" t="s">
        <v>672</v>
      </c>
      <c r="E447" s="7" t="s">
        <v>735</v>
      </c>
      <c r="F447" s="7">
        <v>44.99</v>
      </c>
      <c r="G447" s="7">
        <v>1</v>
      </c>
      <c r="H447" s="7">
        <v>15</v>
      </c>
      <c r="I447" s="7">
        <v>38.24</v>
      </c>
      <c r="J447" s="7">
        <v>38.24</v>
      </c>
      <c r="K447" s="7" t="s">
        <v>682</v>
      </c>
      <c r="L447" s="7" t="s">
        <v>656</v>
      </c>
      <c r="M447" s="8">
        <v>4</v>
      </c>
      <c r="N447">
        <f>VLOOKUP(B447,Customers!A:J,7,0)</f>
        <v>36</v>
      </c>
      <c r="O447" t="str">
        <f>VLOOKUP(B447,Customers!A:J,5,0)</f>
        <v>Chicago</v>
      </c>
      <c r="P447" t="str">
        <f>VLOOKUP(B447,Customers!A:J,10,0)</f>
        <v>Free</v>
      </c>
      <c r="Q447" t="str">
        <f>VLOOKUP(B447,Customers!A:J,8,0)</f>
        <v>Male</v>
      </c>
      <c r="R447" t="b">
        <f t="shared" si="12"/>
        <v>1</v>
      </c>
      <c r="S447" s="18">
        <f t="shared" si="13"/>
        <v>44652</v>
      </c>
    </row>
    <row r="448" spans="1:19" x14ac:dyDescent="0.25">
      <c r="A448" s="3" t="s">
        <v>1468</v>
      </c>
      <c r="B448" s="4" t="s">
        <v>215</v>
      </c>
      <c r="C448" s="14">
        <v>45247</v>
      </c>
      <c r="D448" s="4" t="s">
        <v>684</v>
      </c>
      <c r="E448" s="4" t="s">
        <v>815</v>
      </c>
      <c r="F448" s="4">
        <v>34.99</v>
      </c>
      <c r="G448" s="4">
        <v>2</v>
      </c>
      <c r="H448" s="4">
        <v>5</v>
      </c>
      <c r="I448" s="4">
        <v>33.24</v>
      </c>
      <c r="J448" s="4">
        <v>66.48</v>
      </c>
      <c r="K448" s="4" t="s">
        <v>669</v>
      </c>
      <c r="L448" s="4" t="s">
        <v>656</v>
      </c>
      <c r="M448" s="5">
        <v>4</v>
      </c>
      <c r="N448">
        <f>VLOOKUP(B448,Customers!A:J,7,0)</f>
        <v>36</v>
      </c>
      <c r="O448" t="str">
        <f>VLOOKUP(B448,Customers!A:J,5,0)</f>
        <v>Chicago</v>
      </c>
      <c r="P448" t="str">
        <f>VLOOKUP(B448,Customers!A:J,10,0)</f>
        <v>Free</v>
      </c>
      <c r="Q448" t="str">
        <f>VLOOKUP(B448,Customers!A:J,8,0)</f>
        <v>Male</v>
      </c>
      <c r="R448" t="b">
        <f t="shared" si="12"/>
        <v>1</v>
      </c>
      <c r="S448" s="18">
        <f t="shared" si="13"/>
        <v>45231</v>
      </c>
    </row>
    <row r="449" spans="1:19" x14ac:dyDescent="0.25">
      <c r="A449" s="6" t="s">
        <v>1469</v>
      </c>
      <c r="B449" s="7" t="s">
        <v>215</v>
      </c>
      <c r="C449" s="15">
        <v>45303</v>
      </c>
      <c r="D449" s="7" t="s">
        <v>672</v>
      </c>
      <c r="E449" s="7" t="s">
        <v>735</v>
      </c>
      <c r="F449" s="7">
        <v>44.99</v>
      </c>
      <c r="G449" s="7">
        <v>1</v>
      </c>
      <c r="H449" s="7">
        <v>5</v>
      </c>
      <c r="I449" s="7">
        <v>42.74</v>
      </c>
      <c r="J449" s="7">
        <v>42.74</v>
      </c>
      <c r="K449" s="7" t="s">
        <v>661</v>
      </c>
      <c r="L449" s="7" t="s">
        <v>656</v>
      </c>
      <c r="M449" s="8">
        <v>5</v>
      </c>
      <c r="N449">
        <f>VLOOKUP(B449,Customers!A:J,7,0)</f>
        <v>36</v>
      </c>
      <c r="O449" t="str">
        <f>VLOOKUP(B449,Customers!A:J,5,0)</f>
        <v>Chicago</v>
      </c>
      <c r="P449" t="str">
        <f>VLOOKUP(B449,Customers!A:J,10,0)</f>
        <v>Free</v>
      </c>
      <c r="Q449" t="str">
        <f>VLOOKUP(B449,Customers!A:J,8,0)</f>
        <v>Male</v>
      </c>
      <c r="R449" t="b">
        <f t="shared" si="12"/>
        <v>1</v>
      </c>
      <c r="S449" s="18">
        <f t="shared" si="13"/>
        <v>45292</v>
      </c>
    </row>
    <row r="450" spans="1:19" x14ac:dyDescent="0.25">
      <c r="A450" s="3" t="s">
        <v>1471</v>
      </c>
      <c r="B450" s="4" t="s">
        <v>215</v>
      </c>
      <c r="C450" s="14">
        <v>45171</v>
      </c>
      <c r="D450" s="4" t="s">
        <v>659</v>
      </c>
      <c r="E450" s="4" t="s">
        <v>762</v>
      </c>
      <c r="F450" s="4">
        <v>49.99</v>
      </c>
      <c r="G450" s="4">
        <v>2</v>
      </c>
      <c r="H450" s="4">
        <v>5</v>
      </c>
      <c r="I450" s="4">
        <v>47.49</v>
      </c>
      <c r="J450" s="4">
        <v>94.98</v>
      </c>
      <c r="K450" s="4" t="s">
        <v>675</v>
      </c>
      <c r="L450" s="4" t="s">
        <v>788</v>
      </c>
      <c r="M450" s="5">
        <v>3</v>
      </c>
      <c r="N450">
        <f>VLOOKUP(B450,Customers!A:J,7,0)</f>
        <v>36</v>
      </c>
      <c r="O450" t="str">
        <f>VLOOKUP(B450,Customers!A:J,5,0)</f>
        <v>Chicago</v>
      </c>
      <c r="P450" t="str">
        <f>VLOOKUP(B450,Customers!A:J,10,0)</f>
        <v>Free</v>
      </c>
      <c r="Q450" t="str">
        <f>VLOOKUP(B450,Customers!A:J,8,0)</f>
        <v>Male</v>
      </c>
      <c r="R450" t="b">
        <f t="shared" si="12"/>
        <v>1</v>
      </c>
      <c r="S450" s="18">
        <f t="shared" si="13"/>
        <v>45170</v>
      </c>
    </row>
    <row r="451" spans="1:19" x14ac:dyDescent="0.25">
      <c r="A451" s="6" t="s">
        <v>1473</v>
      </c>
      <c r="B451" s="7" t="s">
        <v>215</v>
      </c>
      <c r="C451" s="15">
        <v>45006</v>
      </c>
      <c r="D451" s="7" t="s">
        <v>653</v>
      </c>
      <c r="E451" s="7" t="s">
        <v>727</v>
      </c>
      <c r="F451" s="7">
        <v>14.99</v>
      </c>
      <c r="G451" s="7">
        <v>4</v>
      </c>
      <c r="H451" s="7">
        <v>10</v>
      </c>
      <c r="I451" s="7">
        <v>13.49</v>
      </c>
      <c r="J451" s="7">
        <v>53.96</v>
      </c>
      <c r="K451" s="7" t="s">
        <v>675</v>
      </c>
      <c r="L451" s="7" t="s">
        <v>656</v>
      </c>
      <c r="M451" s="8">
        <v>4</v>
      </c>
      <c r="N451">
        <f>VLOOKUP(B451,Customers!A:J,7,0)</f>
        <v>36</v>
      </c>
      <c r="O451" t="str">
        <f>VLOOKUP(B451,Customers!A:J,5,0)</f>
        <v>Chicago</v>
      </c>
      <c r="P451" t="str">
        <f>VLOOKUP(B451,Customers!A:J,10,0)</f>
        <v>Free</v>
      </c>
      <c r="Q451" t="str">
        <f>VLOOKUP(B451,Customers!A:J,8,0)</f>
        <v>Male</v>
      </c>
      <c r="R451" t="b">
        <f t="shared" ref="R451:R514" si="14">ISNUMBER(C451)</f>
        <v>1</v>
      </c>
      <c r="S451" s="18">
        <f t="shared" ref="S451:S514" si="15">DATE(YEAR(C451),MONTH(C451),1)</f>
        <v>44986</v>
      </c>
    </row>
    <row r="452" spans="1:19" x14ac:dyDescent="0.25">
      <c r="A452" s="3" t="s">
        <v>1474</v>
      </c>
      <c r="B452" s="4" t="s">
        <v>215</v>
      </c>
      <c r="C452" s="14">
        <v>44969</v>
      </c>
      <c r="D452" s="4" t="s">
        <v>659</v>
      </c>
      <c r="E452" s="4" t="s">
        <v>820</v>
      </c>
      <c r="F452" s="4">
        <v>39.99</v>
      </c>
      <c r="G452" s="4">
        <v>4</v>
      </c>
      <c r="H452" s="4">
        <v>0</v>
      </c>
      <c r="I452" s="4">
        <v>39.99</v>
      </c>
      <c r="J452" s="4">
        <v>159.96</v>
      </c>
      <c r="K452" s="4" t="s">
        <v>661</v>
      </c>
      <c r="L452" s="4" t="s">
        <v>656</v>
      </c>
      <c r="M452" s="5"/>
      <c r="N452">
        <f>VLOOKUP(B452,Customers!A:J,7,0)</f>
        <v>36</v>
      </c>
      <c r="O452" t="str">
        <f>VLOOKUP(B452,Customers!A:J,5,0)</f>
        <v>Chicago</v>
      </c>
      <c r="P452" t="str">
        <f>VLOOKUP(B452,Customers!A:J,10,0)</f>
        <v>Free</v>
      </c>
      <c r="Q452" t="str">
        <f>VLOOKUP(B452,Customers!A:J,8,0)</f>
        <v>Male</v>
      </c>
      <c r="R452" t="b">
        <f t="shared" si="14"/>
        <v>1</v>
      </c>
      <c r="S452" s="18">
        <f t="shared" si="15"/>
        <v>44958</v>
      </c>
    </row>
    <row r="453" spans="1:19" x14ac:dyDescent="0.25">
      <c r="A453" s="6" t="s">
        <v>1476</v>
      </c>
      <c r="B453" s="7" t="s">
        <v>215</v>
      </c>
      <c r="C453" s="15">
        <v>44737</v>
      </c>
      <c r="D453" s="7" t="s">
        <v>667</v>
      </c>
      <c r="E453" s="7" t="s">
        <v>668</v>
      </c>
      <c r="F453" s="7">
        <v>64.989999999999995</v>
      </c>
      <c r="G453" s="7">
        <v>2</v>
      </c>
      <c r="H453" s="7">
        <v>0</v>
      </c>
      <c r="I453" s="7">
        <v>64.989999999999995</v>
      </c>
      <c r="J453" s="7">
        <v>129.97999999999999</v>
      </c>
      <c r="K453" s="7" t="s">
        <v>669</v>
      </c>
      <c r="L453" s="7" t="s">
        <v>693</v>
      </c>
      <c r="M453" s="8"/>
      <c r="N453">
        <f>VLOOKUP(B453,Customers!A:J,7,0)</f>
        <v>36</v>
      </c>
      <c r="O453" t="str">
        <f>VLOOKUP(B453,Customers!A:J,5,0)</f>
        <v>Chicago</v>
      </c>
      <c r="P453" t="str">
        <f>VLOOKUP(B453,Customers!A:J,10,0)</f>
        <v>Free</v>
      </c>
      <c r="Q453" t="str">
        <f>VLOOKUP(B453,Customers!A:J,8,0)</f>
        <v>Male</v>
      </c>
      <c r="R453" t="b">
        <f t="shared" si="14"/>
        <v>1</v>
      </c>
      <c r="S453" s="18">
        <f t="shared" si="15"/>
        <v>44713</v>
      </c>
    </row>
    <row r="454" spans="1:19" x14ac:dyDescent="0.25">
      <c r="A454" s="3" t="s">
        <v>1477</v>
      </c>
      <c r="B454" s="4" t="s">
        <v>218</v>
      </c>
      <c r="C454" s="14">
        <v>45609</v>
      </c>
      <c r="D454" s="4" t="s">
        <v>684</v>
      </c>
      <c r="E454" s="4" t="s">
        <v>685</v>
      </c>
      <c r="F454" s="4">
        <v>49.99</v>
      </c>
      <c r="G454" s="4">
        <v>4</v>
      </c>
      <c r="H454" s="4">
        <v>0</v>
      </c>
      <c r="I454" s="4">
        <v>49.99</v>
      </c>
      <c r="J454" s="4">
        <v>199.96</v>
      </c>
      <c r="K454" s="4" t="s">
        <v>655</v>
      </c>
      <c r="L454" s="4" t="s">
        <v>656</v>
      </c>
      <c r="M454" s="5">
        <v>4</v>
      </c>
      <c r="N454">
        <f>VLOOKUP(B454,Customers!A:J,7,0)</f>
        <v>35</v>
      </c>
      <c r="O454" t="str">
        <f>VLOOKUP(B454,Customers!A:J,5,0)</f>
        <v>Dallas</v>
      </c>
      <c r="P454" t="str">
        <f>VLOOKUP(B454,Customers!A:J,10,0)</f>
        <v>Free</v>
      </c>
      <c r="Q454" t="str">
        <f>VLOOKUP(B454,Customers!A:J,8,0)</f>
        <v>Female</v>
      </c>
      <c r="R454" t="b">
        <f t="shared" si="14"/>
        <v>1</v>
      </c>
      <c r="S454" s="18">
        <f t="shared" si="15"/>
        <v>45597</v>
      </c>
    </row>
    <row r="455" spans="1:19" x14ac:dyDescent="0.25">
      <c r="A455" s="6" t="s">
        <v>1478</v>
      </c>
      <c r="B455" s="7" t="s">
        <v>218</v>
      </c>
      <c r="C455" s="15">
        <v>44739</v>
      </c>
      <c r="D455" s="7" t="s">
        <v>684</v>
      </c>
      <c r="E455" s="7" t="s">
        <v>705</v>
      </c>
      <c r="F455" s="7">
        <v>79.989999999999995</v>
      </c>
      <c r="G455" s="7">
        <v>3</v>
      </c>
      <c r="H455" s="7">
        <v>0</v>
      </c>
      <c r="I455" s="7">
        <v>79.989999999999995</v>
      </c>
      <c r="J455" s="7">
        <v>239.97</v>
      </c>
      <c r="K455" s="7" t="s">
        <v>655</v>
      </c>
      <c r="L455" s="7" t="s">
        <v>656</v>
      </c>
      <c r="M455" s="8">
        <v>5</v>
      </c>
      <c r="N455">
        <f>VLOOKUP(B455,Customers!A:J,7,0)</f>
        <v>35</v>
      </c>
      <c r="O455" t="str">
        <f>VLOOKUP(B455,Customers!A:J,5,0)</f>
        <v>Dallas</v>
      </c>
      <c r="P455" t="str">
        <f>VLOOKUP(B455,Customers!A:J,10,0)</f>
        <v>Free</v>
      </c>
      <c r="Q455" t="str">
        <f>VLOOKUP(B455,Customers!A:J,8,0)</f>
        <v>Female</v>
      </c>
      <c r="R455" t="b">
        <f t="shared" si="14"/>
        <v>1</v>
      </c>
      <c r="S455" s="18">
        <f t="shared" si="15"/>
        <v>44713</v>
      </c>
    </row>
    <row r="456" spans="1:19" x14ac:dyDescent="0.25">
      <c r="A456" s="3" t="s">
        <v>1480</v>
      </c>
      <c r="B456" s="4" t="s">
        <v>218</v>
      </c>
      <c r="C456" s="14">
        <v>44842</v>
      </c>
      <c r="D456" s="4" t="s">
        <v>672</v>
      </c>
      <c r="E456" s="4" t="s">
        <v>735</v>
      </c>
      <c r="F456" s="4">
        <v>44.99</v>
      </c>
      <c r="G456" s="4">
        <v>2</v>
      </c>
      <c r="H456" s="4">
        <v>15</v>
      </c>
      <c r="I456" s="4">
        <v>38.24</v>
      </c>
      <c r="J456" s="4">
        <v>76.48</v>
      </c>
      <c r="K456" s="4" t="s">
        <v>655</v>
      </c>
      <c r="L456" s="4" t="s">
        <v>656</v>
      </c>
      <c r="M456" s="5">
        <v>5</v>
      </c>
      <c r="N456">
        <f>VLOOKUP(B456,Customers!A:J,7,0)</f>
        <v>35</v>
      </c>
      <c r="O456" t="str">
        <f>VLOOKUP(B456,Customers!A:J,5,0)</f>
        <v>Dallas</v>
      </c>
      <c r="P456" t="str">
        <f>VLOOKUP(B456,Customers!A:J,10,0)</f>
        <v>Free</v>
      </c>
      <c r="Q456" t="str">
        <f>VLOOKUP(B456,Customers!A:J,8,0)</f>
        <v>Female</v>
      </c>
      <c r="R456" t="b">
        <f t="shared" si="14"/>
        <v>1</v>
      </c>
      <c r="S456" s="18">
        <f t="shared" si="15"/>
        <v>44835</v>
      </c>
    </row>
    <row r="457" spans="1:19" x14ac:dyDescent="0.25">
      <c r="A457" s="6" t="s">
        <v>1481</v>
      </c>
      <c r="B457" s="7" t="s">
        <v>218</v>
      </c>
      <c r="C457" s="15">
        <v>44859</v>
      </c>
      <c r="D457" s="7" t="s">
        <v>672</v>
      </c>
      <c r="E457" s="7" t="s">
        <v>724</v>
      </c>
      <c r="F457" s="7">
        <v>89.99</v>
      </c>
      <c r="G457" s="7">
        <v>3</v>
      </c>
      <c r="H457" s="7">
        <v>5</v>
      </c>
      <c r="I457" s="7">
        <v>85.49</v>
      </c>
      <c r="J457" s="7">
        <v>256.47000000000003</v>
      </c>
      <c r="K457" s="7" t="s">
        <v>661</v>
      </c>
      <c r="L457" s="7" t="s">
        <v>788</v>
      </c>
      <c r="M457" s="8">
        <v>3</v>
      </c>
      <c r="N457">
        <f>VLOOKUP(B457,Customers!A:J,7,0)</f>
        <v>35</v>
      </c>
      <c r="O457" t="str">
        <f>VLOOKUP(B457,Customers!A:J,5,0)</f>
        <v>Dallas</v>
      </c>
      <c r="P457" t="str">
        <f>VLOOKUP(B457,Customers!A:J,10,0)</f>
        <v>Free</v>
      </c>
      <c r="Q457" t="str">
        <f>VLOOKUP(B457,Customers!A:J,8,0)</f>
        <v>Female</v>
      </c>
      <c r="R457" t="b">
        <f t="shared" si="14"/>
        <v>1</v>
      </c>
      <c r="S457" s="18">
        <f t="shared" si="15"/>
        <v>44835</v>
      </c>
    </row>
    <row r="458" spans="1:19" x14ac:dyDescent="0.25">
      <c r="A458" s="3" t="s">
        <v>1483</v>
      </c>
      <c r="B458" s="4" t="s">
        <v>218</v>
      </c>
      <c r="C458" s="14">
        <v>45058</v>
      </c>
      <c r="D458" s="4" t="s">
        <v>710</v>
      </c>
      <c r="E458" s="4" t="s">
        <v>730</v>
      </c>
      <c r="F458" s="4">
        <v>39.99</v>
      </c>
      <c r="G458" s="4">
        <v>4</v>
      </c>
      <c r="H458" s="4">
        <v>0</v>
      </c>
      <c r="I458" s="4">
        <v>39.99</v>
      </c>
      <c r="J458" s="4">
        <v>159.96</v>
      </c>
      <c r="K458" s="4" t="s">
        <v>661</v>
      </c>
      <c r="L458" s="4" t="s">
        <v>656</v>
      </c>
      <c r="M458" s="5">
        <v>4</v>
      </c>
      <c r="N458">
        <f>VLOOKUP(B458,Customers!A:J,7,0)</f>
        <v>35</v>
      </c>
      <c r="O458" t="str">
        <f>VLOOKUP(B458,Customers!A:J,5,0)</f>
        <v>Dallas</v>
      </c>
      <c r="P458" t="str">
        <f>VLOOKUP(B458,Customers!A:J,10,0)</f>
        <v>Free</v>
      </c>
      <c r="Q458" t="str">
        <f>VLOOKUP(B458,Customers!A:J,8,0)</f>
        <v>Female</v>
      </c>
      <c r="R458" t="b">
        <f t="shared" si="14"/>
        <v>1</v>
      </c>
      <c r="S458" s="18">
        <f t="shared" si="15"/>
        <v>45047</v>
      </c>
    </row>
    <row r="459" spans="1:19" x14ac:dyDescent="0.25">
      <c r="A459" s="6" t="s">
        <v>1485</v>
      </c>
      <c r="B459" s="7" t="s">
        <v>218</v>
      </c>
      <c r="C459" s="15">
        <v>44593</v>
      </c>
      <c r="D459" s="7" t="s">
        <v>684</v>
      </c>
      <c r="E459" s="7" t="s">
        <v>685</v>
      </c>
      <c r="F459" s="7">
        <v>49.99</v>
      </c>
      <c r="G459" s="7">
        <v>3</v>
      </c>
      <c r="H459" s="7">
        <v>0</v>
      </c>
      <c r="I459" s="7">
        <v>49.99</v>
      </c>
      <c r="J459" s="7">
        <v>149.97</v>
      </c>
      <c r="K459" s="7" t="s">
        <v>661</v>
      </c>
      <c r="L459" s="7" t="s">
        <v>656</v>
      </c>
      <c r="M459" s="8">
        <v>5</v>
      </c>
      <c r="N459">
        <f>VLOOKUP(B459,Customers!A:J,7,0)</f>
        <v>35</v>
      </c>
      <c r="O459" t="str">
        <f>VLOOKUP(B459,Customers!A:J,5,0)</f>
        <v>Dallas</v>
      </c>
      <c r="P459" t="str">
        <f>VLOOKUP(B459,Customers!A:J,10,0)</f>
        <v>Free</v>
      </c>
      <c r="Q459" t="str">
        <f>VLOOKUP(B459,Customers!A:J,8,0)</f>
        <v>Female</v>
      </c>
      <c r="R459" t="b">
        <f t="shared" si="14"/>
        <v>1</v>
      </c>
      <c r="S459" s="18">
        <f t="shared" si="15"/>
        <v>44593</v>
      </c>
    </row>
    <row r="460" spans="1:19" x14ac:dyDescent="0.25">
      <c r="A460" s="3" t="s">
        <v>1486</v>
      </c>
      <c r="B460" s="4" t="s">
        <v>218</v>
      </c>
      <c r="C460" s="14">
        <v>44685</v>
      </c>
      <c r="D460" s="4" t="s">
        <v>680</v>
      </c>
      <c r="E460" s="4" t="s">
        <v>749</v>
      </c>
      <c r="F460" s="4">
        <v>14.99</v>
      </c>
      <c r="G460" s="4">
        <v>4</v>
      </c>
      <c r="H460" s="4">
        <v>10</v>
      </c>
      <c r="I460" s="4">
        <v>13.49</v>
      </c>
      <c r="J460" s="4">
        <v>53.96</v>
      </c>
      <c r="K460" s="4" t="s">
        <v>669</v>
      </c>
      <c r="L460" s="4" t="s">
        <v>656</v>
      </c>
      <c r="M460" s="5">
        <v>5</v>
      </c>
      <c r="N460">
        <f>VLOOKUP(B460,Customers!A:J,7,0)</f>
        <v>35</v>
      </c>
      <c r="O460" t="str">
        <f>VLOOKUP(B460,Customers!A:J,5,0)</f>
        <v>Dallas</v>
      </c>
      <c r="P460" t="str">
        <f>VLOOKUP(B460,Customers!A:J,10,0)</f>
        <v>Free</v>
      </c>
      <c r="Q460" t="str">
        <f>VLOOKUP(B460,Customers!A:J,8,0)</f>
        <v>Female</v>
      </c>
      <c r="R460" t="b">
        <f t="shared" si="14"/>
        <v>1</v>
      </c>
      <c r="S460" s="18">
        <f t="shared" si="15"/>
        <v>44682</v>
      </c>
    </row>
    <row r="461" spans="1:19" x14ac:dyDescent="0.25">
      <c r="A461" s="6" t="s">
        <v>1487</v>
      </c>
      <c r="B461" s="7" t="s">
        <v>218</v>
      </c>
      <c r="C461" s="15">
        <v>45556</v>
      </c>
      <c r="D461" s="7" t="s">
        <v>653</v>
      </c>
      <c r="E461" s="7" t="s">
        <v>769</v>
      </c>
      <c r="F461" s="7">
        <v>49.99</v>
      </c>
      <c r="G461" s="7">
        <v>2</v>
      </c>
      <c r="H461" s="7">
        <v>20</v>
      </c>
      <c r="I461" s="7">
        <v>39.99</v>
      </c>
      <c r="J461" s="7">
        <v>79.98</v>
      </c>
      <c r="K461" s="7" t="s">
        <v>675</v>
      </c>
      <c r="L461" s="7" t="s">
        <v>656</v>
      </c>
      <c r="M461" s="8">
        <v>5</v>
      </c>
      <c r="N461">
        <f>VLOOKUP(B461,Customers!A:J,7,0)</f>
        <v>35</v>
      </c>
      <c r="O461" t="str">
        <f>VLOOKUP(B461,Customers!A:J,5,0)</f>
        <v>Dallas</v>
      </c>
      <c r="P461" t="str">
        <f>VLOOKUP(B461,Customers!A:J,10,0)</f>
        <v>Free</v>
      </c>
      <c r="Q461" t="str">
        <f>VLOOKUP(B461,Customers!A:J,8,0)</f>
        <v>Female</v>
      </c>
      <c r="R461" t="b">
        <f t="shared" si="14"/>
        <v>1</v>
      </c>
      <c r="S461" s="18">
        <f t="shared" si="15"/>
        <v>45536</v>
      </c>
    </row>
    <row r="462" spans="1:19" x14ac:dyDescent="0.25">
      <c r="A462" s="3" t="s">
        <v>1489</v>
      </c>
      <c r="B462" s="4" t="s">
        <v>218</v>
      </c>
      <c r="C462" s="14">
        <v>44666</v>
      </c>
      <c r="D462" s="4" t="s">
        <v>710</v>
      </c>
      <c r="E462" s="4" t="s">
        <v>744</v>
      </c>
      <c r="F462" s="4">
        <v>29.99</v>
      </c>
      <c r="G462" s="4">
        <v>2</v>
      </c>
      <c r="H462" s="4">
        <v>20</v>
      </c>
      <c r="I462" s="4">
        <v>23.99</v>
      </c>
      <c r="J462" s="4">
        <v>47.98</v>
      </c>
      <c r="K462" s="4" t="s">
        <v>675</v>
      </c>
      <c r="L462" s="4" t="s">
        <v>656</v>
      </c>
      <c r="M462" s="5"/>
      <c r="N462">
        <f>VLOOKUP(B462,Customers!A:J,7,0)</f>
        <v>35</v>
      </c>
      <c r="O462" t="str">
        <f>VLOOKUP(B462,Customers!A:J,5,0)</f>
        <v>Dallas</v>
      </c>
      <c r="P462" t="str">
        <f>VLOOKUP(B462,Customers!A:J,10,0)</f>
        <v>Free</v>
      </c>
      <c r="Q462" t="str">
        <f>VLOOKUP(B462,Customers!A:J,8,0)</f>
        <v>Female</v>
      </c>
      <c r="R462" t="b">
        <f t="shared" si="14"/>
        <v>1</v>
      </c>
      <c r="S462" s="18">
        <f t="shared" si="15"/>
        <v>44652</v>
      </c>
    </row>
    <row r="463" spans="1:19" x14ac:dyDescent="0.25">
      <c r="A463" s="6" t="s">
        <v>1490</v>
      </c>
      <c r="B463" s="7" t="s">
        <v>218</v>
      </c>
      <c r="C463" s="15">
        <v>45027</v>
      </c>
      <c r="D463" s="7" t="s">
        <v>672</v>
      </c>
      <c r="E463" s="7" t="s">
        <v>724</v>
      </c>
      <c r="F463" s="7">
        <v>89.99</v>
      </c>
      <c r="G463" s="7">
        <v>1</v>
      </c>
      <c r="H463" s="7">
        <v>0</v>
      </c>
      <c r="I463" s="7">
        <v>89.99</v>
      </c>
      <c r="J463" s="7">
        <v>89.99</v>
      </c>
      <c r="K463" s="7" t="s">
        <v>682</v>
      </c>
      <c r="L463" s="7" t="s">
        <v>785</v>
      </c>
      <c r="M463" s="8">
        <v>4</v>
      </c>
      <c r="N463">
        <f>VLOOKUP(B463,Customers!A:J,7,0)</f>
        <v>35</v>
      </c>
      <c r="O463" t="str">
        <f>VLOOKUP(B463,Customers!A:J,5,0)</f>
        <v>Dallas</v>
      </c>
      <c r="P463" t="str">
        <f>VLOOKUP(B463,Customers!A:J,10,0)</f>
        <v>Free</v>
      </c>
      <c r="Q463" t="str">
        <f>VLOOKUP(B463,Customers!A:J,8,0)</f>
        <v>Female</v>
      </c>
      <c r="R463" t="b">
        <f t="shared" si="14"/>
        <v>1</v>
      </c>
      <c r="S463" s="18">
        <f t="shared" si="15"/>
        <v>45017</v>
      </c>
    </row>
    <row r="464" spans="1:19" x14ac:dyDescent="0.25">
      <c r="A464" s="3" t="s">
        <v>1491</v>
      </c>
      <c r="B464" s="4" t="s">
        <v>218</v>
      </c>
      <c r="C464" s="14">
        <v>45154</v>
      </c>
      <c r="D464" s="4" t="s">
        <v>659</v>
      </c>
      <c r="E464" s="4" t="s">
        <v>660</v>
      </c>
      <c r="F464" s="4">
        <v>19.989999999999998</v>
      </c>
      <c r="G464" s="4">
        <v>3</v>
      </c>
      <c r="H464" s="4">
        <v>0</v>
      </c>
      <c r="I464" s="4">
        <v>19.989999999999998</v>
      </c>
      <c r="J464" s="4">
        <v>59.97</v>
      </c>
      <c r="K464" s="4" t="s">
        <v>661</v>
      </c>
      <c r="L464" s="4" t="s">
        <v>656</v>
      </c>
      <c r="M464" s="5"/>
      <c r="N464">
        <f>VLOOKUP(B464,Customers!A:J,7,0)</f>
        <v>35</v>
      </c>
      <c r="O464" t="str">
        <f>VLOOKUP(B464,Customers!A:J,5,0)</f>
        <v>Dallas</v>
      </c>
      <c r="P464" t="str">
        <f>VLOOKUP(B464,Customers!A:J,10,0)</f>
        <v>Free</v>
      </c>
      <c r="Q464" t="str">
        <f>VLOOKUP(B464,Customers!A:J,8,0)</f>
        <v>Female</v>
      </c>
      <c r="R464" t="b">
        <f t="shared" si="14"/>
        <v>1</v>
      </c>
      <c r="S464" s="18">
        <f t="shared" si="15"/>
        <v>45139</v>
      </c>
    </row>
    <row r="465" spans="1:19" x14ac:dyDescent="0.25">
      <c r="A465" s="6" t="s">
        <v>1493</v>
      </c>
      <c r="B465" s="7" t="s">
        <v>221</v>
      </c>
      <c r="C465" s="15">
        <v>44932</v>
      </c>
      <c r="D465" s="7" t="s">
        <v>667</v>
      </c>
      <c r="E465" s="7" t="s">
        <v>696</v>
      </c>
      <c r="F465" s="7">
        <v>59.99</v>
      </c>
      <c r="G465" s="7">
        <v>4</v>
      </c>
      <c r="H465" s="7">
        <v>5</v>
      </c>
      <c r="I465" s="7">
        <v>56.99</v>
      </c>
      <c r="J465" s="7">
        <v>227.96</v>
      </c>
      <c r="K465" s="7" t="s">
        <v>655</v>
      </c>
      <c r="L465" s="7" t="s">
        <v>656</v>
      </c>
      <c r="M465" s="8">
        <v>5</v>
      </c>
      <c r="N465">
        <f>VLOOKUP(B465,Customers!A:J,7,0)</f>
        <v>60</v>
      </c>
      <c r="O465" t="str">
        <f>VLOOKUP(B465,Customers!A:J,5,0)</f>
        <v>Jacksonville</v>
      </c>
      <c r="P465" t="str">
        <f>VLOOKUP(B465,Customers!A:J,10,0)</f>
        <v>Silver</v>
      </c>
      <c r="Q465" t="str">
        <f>VLOOKUP(B465,Customers!A:J,8,0)</f>
        <v>Female</v>
      </c>
      <c r="R465" t="b">
        <f t="shared" si="14"/>
        <v>1</v>
      </c>
      <c r="S465" s="18">
        <f t="shared" si="15"/>
        <v>44927</v>
      </c>
    </row>
    <row r="466" spans="1:19" x14ac:dyDescent="0.25">
      <c r="A466" s="3" t="s">
        <v>1495</v>
      </c>
      <c r="B466" s="4" t="s">
        <v>221</v>
      </c>
      <c r="C466" s="14">
        <v>44620</v>
      </c>
      <c r="D466" s="4" t="s">
        <v>653</v>
      </c>
      <c r="E466" s="4" t="s">
        <v>727</v>
      </c>
      <c r="F466" s="4">
        <v>14.99</v>
      </c>
      <c r="G466" s="4">
        <v>2</v>
      </c>
      <c r="H466" s="4">
        <v>5</v>
      </c>
      <c r="I466" s="4">
        <v>14.24</v>
      </c>
      <c r="J466" s="4">
        <v>28.48</v>
      </c>
      <c r="K466" s="4" t="s">
        <v>655</v>
      </c>
      <c r="L466" s="4" t="s">
        <v>656</v>
      </c>
      <c r="M466" s="5">
        <v>5</v>
      </c>
      <c r="N466">
        <f>VLOOKUP(B466,Customers!A:J,7,0)</f>
        <v>60</v>
      </c>
      <c r="O466" t="str">
        <f>VLOOKUP(B466,Customers!A:J,5,0)</f>
        <v>Jacksonville</v>
      </c>
      <c r="P466" t="str">
        <f>VLOOKUP(B466,Customers!A:J,10,0)</f>
        <v>Silver</v>
      </c>
      <c r="Q466" t="str">
        <f>VLOOKUP(B466,Customers!A:J,8,0)</f>
        <v>Female</v>
      </c>
      <c r="R466" t="b">
        <f t="shared" si="14"/>
        <v>1</v>
      </c>
      <c r="S466" s="18">
        <f t="shared" si="15"/>
        <v>44593</v>
      </c>
    </row>
    <row r="467" spans="1:19" x14ac:dyDescent="0.25">
      <c r="A467" s="6" t="s">
        <v>1497</v>
      </c>
      <c r="B467" s="7" t="s">
        <v>221</v>
      </c>
      <c r="C467" s="15">
        <v>45237</v>
      </c>
      <c r="D467" s="7" t="s">
        <v>659</v>
      </c>
      <c r="E467" s="7" t="s">
        <v>762</v>
      </c>
      <c r="F467" s="7">
        <v>49.99</v>
      </c>
      <c r="G467" s="7">
        <v>1</v>
      </c>
      <c r="H467" s="7">
        <v>20</v>
      </c>
      <c r="I467" s="7">
        <v>39.99</v>
      </c>
      <c r="J467" s="7">
        <v>39.99</v>
      </c>
      <c r="K467" s="7" t="s">
        <v>661</v>
      </c>
      <c r="L467" s="7" t="s">
        <v>656</v>
      </c>
      <c r="M467" s="8">
        <v>5</v>
      </c>
      <c r="N467">
        <f>VLOOKUP(B467,Customers!A:J,7,0)</f>
        <v>60</v>
      </c>
      <c r="O467" t="str">
        <f>VLOOKUP(B467,Customers!A:J,5,0)</f>
        <v>Jacksonville</v>
      </c>
      <c r="P467" t="str">
        <f>VLOOKUP(B467,Customers!A:J,10,0)</f>
        <v>Silver</v>
      </c>
      <c r="Q467" t="str">
        <f>VLOOKUP(B467,Customers!A:J,8,0)</f>
        <v>Female</v>
      </c>
      <c r="R467" t="b">
        <f t="shared" si="14"/>
        <v>1</v>
      </c>
      <c r="S467" s="18">
        <f t="shared" si="15"/>
        <v>45231</v>
      </c>
    </row>
    <row r="468" spans="1:19" x14ac:dyDescent="0.25">
      <c r="A468" s="3" t="s">
        <v>1499</v>
      </c>
      <c r="B468" s="4" t="s">
        <v>221</v>
      </c>
      <c r="C468" s="14">
        <v>45114</v>
      </c>
      <c r="D468" s="4" t="s">
        <v>659</v>
      </c>
      <c r="E468" s="4" t="s">
        <v>820</v>
      </c>
      <c r="F468" s="4">
        <v>39.99</v>
      </c>
      <c r="G468" s="4">
        <v>2</v>
      </c>
      <c r="H468" s="4">
        <v>0</v>
      </c>
      <c r="I468" s="4">
        <v>39.99</v>
      </c>
      <c r="J468" s="4">
        <v>79.98</v>
      </c>
      <c r="K468" s="4" t="s">
        <v>682</v>
      </c>
      <c r="L468" s="4" t="s">
        <v>656</v>
      </c>
      <c r="M468" s="5">
        <v>4</v>
      </c>
      <c r="N468">
        <f>VLOOKUP(B468,Customers!A:J,7,0)</f>
        <v>60</v>
      </c>
      <c r="O468" t="str">
        <f>VLOOKUP(B468,Customers!A:J,5,0)</f>
        <v>Jacksonville</v>
      </c>
      <c r="P468" t="str">
        <f>VLOOKUP(B468,Customers!A:J,10,0)</f>
        <v>Silver</v>
      </c>
      <c r="Q468" t="str">
        <f>VLOOKUP(B468,Customers!A:J,8,0)</f>
        <v>Female</v>
      </c>
      <c r="R468" t="b">
        <f t="shared" si="14"/>
        <v>1</v>
      </c>
      <c r="S468" s="18">
        <f t="shared" si="15"/>
        <v>45108</v>
      </c>
    </row>
    <row r="469" spans="1:19" x14ac:dyDescent="0.25">
      <c r="A469" s="6" t="s">
        <v>1500</v>
      </c>
      <c r="B469" s="7" t="s">
        <v>221</v>
      </c>
      <c r="C469" s="15">
        <v>44735</v>
      </c>
      <c r="D469" s="7" t="s">
        <v>710</v>
      </c>
      <c r="E469" s="7" t="s">
        <v>744</v>
      </c>
      <c r="F469" s="7">
        <v>29.99</v>
      </c>
      <c r="G469" s="7">
        <v>4</v>
      </c>
      <c r="H469" s="7">
        <v>0</v>
      </c>
      <c r="I469" s="7">
        <v>29.99</v>
      </c>
      <c r="J469" s="7">
        <v>119.96</v>
      </c>
      <c r="K469" s="7" t="s">
        <v>661</v>
      </c>
      <c r="L469" s="7" t="s">
        <v>656</v>
      </c>
      <c r="M469" s="8">
        <v>4</v>
      </c>
      <c r="N469">
        <f>VLOOKUP(B469,Customers!A:J,7,0)</f>
        <v>60</v>
      </c>
      <c r="O469" t="str">
        <f>VLOOKUP(B469,Customers!A:J,5,0)</f>
        <v>Jacksonville</v>
      </c>
      <c r="P469" t="str">
        <f>VLOOKUP(B469,Customers!A:J,10,0)</f>
        <v>Silver</v>
      </c>
      <c r="Q469" t="str">
        <f>VLOOKUP(B469,Customers!A:J,8,0)</f>
        <v>Female</v>
      </c>
      <c r="R469" t="b">
        <f t="shared" si="14"/>
        <v>1</v>
      </c>
      <c r="S469" s="18">
        <f t="shared" si="15"/>
        <v>44713</v>
      </c>
    </row>
    <row r="470" spans="1:19" x14ac:dyDescent="0.25">
      <c r="A470" s="3" t="s">
        <v>1501</v>
      </c>
      <c r="B470" s="4" t="s">
        <v>221</v>
      </c>
      <c r="C470" s="14">
        <v>44919</v>
      </c>
      <c r="D470" s="4" t="s">
        <v>684</v>
      </c>
      <c r="E470" s="4" t="s">
        <v>702</v>
      </c>
      <c r="F470" s="4">
        <v>199.99</v>
      </c>
      <c r="G470" s="4">
        <v>3</v>
      </c>
      <c r="H470" s="4">
        <v>0</v>
      </c>
      <c r="I470" s="4">
        <v>199.99</v>
      </c>
      <c r="J470" s="4">
        <v>599.97</v>
      </c>
      <c r="K470" s="4" t="s">
        <v>661</v>
      </c>
      <c r="L470" s="4" t="s">
        <v>656</v>
      </c>
      <c r="M470" s="5"/>
      <c r="N470">
        <f>VLOOKUP(B470,Customers!A:J,7,0)</f>
        <v>60</v>
      </c>
      <c r="O470" t="str">
        <f>VLOOKUP(B470,Customers!A:J,5,0)</f>
        <v>Jacksonville</v>
      </c>
      <c r="P470" t="str">
        <f>VLOOKUP(B470,Customers!A:J,10,0)</f>
        <v>Silver</v>
      </c>
      <c r="Q470" t="str">
        <f>VLOOKUP(B470,Customers!A:J,8,0)</f>
        <v>Female</v>
      </c>
      <c r="R470" t="b">
        <f t="shared" si="14"/>
        <v>1</v>
      </c>
      <c r="S470" s="18">
        <f t="shared" si="15"/>
        <v>44896</v>
      </c>
    </row>
    <row r="471" spans="1:19" x14ac:dyDescent="0.25">
      <c r="A471" s="6" t="s">
        <v>1502</v>
      </c>
      <c r="B471" s="7" t="s">
        <v>221</v>
      </c>
      <c r="C471" s="15">
        <v>45155</v>
      </c>
      <c r="D471" s="7" t="s">
        <v>672</v>
      </c>
      <c r="E471" s="7" t="s">
        <v>724</v>
      </c>
      <c r="F471" s="7">
        <v>89.99</v>
      </c>
      <c r="G471" s="7">
        <v>4</v>
      </c>
      <c r="H471" s="7">
        <v>10</v>
      </c>
      <c r="I471" s="7">
        <v>80.989999999999995</v>
      </c>
      <c r="J471" s="7">
        <v>323.95999999999998</v>
      </c>
      <c r="K471" s="7" t="s">
        <v>669</v>
      </c>
      <c r="L471" s="7" t="s">
        <v>739</v>
      </c>
      <c r="M471" s="8"/>
      <c r="N471">
        <f>VLOOKUP(B471,Customers!A:J,7,0)</f>
        <v>60</v>
      </c>
      <c r="O471" t="str">
        <f>VLOOKUP(B471,Customers!A:J,5,0)</f>
        <v>Jacksonville</v>
      </c>
      <c r="P471" t="str">
        <f>VLOOKUP(B471,Customers!A:J,10,0)</f>
        <v>Silver</v>
      </c>
      <c r="Q471" t="str">
        <f>VLOOKUP(B471,Customers!A:J,8,0)</f>
        <v>Female</v>
      </c>
      <c r="R471" t="b">
        <f t="shared" si="14"/>
        <v>1</v>
      </c>
      <c r="S471" s="18">
        <f t="shared" si="15"/>
        <v>45139</v>
      </c>
    </row>
    <row r="472" spans="1:19" x14ac:dyDescent="0.25">
      <c r="A472" s="3" t="s">
        <v>1504</v>
      </c>
      <c r="B472" s="4" t="s">
        <v>221</v>
      </c>
      <c r="C472" s="14">
        <v>44763</v>
      </c>
      <c r="D472" s="4" t="s">
        <v>667</v>
      </c>
      <c r="E472" s="4" t="s">
        <v>696</v>
      </c>
      <c r="F472" s="4">
        <v>59.99</v>
      </c>
      <c r="G472" s="4">
        <v>3</v>
      </c>
      <c r="H472" s="4">
        <v>5</v>
      </c>
      <c r="I472" s="4">
        <v>56.99</v>
      </c>
      <c r="J472" s="4">
        <v>170.97</v>
      </c>
      <c r="K472" s="4" t="s">
        <v>682</v>
      </c>
      <c r="L472" s="4" t="s">
        <v>656</v>
      </c>
      <c r="M472" s="5"/>
      <c r="N472">
        <f>VLOOKUP(B472,Customers!A:J,7,0)</f>
        <v>60</v>
      </c>
      <c r="O472" t="str">
        <f>VLOOKUP(B472,Customers!A:J,5,0)</f>
        <v>Jacksonville</v>
      </c>
      <c r="P472" t="str">
        <f>VLOOKUP(B472,Customers!A:J,10,0)</f>
        <v>Silver</v>
      </c>
      <c r="Q472" t="str">
        <f>VLOOKUP(B472,Customers!A:J,8,0)</f>
        <v>Female</v>
      </c>
      <c r="R472" t="b">
        <f t="shared" si="14"/>
        <v>1</v>
      </c>
      <c r="S472" s="18">
        <f t="shared" si="15"/>
        <v>44743</v>
      </c>
    </row>
    <row r="473" spans="1:19" x14ac:dyDescent="0.25">
      <c r="A473" s="6" t="s">
        <v>1505</v>
      </c>
      <c r="B473" s="7" t="s">
        <v>221</v>
      </c>
      <c r="C473" s="15">
        <v>45501</v>
      </c>
      <c r="D473" s="7" t="s">
        <v>680</v>
      </c>
      <c r="E473" s="7" t="s">
        <v>708</v>
      </c>
      <c r="F473" s="7">
        <v>24.99</v>
      </c>
      <c r="G473" s="7">
        <v>4</v>
      </c>
      <c r="H473" s="7">
        <v>15</v>
      </c>
      <c r="I473" s="7">
        <v>21.24</v>
      </c>
      <c r="J473" s="7">
        <v>84.96</v>
      </c>
      <c r="K473" s="7" t="s">
        <v>675</v>
      </c>
      <c r="L473" s="7" t="s">
        <v>656</v>
      </c>
      <c r="M473" s="8">
        <v>4</v>
      </c>
      <c r="N473">
        <f>VLOOKUP(B473,Customers!A:J,7,0)</f>
        <v>60</v>
      </c>
      <c r="O473" t="str">
        <f>VLOOKUP(B473,Customers!A:J,5,0)</f>
        <v>Jacksonville</v>
      </c>
      <c r="P473" t="str">
        <f>VLOOKUP(B473,Customers!A:J,10,0)</f>
        <v>Silver</v>
      </c>
      <c r="Q473" t="str">
        <f>VLOOKUP(B473,Customers!A:J,8,0)</f>
        <v>Female</v>
      </c>
      <c r="R473" t="b">
        <f t="shared" si="14"/>
        <v>1</v>
      </c>
      <c r="S473" s="18">
        <f t="shared" si="15"/>
        <v>45474</v>
      </c>
    </row>
    <row r="474" spans="1:19" x14ac:dyDescent="0.25">
      <c r="A474" s="3" t="s">
        <v>1507</v>
      </c>
      <c r="B474" s="4" t="s">
        <v>221</v>
      </c>
      <c r="C474" s="14">
        <v>45239</v>
      </c>
      <c r="D474" s="4" t="s">
        <v>653</v>
      </c>
      <c r="E474" s="4" t="s">
        <v>727</v>
      </c>
      <c r="F474" s="4">
        <v>14.99</v>
      </c>
      <c r="G474" s="4">
        <v>2</v>
      </c>
      <c r="H474" s="4">
        <v>0</v>
      </c>
      <c r="I474" s="4">
        <v>14.99</v>
      </c>
      <c r="J474" s="4">
        <v>29.98</v>
      </c>
      <c r="K474" s="4" t="s">
        <v>675</v>
      </c>
      <c r="L474" s="4" t="s">
        <v>656</v>
      </c>
      <c r="M474" s="5">
        <v>3</v>
      </c>
      <c r="N474">
        <f>VLOOKUP(B474,Customers!A:J,7,0)</f>
        <v>60</v>
      </c>
      <c r="O474" t="str">
        <f>VLOOKUP(B474,Customers!A:J,5,0)</f>
        <v>Jacksonville</v>
      </c>
      <c r="P474" t="str">
        <f>VLOOKUP(B474,Customers!A:J,10,0)</f>
        <v>Silver</v>
      </c>
      <c r="Q474" t="str">
        <f>VLOOKUP(B474,Customers!A:J,8,0)</f>
        <v>Female</v>
      </c>
      <c r="R474" t="b">
        <f t="shared" si="14"/>
        <v>1</v>
      </c>
      <c r="S474" s="18">
        <f t="shared" si="15"/>
        <v>45231</v>
      </c>
    </row>
    <row r="475" spans="1:19" x14ac:dyDescent="0.25">
      <c r="A475" s="6" t="s">
        <v>1509</v>
      </c>
      <c r="B475" s="7" t="s">
        <v>221</v>
      </c>
      <c r="C475" s="15">
        <v>45309</v>
      </c>
      <c r="D475" s="7" t="s">
        <v>710</v>
      </c>
      <c r="E475" s="7" t="s">
        <v>744</v>
      </c>
      <c r="F475" s="7">
        <v>29.99</v>
      </c>
      <c r="G475" s="7">
        <v>3</v>
      </c>
      <c r="H475" s="7">
        <v>5</v>
      </c>
      <c r="I475" s="7">
        <v>28.49</v>
      </c>
      <c r="J475" s="7">
        <v>85.47</v>
      </c>
      <c r="K475" s="7" t="s">
        <v>675</v>
      </c>
      <c r="L475" s="7" t="s">
        <v>656</v>
      </c>
      <c r="M475" s="8"/>
      <c r="N475">
        <f>VLOOKUP(B475,Customers!A:J,7,0)</f>
        <v>60</v>
      </c>
      <c r="O475" t="str">
        <f>VLOOKUP(B475,Customers!A:J,5,0)</f>
        <v>Jacksonville</v>
      </c>
      <c r="P475" t="str">
        <f>VLOOKUP(B475,Customers!A:J,10,0)</f>
        <v>Silver</v>
      </c>
      <c r="Q475" t="str">
        <f>VLOOKUP(B475,Customers!A:J,8,0)</f>
        <v>Female</v>
      </c>
      <c r="R475" t="b">
        <f t="shared" si="14"/>
        <v>1</v>
      </c>
      <c r="S475" s="18">
        <f t="shared" si="15"/>
        <v>45292</v>
      </c>
    </row>
    <row r="476" spans="1:19" x14ac:dyDescent="0.25">
      <c r="A476" s="3" t="s">
        <v>1511</v>
      </c>
      <c r="B476" s="4" t="s">
        <v>221</v>
      </c>
      <c r="C476" s="14">
        <v>45414</v>
      </c>
      <c r="D476" s="4" t="s">
        <v>684</v>
      </c>
      <c r="E476" s="4" t="s">
        <v>685</v>
      </c>
      <c r="F476" s="4">
        <v>49.99</v>
      </c>
      <c r="G476" s="4">
        <v>4</v>
      </c>
      <c r="H476" s="4">
        <v>10</v>
      </c>
      <c r="I476" s="4">
        <v>44.99</v>
      </c>
      <c r="J476" s="4">
        <v>179.96</v>
      </c>
      <c r="K476" s="4" t="s">
        <v>669</v>
      </c>
      <c r="L476" s="4" t="s">
        <v>656</v>
      </c>
      <c r="M476" s="5"/>
      <c r="N476">
        <f>VLOOKUP(B476,Customers!A:J,7,0)</f>
        <v>60</v>
      </c>
      <c r="O476" t="str">
        <f>VLOOKUP(B476,Customers!A:J,5,0)</f>
        <v>Jacksonville</v>
      </c>
      <c r="P476" t="str">
        <f>VLOOKUP(B476,Customers!A:J,10,0)</f>
        <v>Silver</v>
      </c>
      <c r="Q476" t="str">
        <f>VLOOKUP(B476,Customers!A:J,8,0)</f>
        <v>Female</v>
      </c>
      <c r="R476" t="b">
        <f t="shared" si="14"/>
        <v>1</v>
      </c>
      <c r="S476" s="18">
        <f t="shared" si="15"/>
        <v>45413</v>
      </c>
    </row>
    <row r="477" spans="1:19" x14ac:dyDescent="0.25">
      <c r="A477" s="6" t="s">
        <v>1512</v>
      </c>
      <c r="B477" s="7" t="s">
        <v>221</v>
      </c>
      <c r="C477" s="15">
        <v>45327</v>
      </c>
      <c r="D477" s="7" t="s">
        <v>659</v>
      </c>
      <c r="E477" s="7" t="s">
        <v>664</v>
      </c>
      <c r="F477" s="7">
        <v>24.99</v>
      </c>
      <c r="G477" s="7">
        <v>2</v>
      </c>
      <c r="H477" s="7">
        <v>5</v>
      </c>
      <c r="I477" s="7">
        <v>23.74</v>
      </c>
      <c r="J477" s="7">
        <v>47.48</v>
      </c>
      <c r="K477" s="7" t="s">
        <v>669</v>
      </c>
      <c r="L477" s="7" t="s">
        <v>656</v>
      </c>
      <c r="M477" s="8">
        <v>4</v>
      </c>
      <c r="N477">
        <f>VLOOKUP(B477,Customers!A:J,7,0)</f>
        <v>60</v>
      </c>
      <c r="O477" t="str">
        <f>VLOOKUP(B477,Customers!A:J,5,0)</f>
        <v>Jacksonville</v>
      </c>
      <c r="P477" t="str">
        <f>VLOOKUP(B477,Customers!A:J,10,0)</f>
        <v>Silver</v>
      </c>
      <c r="Q477" t="str">
        <f>VLOOKUP(B477,Customers!A:J,8,0)</f>
        <v>Female</v>
      </c>
      <c r="R477" t="b">
        <f t="shared" si="14"/>
        <v>1</v>
      </c>
      <c r="S477" s="18">
        <f t="shared" si="15"/>
        <v>45323</v>
      </c>
    </row>
    <row r="478" spans="1:19" x14ac:dyDescent="0.25">
      <c r="A478" s="3" t="s">
        <v>1513</v>
      </c>
      <c r="B478" s="4" t="s">
        <v>224</v>
      </c>
      <c r="C478" s="14">
        <v>44663</v>
      </c>
      <c r="D478" s="4" t="s">
        <v>680</v>
      </c>
      <c r="E478" s="4" t="s">
        <v>681</v>
      </c>
      <c r="F478" s="4">
        <v>19.989999999999998</v>
      </c>
      <c r="G478" s="4">
        <v>4</v>
      </c>
      <c r="H478" s="4">
        <v>5</v>
      </c>
      <c r="I478" s="4">
        <v>18.989999999999998</v>
      </c>
      <c r="J478" s="4">
        <v>75.959999999999994</v>
      </c>
      <c r="K478" s="4" t="s">
        <v>655</v>
      </c>
      <c r="L478" s="4" t="s">
        <v>656</v>
      </c>
      <c r="M478" s="5">
        <v>4</v>
      </c>
      <c r="N478">
        <f>VLOOKUP(B478,Customers!A:J,7,0)</f>
        <v>59</v>
      </c>
      <c r="O478" t="str">
        <f>VLOOKUP(B478,Customers!A:J,5,0)</f>
        <v>Jacksonville</v>
      </c>
      <c r="P478" t="str">
        <f>VLOOKUP(B478,Customers!A:J,10,0)</f>
        <v>Gold</v>
      </c>
      <c r="Q478" t="str">
        <f>VLOOKUP(B478,Customers!A:J,8,0)</f>
        <v>Female</v>
      </c>
      <c r="R478" t="b">
        <f t="shared" si="14"/>
        <v>1</v>
      </c>
      <c r="S478" s="18">
        <f t="shared" si="15"/>
        <v>44652</v>
      </c>
    </row>
    <row r="479" spans="1:19" x14ac:dyDescent="0.25">
      <c r="A479" s="6" t="s">
        <v>1514</v>
      </c>
      <c r="B479" s="7" t="s">
        <v>224</v>
      </c>
      <c r="C479" s="15">
        <v>45008</v>
      </c>
      <c r="D479" s="7" t="s">
        <v>653</v>
      </c>
      <c r="E479" s="7" t="s">
        <v>727</v>
      </c>
      <c r="F479" s="7">
        <v>14.99</v>
      </c>
      <c r="G479" s="7">
        <v>4</v>
      </c>
      <c r="H479" s="7">
        <v>15</v>
      </c>
      <c r="I479" s="7">
        <v>12.74</v>
      </c>
      <c r="J479" s="7">
        <v>50.96</v>
      </c>
      <c r="K479" s="7" t="s">
        <v>661</v>
      </c>
      <c r="L479" s="7" t="s">
        <v>656</v>
      </c>
      <c r="M479" s="8">
        <v>4</v>
      </c>
      <c r="N479">
        <f>VLOOKUP(B479,Customers!A:J,7,0)</f>
        <v>59</v>
      </c>
      <c r="O479" t="str">
        <f>VLOOKUP(B479,Customers!A:J,5,0)</f>
        <v>Jacksonville</v>
      </c>
      <c r="P479" t="str">
        <f>VLOOKUP(B479,Customers!A:J,10,0)</f>
        <v>Gold</v>
      </c>
      <c r="Q479" t="str">
        <f>VLOOKUP(B479,Customers!A:J,8,0)</f>
        <v>Female</v>
      </c>
      <c r="R479" t="b">
        <f t="shared" si="14"/>
        <v>1</v>
      </c>
      <c r="S479" s="18">
        <f t="shared" si="15"/>
        <v>44986</v>
      </c>
    </row>
    <row r="480" spans="1:19" x14ac:dyDescent="0.25">
      <c r="A480" s="3" t="s">
        <v>1515</v>
      </c>
      <c r="B480" s="4" t="s">
        <v>224</v>
      </c>
      <c r="C480" s="14">
        <v>45479</v>
      </c>
      <c r="D480" s="4" t="s">
        <v>659</v>
      </c>
      <c r="E480" s="4" t="s">
        <v>660</v>
      </c>
      <c r="F480" s="4">
        <v>19.989999999999998</v>
      </c>
      <c r="G480" s="4">
        <v>3</v>
      </c>
      <c r="H480" s="4">
        <v>0</v>
      </c>
      <c r="I480" s="4">
        <v>19.989999999999998</v>
      </c>
      <c r="J480" s="4">
        <v>59.97</v>
      </c>
      <c r="K480" s="4" t="s">
        <v>669</v>
      </c>
      <c r="L480" s="4" t="s">
        <v>656</v>
      </c>
      <c r="M480" s="5"/>
      <c r="N480">
        <f>VLOOKUP(B480,Customers!A:J,7,0)</f>
        <v>59</v>
      </c>
      <c r="O480" t="str">
        <f>VLOOKUP(B480,Customers!A:J,5,0)</f>
        <v>Jacksonville</v>
      </c>
      <c r="P480" t="str">
        <f>VLOOKUP(B480,Customers!A:J,10,0)</f>
        <v>Gold</v>
      </c>
      <c r="Q480" t="str">
        <f>VLOOKUP(B480,Customers!A:J,8,0)</f>
        <v>Female</v>
      </c>
      <c r="R480" t="b">
        <f t="shared" si="14"/>
        <v>1</v>
      </c>
      <c r="S480" s="18">
        <f t="shared" si="15"/>
        <v>45474</v>
      </c>
    </row>
    <row r="481" spans="1:19" x14ac:dyDescent="0.25">
      <c r="A481" s="6" t="s">
        <v>1516</v>
      </c>
      <c r="B481" s="7" t="s">
        <v>224</v>
      </c>
      <c r="C481" s="15">
        <v>44695</v>
      </c>
      <c r="D481" s="7" t="s">
        <v>667</v>
      </c>
      <c r="E481" s="7" t="s">
        <v>668</v>
      </c>
      <c r="F481" s="7">
        <v>64.989999999999995</v>
      </c>
      <c r="G481" s="7">
        <v>1</v>
      </c>
      <c r="H481" s="7">
        <v>10</v>
      </c>
      <c r="I481" s="7">
        <v>58.49</v>
      </c>
      <c r="J481" s="7">
        <v>58.49</v>
      </c>
      <c r="K481" s="7" t="s">
        <v>661</v>
      </c>
      <c r="L481" s="7" t="s">
        <v>656</v>
      </c>
      <c r="M481" s="8"/>
      <c r="N481">
        <f>VLOOKUP(B481,Customers!A:J,7,0)</f>
        <v>59</v>
      </c>
      <c r="O481" t="str">
        <f>VLOOKUP(B481,Customers!A:J,5,0)</f>
        <v>Jacksonville</v>
      </c>
      <c r="P481" t="str">
        <f>VLOOKUP(B481,Customers!A:J,10,0)</f>
        <v>Gold</v>
      </c>
      <c r="Q481" t="str">
        <f>VLOOKUP(B481,Customers!A:J,8,0)</f>
        <v>Female</v>
      </c>
      <c r="R481" t="b">
        <f t="shared" si="14"/>
        <v>1</v>
      </c>
      <c r="S481" s="18">
        <f t="shared" si="15"/>
        <v>44682</v>
      </c>
    </row>
    <row r="482" spans="1:19" x14ac:dyDescent="0.25">
      <c r="A482" s="3" t="s">
        <v>1517</v>
      </c>
      <c r="B482" s="4" t="s">
        <v>224</v>
      </c>
      <c r="C482" s="14">
        <v>45251</v>
      </c>
      <c r="D482" s="4" t="s">
        <v>667</v>
      </c>
      <c r="E482" s="4" t="s">
        <v>699</v>
      </c>
      <c r="F482" s="4">
        <v>89.99</v>
      </c>
      <c r="G482" s="4">
        <v>3</v>
      </c>
      <c r="H482" s="4">
        <v>5</v>
      </c>
      <c r="I482" s="4">
        <v>85.49</v>
      </c>
      <c r="J482" s="4">
        <v>256.47000000000003</v>
      </c>
      <c r="K482" s="4" t="s">
        <v>675</v>
      </c>
      <c r="L482" s="4" t="s">
        <v>656</v>
      </c>
      <c r="M482" s="5">
        <v>5</v>
      </c>
      <c r="N482">
        <f>VLOOKUP(B482,Customers!A:J,7,0)</f>
        <v>59</v>
      </c>
      <c r="O482" t="str">
        <f>VLOOKUP(B482,Customers!A:J,5,0)</f>
        <v>Jacksonville</v>
      </c>
      <c r="P482" t="str">
        <f>VLOOKUP(B482,Customers!A:J,10,0)</f>
        <v>Gold</v>
      </c>
      <c r="Q482" t="str">
        <f>VLOOKUP(B482,Customers!A:J,8,0)</f>
        <v>Female</v>
      </c>
      <c r="R482" t="b">
        <f t="shared" si="14"/>
        <v>1</v>
      </c>
      <c r="S482" s="18">
        <f t="shared" si="15"/>
        <v>45231</v>
      </c>
    </row>
    <row r="483" spans="1:19" x14ac:dyDescent="0.25">
      <c r="A483" s="6" t="s">
        <v>1519</v>
      </c>
      <c r="B483" s="7" t="s">
        <v>224</v>
      </c>
      <c r="C483" s="15">
        <v>44596</v>
      </c>
      <c r="D483" s="7" t="s">
        <v>684</v>
      </c>
      <c r="E483" s="7" t="s">
        <v>815</v>
      </c>
      <c r="F483" s="7">
        <v>34.99</v>
      </c>
      <c r="G483" s="7">
        <v>1</v>
      </c>
      <c r="H483" s="7">
        <v>0</v>
      </c>
      <c r="I483" s="7">
        <v>34.99</v>
      </c>
      <c r="J483" s="7">
        <v>34.99</v>
      </c>
      <c r="K483" s="7" t="s">
        <v>682</v>
      </c>
      <c r="L483" s="7" t="s">
        <v>656</v>
      </c>
      <c r="M483" s="8">
        <v>5</v>
      </c>
      <c r="N483">
        <f>VLOOKUP(B483,Customers!A:J,7,0)</f>
        <v>59</v>
      </c>
      <c r="O483" t="str">
        <f>VLOOKUP(B483,Customers!A:J,5,0)</f>
        <v>Jacksonville</v>
      </c>
      <c r="P483" t="str">
        <f>VLOOKUP(B483,Customers!A:J,10,0)</f>
        <v>Gold</v>
      </c>
      <c r="Q483" t="str">
        <f>VLOOKUP(B483,Customers!A:J,8,0)</f>
        <v>Female</v>
      </c>
      <c r="R483" t="b">
        <f t="shared" si="14"/>
        <v>1</v>
      </c>
      <c r="S483" s="18">
        <f t="shared" si="15"/>
        <v>44593</v>
      </c>
    </row>
    <row r="484" spans="1:19" x14ac:dyDescent="0.25">
      <c r="A484" s="3" t="s">
        <v>1521</v>
      </c>
      <c r="B484" s="4" t="s">
        <v>224</v>
      </c>
      <c r="C484" s="14">
        <v>44922</v>
      </c>
      <c r="D484" s="4" t="s">
        <v>667</v>
      </c>
      <c r="E484" s="4" t="s">
        <v>668</v>
      </c>
      <c r="F484" s="4">
        <v>64.989999999999995</v>
      </c>
      <c r="G484" s="4">
        <v>4</v>
      </c>
      <c r="H484" s="4">
        <v>0</v>
      </c>
      <c r="I484" s="4">
        <v>64.989999999999995</v>
      </c>
      <c r="J484" s="4">
        <v>259.95999999999998</v>
      </c>
      <c r="K484" s="4" t="s">
        <v>682</v>
      </c>
      <c r="L484" s="4" t="s">
        <v>656</v>
      </c>
      <c r="M484" s="5"/>
      <c r="N484">
        <f>VLOOKUP(B484,Customers!A:J,7,0)</f>
        <v>59</v>
      </c>
      <c r="O484" t="str">
        <f>VLOOKUP(B484,Customers!A:J,5,0)</f>
        <v>Jacksonville</v>
      </c>
      <c r="P484" t="str">
        <f>VLOOKUP(B484,Customers!A:J,10,0)</f>
        <v>Gold</v>
      </c>
      <c r="Q484" t="str">
        <f>VLOOKUP(B484,Customers!A:J,8,0)</f>
        <v>Female</v>
      </c>
      <c r="R484" t="b">
        <f t="shared" si="14"/>
        <v>1</v>
      </c>
      <c r="S484" s="18">
        <f t="shared" si="15"/>
        <v>44896</v>
      </c>
    </row>
    <row r="485" spans="1:19" x14ac:dyDescent="0.25">
      <c r="A485" s="6" t="s">
        <v>1522</v>
      </c>
      <c r="B485" s="7" t="s">
        <v>224</v>
      </c>
      <c r="C485" s="15">
        <v>45211</v>
      </c>
      <c r="D485" s="7" t="s">
        <v>672</v>
      </c>
      <c r="E485" s="7" t="s">
        <v>803</v>
      </c>
      <c r="F485" s="7">
        <v>69.989999999999995</v>
      </c>
      <c r="G485" s="7">
        <v>1</v>
      </c>
      <c r="H485" s="7">
        <v>15</v>
      </c>
      <c r="I485" s="7">
        <v>59.49</v>
      </c>
      <c r="J485" s="7">
        <v>59.49</v>
      </c>
      <c r="K485" s="7" t="s">
        <v>675</v>
      </c>
      <c r="L485" s="7" t="s">
        <v>656</v>
      </c>
      <c r="M485" s="8">
        <v>4</v>
      </c>
      <c r="N485">
        <f>VLOOKUP(B485,Customers!A:J,7,0)</f>
        <v>59</v>
      </c>
      <c r="O485" t="str">
        <f>VLOOKUP(B485,Customers!A:J,5,0)</f>
        <v>Jacksonville</v>
      </c>
      <c r="P485" t="str">
        <f>VLOOKUP(B485,Customers!A:J,10,0)</f>
        <v>Gold</v>
      </c>
      <c r="Q485" t="str">
        <f>VLOOKUP(B485,Customers!A:J,8,0)</f>
        <v>Female</v>
      </c>
      <c r="R485" t="b">
        <f t="shared" si="14"/>
        <v>1</v>
      </c>
      <c r="S485" s="18">
        <f t="shared" si="15"/>
        <v>45200</v>
      </c>
    </row>
    <row r="486" spans="1:19" x14ac:dyDescent="0.25">
      <c r="A486" s="3" t="s">
        <v>1524</v>
      </c>
      <c r="B486" s="4" t="s">
        <v>224</v>
      </c>
      <c r="C486" s="14">
        <v>44890</v>
      </c>
      <c r="D486" s="4" t="s">
        <v>659</v>
      </c>
      <c r="E486" s="4" t="s">
        <v>660</v>
      </c>
      <c r="F486" s="4">
        <v>19.989999999999998</v>
      </c>
      <c r="G486" s="4">
        <v>3</v>
      </c>
      <c r="H486" s="4">
        <v>10</v>
      </c>
      <c r="I486" s="4">
        <v>17.989999999999998</v>
      </c>
      <c r="J486" s="4">
        <v>53.97</v>
      </c>
      <c r="K486" s="4" t="s">
        <v>675</v>
      </c>
      <c r="L486" s="4" t="s">
        <v>656</v>
      </c>
      <c r="M486" s="5">
        <v>4</v>
      </c>
      <c r="N486">
        <f>VLOOKUP(B486,Customers!A:J,7,0)</f>
        <v>59</v>
      </c>
      <c r="O486" t="str">
        <f>VLOOKUP(B486,Customers!A:J,5,0)</f>
        <v>Jacksonville</v>
      </c>
      <c r="P486" t="str">
        <f>VLOOKUP(B486,Customers!A:J,10,0)</f>
        <v>Gold</v>
      </c>
      <c r="Q486" t="str">
        <f>VLOOKUP(B486,Customers!A:J,8,0)</f>
        <v>Female</v>
      </c>
      <c r="R486" t="b">
        <f t="shared" si="14"/>
        <v>1</v>
      </c>
      <c r="S486" s="18">
        <f t="shared" si="15"/>
        <v>44866</v>
      </c>
    </row>
    <row r="487" spans="1:19" x14ac:dyDescent="0.25">
      <c r="A487" s="6" t="s">
        <v>1526</v>
      </c>
      <c r="B487" s="7" t="s">
        <v>224</v>
      </c>
      <c r="C487" s="15">
        <v>45180</v>
      </c>
      <c r="D487" s="7" t="s">
        <v>680</v>
      </c>
      <c r="E487" s="7" t="s">
        <v>708</v>
      </c>
      <c r="F487" s="7">
        <v>24.99</v>
      </c>
      <c r="G487" s="7">
        <v>3</v>
      </c>
      <c r="H487" s="7">
        <v>15</v>
      </c>
      <c r="I487" s="7">
        <v>21.24</v>
      </c>
      <c r="J487" s="7">
        <v>63.72</v>
      </c>
      <c r="K487" s="7" t="s">
        <v>682</v>
      </c>
      <c r="L487" s="7" t="s">
        <v>656</v>
      </c>
      <c r="M487" s="8">
        <v>4</v>
      </c>
      <c r="N487">
        <f>VLOOKUP(B487,Customers!A:J,7,0)</f>
        <v>59</v>
      </c>
      <c r="O487" t="str">
        <f>VLOOKUP(B487,Customers!A:J,5,0)</f>
        <v>Jacksonville</v>
      </c>
      <c r="P487" t="str">
        <f>VLOOKUP(B487,Customers!A:J,10,0)</f>
        <v>Gold</v>
      </c>
      <c r="Q487" t="str">
        <f>VLOOKUP(B487,Customers!A:J,8,0)</f>
        <v>Female</v>
      </c>
      <c r="R487" t="b">
        <f t="shared" si="14"/>
        <v>1</v>
      </c>
      <c r="S487" s="18">
        <f t="shared" si="15"/>
        <v>45170</v>
      </c>
    </row>
    <row r="488" spans="1:19" x14ac:dyDescent="0.25">
      <c r="A488" s="3" t="s">
        <v>1528</v>
      </c>
      <c r="B488" s="4" t="s">
        <v>224</v>
      </c>
      <c r="C488" s="14">
        <v>45002</v>
      </c>
      <c r="D488" s="4" t="s">
        <v>659</v>
      </c>
      <c r="E488" s="4" t="s">
        <v>820</v>
      </c>
      <c r="F488" s="4">
        <v>39.99</v>
      </c>
      <c r="G488" s="4">
        <v>3</v>
      </c>
      <c r="H488" s="4">
        <v>0</v>
      </c>
      <c r="I488" s="4">
        <v>39.99</v>
      </c>
      <c r="J488" s="4">
        <v>119.97</v>
      </c>
      <c r="K488" s="4" t="s">
        <v>682</v>
      </c>
      <c r="L488" s="4" t="s">
        <v>656</v>
      </c>
      <c r="M488" s="5"/>
      <c r="N488">
        <f>VLOOKUP(B488,Customers!A:J,7,0)</f>
        <v>59</v>
      </c>
      <c r="O488" t="str">
        <f>VLOOKUP(B488,Customers!A:J,5,0)</f>
        <v>Jacksonville</v>
      </c>
      <c r="P488" t="str">
        <f>VLOOKUP(B488,Customers!A:J,10,0)</f>
        <v>Gold</v>
      </c>
      <c r="Q488" t="str">
        <f>VLOOKUP(B488,Customers!A:J,8,0)</f>
        <v>Female</v>
      </c>
      <c r="R488" t="b">
        <f t="shared" si="14"/>
        <v>1</v>
      </c>
      <c r="S488" s="18">
        <f t="shared" si="15"/>
        <v>44986</v>
      </c>
    </row>
    <row r="489" spans="1:19" x14ac:dyDescent="0.25">
      <c r="A489" s="6" t="s">
        <v>1530</v>
      </c>
      <c r="B489" s="7" t="s">
        <v>224</v>
      </c>
      <c r="C489" s="15">
        <v>45173</v>
      </c>
      <c r="D489" s="7" t="s">
        <v>667</v>
      </c>
      <c r="E489" s="7" t="s">
        <v>696</v>
      </c>
      <c r="F489" s="7">
        <v>59.99</v>
      </c>
      <c r="G489" s="7">
        <v>2</v>
      </c>
      <c r="H489" s="7">
        <v>15</v>
      </c>
      <c r="I489" s="7">
        <v>50.99</v>
      </c>
      <c r="J489" s="7">
        <v>101.98</v>
      </c>
      <c r="K489" s="7" t="s">
        <v>655</v>
      </c>
      <c r="L489" s="7" t="s">
        <v>656</v>
      </c>
      <c r="M489" s="8">
        <v>5</v>
      </c>
      <c r="N489">
        <f>VLOOKUP(B489,Customers!A:J,7,0)</f>
        <v>59</v>
      </c>
      <c r="O489" t="str">
        <f>VLOOKUP(B489,Customers!A:J,5,0)</f>
        <v>Jacksonville</v>
      </c>
      <c r="P489" t="str">
        <f>VLOOKUP(B489,Customers!A:J,10,0)</f>
        <v>Gold</v>
      </c>
      <c r="Q489" t="str">
        <f>VLOOKUP(B489,Customers!A:J,8,0)</f>
        <v>Female</v>
      </c>
      <c r="R489" t="b">
        <f t="shared" si="14"/>
        <v>1</v>
      </c>
      <c r="S489" s="18">
        <f t="shared" si="15"/>
        <v>45170</v>
      </c>
    </row>
    <row r="490" spans="1:19" x14ac:dyDescent="0.25">
      <c r="A490" s="3" t="s">
        <v>1532</v>
      </c>
      <c r="B490" s="4" t="s">
        <v>224</v>
      </c>
      <c r="C490" s="14">
        <v>45346</v>
      </c>
      <c r="D490" s="4" t="s">
        <v>653</v>
      </c>
      <c r="E490" s="4" t="s">
        <v>769</v>
      </c>
      <c r="F490" s="4">
        <v>49.99</v>
      </c>
      <c r="G490" s="4">
        <v>1</v>
      </c>
      <c r="H490" s="4">
        <v>0</v>
      </c>
      <c r="I490" s="4">
        <v>49.99</v>
      </c>
      <c r="J490" s="4">
        <v>49.99</v>
      </c>
      <c r="K490" s="4" t="s">
        <v>669</v>
      </c>
      <c r="L490" s="4" t="s">
        <v>656</v>
      </c>
      <c r="M490" s="5">
        <v>2</v>
      </c>
      <c r="N490">
        <f>VLOOKUP(B490,Customers!A:J,7,0)</f>
        <v>59</v>
      </c>
      <c r="O490" t="str">
        <f>VLOOKUP(B490,Customers!A:J,5,0)</f>
        <v>Jacksonville</v>
      </c>
      <c r="P490" t="str">
        <f>VLOOKUP(B490,Customers!A:J,10,0)</f>
        <v>Gold</v>
      </c>
      <c r="Q490" t="str">
        <f>VLOOKUP(B490,Customers!A:J,8,0)</f>
        <v>Female</v>
      </c>
      <c r="R490" t="b">
        <f t="shared" si="14"/>
        <v>1</v>
      </c>
      <c r="S490" s="18">
        <f t="shared" si="15"/>
        <v>45323</v>
      </c>
    </row>
    <row r="491" spans="1:19" x14ac:dyDescent="0.25">
      <c r="A491" s="6" t="s">
        <v>1534</v>
      </c>
      <c r="B491" s="7" t="s">
        <v>227</v>
      </c>
      <c r="C491" s="15">
        <v>44719</v>
      </c>
      <c r="D491" s="7" t="s">
        <v>680</v>
      </c>
      <c r="E491" s="7" t="s">
        <v>749</v>
      </c>
      <c r="F491" s="7">
        <v>14.99</v>
      </c>
      <c r="G491" s="7">
        <v>2</v>
      </c>
      <c r="H491" s="7">
        <v>0</v>
      </c>
      <c r="I491" s="7">
        <v>14.99</v>
      </c>
      <c r="J491" s="7">
        <v>29.98</v>
      </c>
      <c r="K491" s="7" t="s">
        <v>661</v>
      </c>
      <c r="L491" s="7" t="s">
        <v>656</v>
      </c>
      <c r="M491" s="8">
        <v>5</v>
      </c>
      <c r="N491">
        <f>VLOOKUP(B491,Customers!A:J,7,0)</f>
        <v>37</v>
      </c>
      <c r="O491" t="str">
        <f>VLOOKUP(B491,Customers!A:J,5,0)</f>
        <v>Chicago</v>
      </c>
      <c r="P491" t="str">
        <f>VLOOKUP(B491,Customers!A:J,10,0)</f>
        <v>Silver</v>
      </c>
      <c r="Q491" t="str">
        <f>VLOOKUP(B491,Customers!A:J,8,0)</f>
        <v>Male</v>
      </c>
      <c r="R491" t="b">
        <f t="shared" si="14"/>
        <v>1</v>
      </c>
      <c r="S491" s="18">
        <f t="shared" si="15"/>
        <v>44713</v>
      </c>
    </row>
    <row r="492" spans="1:19" x14ac:dyDescent="0.25">
      <c r="A492" s="3" t="s">
        <v>1535</v>
      </c>
      <c r="B492" s="4" t="s">
        <v>227</v>
      </c>
      <c r="C492" s="14">
        <v>45139</v>
      </c>
      <c r="D492" s="4" t="s">
        <v>710</v>
      </c>
      <c r="E492" s="4" t="s">
        <v>721</v>
      </c>
      <c r="F492" s="4">
        <v>24.99</v>
      </c>
      <c r="G492" s="4">
        <v>3</v>
      </c>
      <c r="H492" s="4">
        <v>15</v>
      </c>
      <c r="I492" s="4">
        <v>21.24</v>
      </c>
      <c r="J492" s="4">
        <v>63.72</v>
      </c>
      <c r="K492" s="4" t="s">
        <v>669</v>
      </c>
      <c r="L492" s="4" t="s">
        <v>656</v>
      </c>
      <c r="M492" s="5"/>
      <c r="N492">
        <f>VLOOKUP(B492,Customers!A:J,7,0)</f>
        <v>37</v>
      </c>
      <c r="O492" t="str">
        <f>VLOOKUP(B492,Customers!A:J,5,0)</f>
        <v>Chicago</v>
      </c>
      <c r="P492" t="str">
        <f>VLOOKUP(B492,Customers!A:J,10,0)</f>
        <v>Silver</v>
      </c>
      <c r="Q492" t="str">
        <f>VLOOKUP(B492,Customers!A:J,8,0)</f>
        <v>Male</v>
      </c>
      <c r="R492" t="b">
        <f t="shared" si="14"/>
        <v>1</v>
      </c>
      <c r="S492" s="18">
        <f t="shared" si="15"/>
        <v>45139</v>
      </c>
    </row>
    <row r="493" spans="1:19" x14ac:dyDescent="0.25">
      <c r="A493" s="6" t="s">
        <v>1537</v>
      </c>
      <c r="B493" s="7" t="s">
        <v>227</v>
      </c>
      <c r="C493" s="15">
        <v>44811</v>
      </c>
      <c r="D493" s="7" t="s">
        <v>653</v>
      </c>
      <c r="E493" s="7" t="s">
        <v>827</v>
      </c>
      <c r="F493" s="7">
        <v>29.99</v>
      </c>
      <c r="G493" s="7">
        <v>1</v>
      </c>
      <c r="H493" s="7">
        <v>0</v>
      </c>
      <c r="I493" s="7">
        <v>29.99</v>
      </c>
      <c r="J493" s="7">
        <v>29.99</v>
      </c>
      <c r="K493" s="7" t="s">
        <v>661</v>
      </c>
      <c r="L493" s="7" t="s">
        <v>656</v>
      </c>
      <c r="M493" s="8"/>
      <c r="N493">
        <f>VLOOKUP(B493,Customers!A:J,7,0)</f>
        <v>37</v>
      </c>
      <c r="O493" t="str">
        <f>VLOOKUP(B493,Customers!A:J,5,0)</f>
        <v>Chicago</v>
      </c>
      <c r="P493" t="str">
        <f>VLOOKUP(B493,Customers!A:J,10,0)</f>
        <v>Silver</v>
      </c>
      <c r="Q493" t="str">
        <f>VLOOKUP(B493,Customers!A:J,8,0)</f>
        <v>Male</v>
      </c>
      <c r="R493" t="b">
        <f t="shared" si="14"/>
        <v>1</v>
      </c>
      <c r="S493" s="18">
        <f t="shared" si="15"/>
        <v>44805</v>
      </c>
    </row>
    <row r="494" spans="1:19" x14ac:dyDescent="0.25">
      <c r="A494" s="3" t="s">
        <v>1538</v>
      </c>
      <c r="B494" s="4" t="s">
        <v>227</v>
      </c>
      <c r="C494" s="14">
        <v>45208</v>
      </c>
      <c r="D494" s="4" t="s">
        <v>659</v>
      </c>
      <c r="E494" s="4" t="s">
        <v>820</v>
      </c>
      <c r="F494" s="4">
        <v>39.99</v>
      </c>
      <c r="G494" s="4">
        <v>2</v>
      </c>
      <c r="H494" s="4">
        <v>15</v>
      </c>
      <c r="I494" s="4">
        <v>33.99</v>
      </c>
      <c r="J494" s="4">
        <v>67.98</v>
      </c>
      <c r="K494" s="4" t="s">
        <v>682</v>
      </c>
      <c r="L494" s="4" t="s">
        <v>656</v>
      </c>
      <c r="M494" s="5">
        <v>5</v>
      </c>
      <c r="N494">
        <f>VLOOKUP(B494,Customers!A:J,7,0)</f>
        <v>37</v>
      </c>
      <c r="O494" t="str">
        <f>VLOOKUP(B494,Customers!A:J,5,0)</f>
        <v>Chicago</v>
      </c>
      <c r="P494" t="str">
        <f>VLOOKUP(B494,Customers!A:J,10,0)</f>
        <v>Silver</v>
      </c>
      <c r="Q494" t="str">
        <f>VLOOKUP(B494,Customers!A:J,8,0)</f>
        <v>Male</v>
      </c>
      <c r="R494" t="b">
        <f t="shared" si="14"/>
        <v>1</v>
      </c>
      <c r="S494" s="18">
        <f t="shared" si="15"/>
        <v>45200</v>
      </c>
    </row>
    <row r="495" spans="1:19" x14ac:dyDescent="0.25">
      <c r="A495" s="6" t="s">
        <v>1540</v>
      </c>
      <c r="B495" s="7" t="s">
        <v>227</v>
      </c>
      <c r="C495" s="15">
        <v>44713</v>
      </c>
      <c r="D495" s="7" t="s">
        <v>672</v>
      </c>
      <c r="E495" s="7" t="s">
        <v>803</v>
      </c>
      <c r="F495" s="7">
        <v>69.989999999999995</v>
      </c>
      <c r="G495" s="7">
        <v>1</v>
      </c>
      <c r="H495" s="7">
        <v>15</v>
      </c>
      <c r="I495" s="7">
        <v>59.49</v>
      </c>
      <c r="J495" s="7">
        <v>59.49</v>
      </c>
      <c r="K495" s="7" t="s">
        <v>682</v>
      </c>
      <c r="L495" s="7" t="s">
        <v>656</v>
      </c>
      <c r="M495" s="8">
        <v>4</v>
      </c>
      <c r="N495">
        <f>VLOOKUP(B495,Customers!A:J,7,0)</f>
        <v>37</v>
      </c>
      <c r="O495" t="str">
        <f>VLOOKUP(B495,Customers!A:J,5,0)</f>
        <v>Chicago</v>
      </c>
      <c r="P495" t="str">
        <f>VLOOKUP(B495,Customers!A:J,10,0)</f>
        <v>Silver</v>
      </c>
      <c r="Q495" t="str">
        <f>VLOOKUP(B495,Customers!A:J,8,0)</f>
        <v>Male</v>
      </c>
      <c r="R495" t="b">
        <f t="shared" si="14"/>
        <v>1</v>
      </c>
      <c r="S495" s="18">
        <f t="shared" si="15"/>
        <v>44713</v>
      </c>
    </row>
    <row r="496" spans="1:19" x14ac:dyDescent="0.25">
      <c r="A496" s="3" t="s">
        <v>1541</v>
      </c>
      <c r="B496" s="4" t="s">
        <v>227</v>
      </c>
      <c r="C496" s="14">
        <v>44987</v>
      </c>
      <c r="D496" s="4" t="s">
        <v>710</v>
      </c>
      <c r="E496" s="4" t="s">
        <v>744</v>
      </c>
      <c r="F496" s="4">
        <v>29.99</v>
      </c>
      <c r="G496" s="4">
        <v>1</v>
      </c>
      <c r="H496" s="4">
        <v>15</v>
      </c>
      <c r="I496" s="4">
        <v>25.49</v>
      </c>
      <c r="J496" s="4">
        <v>25.49</v>
      </c>
      <c r="K496" s="4" t="s">
        <v>682</v>
      </c>
      <c r="L496" s="4" t="s">
        <v>656</v>
      </c>
      <c r="M496" s="5">
        <v>5</v>
      </c>
      <c r="N496">
        <f>VLOOKUP(B496,Customers!A:J,7,0)</f>
        <v>37</v>
      </c>
      <c r="O496" t="str">
        <f>VLOOKUP(B496,Customers!A:J,5,0)</f>
        <v>Chicago</v>
      </c>
      <c r="P496" t="str">
        <f>VLOOKUP(B496,Customers!A:J,10,0)</f>
        <v>Silver</v>
      </c>
      <c r="Q496" t="str">
        <f>VLOOKUP(B496,Customers!A:J,8,0)</f>
        <v>Male</v>
      </c>
      <c r="R496" t="b">
        <f t="shared" si="14"/>
        <v>1</v>
      </c>
      <c r="S496" s="18">
        <f t="shared" si="15"/>
        <v>44986</v>
      </c>
    </row>
    <row r="497" spans="1:19" x14ac:dyDescent="0.25">
      <c r="A497" s="6" t="s">
        <v>1543</v>
      </c>
      <c r="B497" s="7" t="s">
        <v>227</v>
      </c>
      <c r="C497" s="15">
        <v>45023</v>
      </c>
      <c r="D497" s="7" t="s">
        <v>672</v>
      </c>
      <c r="E497" s="7" t="s">
        <v>724</v>
      </c>
      <c r="F497" s="7">
        <v>89.99</v>
      </c>
      <c r="G497" s="7">
        <v>3</v>
      </c>
      <c r="H497" s="7">
        <v>20</v>
      </c>
      <c r="I497" s="7">
        <v>71.989999999999995</v>
      </c>
      <c r="J497" s="7">
        <v>215.97</v>
      </c>
      <c r="K497" s="7" t="s">
        <v>655</v>
      </c>
      <c r="L497" s="7" t="s">
        <v>656</v>
      </c>
      <c r="M497" s="8">
        <v>5</v>
      </c>
      <c r="N497">
        <f>VLOOKUP(B497,Customers!A:J,7,0)</f>
        <v>37</v>
      </c>
      <c r="O497" t="str">
        <f>VLOOKUP(B497,Customers!A:J,5,0)</f>
        <v>Chicago</v>
      </c>
      <c r="P497" t="str">
        <f>VLOOKUP(B497,Customers!A:J,10,0)</f>
        <v>Silver</v>
      </c>
      <c r="Q497" t="str">
        <f>VLOOKUP(B497,Customers!A:J,8,0)</f>
        <v>Male</v>
      </c>
      <c r="R497" t="b">
        <f t="shared" si="14"/>
        <v>1</v>
      </c>
      <c r="S497" s="18">
        <f t="shared" si="15"/>
        <v>45017</v>
      </c>
    </row>
    <row r="498" spans="1:19" x14ac:dyDescent="0.25">
      <c r="A498" s="3" t="s">
        <v>1545</v>
      </c>
      <c r="B498" s="4" t="s">
        <v>227</v>
      </c>
      <c r="C498" s="14">
        <v>45572</v>
      </c>
      <c r="D498" s="4" t="s">
        <v>659</v>
      </c>
      <c r="E498" s="4" t="s">
        <v>820</v>
      </c>
      <c r="F498" s="4">
        <v>39.99</v>
      </c>
      <c r="G498" s="4">
        <v>1</v>
      </c>
      <c r="H498" s="4">
        <v>15</v>
      </c>
      <c r="I498" s="4">
        <v>33.99</v>
      </c>
      <c r="J498" s="4">
        <v>33.99</v>
      </c>
      <c r="K498" s="4" t="s">
        <v>655</v>
      </c>
      <c r="L498" s="4" t="s">
        <v>656</v>
      </c>
      <c r="M498" s="5">
        <v>3</v>
      </c>
      <c r="N498">
        <f>VLOOKUP(B498,Customers!A:J,7,0)</f>
        <v>37</v>
      </c>
      <c r="O498" t="str">
        <f>VLOOKUP(B498,Customers!A:J,5,0)</f>
        <v>Chicago</v>
      </c>
      <c r="P498" t="str">
        <f>VLOOKUP(B498,Customers!A:J,10,0)</f>
        <v>Silver</v>
      </c>
      <c r="Q498" t="str">
        <f>VLOOKUP(B498,Customers!A:J,8,0)</f>
        <v>Male</v>
      </c>
      <c r="R498" t="b">
        <f t="shared" si="14"/>
        <v>1</v>
      </c>
      <c r="S498" s="18">
        <f t="shared" si="15"/>
        <v>45566</v>
      </c>
    </row>
    <row r="499" spans="1:19" x14ac:dyDescent="0.25">
      <c r="A499" s="6" t="s">
        <v>1547</v>
      </c>
      <c r="B499" s="7" t="s">
        <v>230</v>
      </c>
      <c r="C499" s="15">
        <v>44881</v>
      </c>
      <c r="D499" s="7" t="s">
        <v>684</v>
      </c>
      <c r="E499" s="7" t="s">
        <v>685</v>
      </c>
      <c r="F499" s="7">
        <v>49.99</v>
      </c>
      <c r="G499" s="7">
        <v>3</v>
      </c>
      <c r="H499" s="7">
        <v>15</v>
      </c>
      <c r="I499" s="7">
        <v>42.49</v>
      </c>
      <c r="J499" s="7">
        <v>127.47</v>
      </c>
      <c r="K499" s="7" t="s">
        <v>655</v>
      </c>
      <c r="L499" s="7" t="s">
        <v>656</v>
      </c>
      <c r="M499" s="8">
        <v>5</v>
      </c>
      <c r="N499">
        <f>VLOOKUP(B499,Customers!A:J,7,0)</f>
        <v>26</v>
      </c>
      <c r="O499" t="str">
        <f>VLOOKUP(B499,Customers!A:J,5,0)</f>
        <v>Houston</v>
      </c>
      <c r="P499" t="str">
        <f>VLOOKUP(B499,Customers!A:J,10,0)</f>
        <v>Silver</v>
      </c>
      <c r="Q499" t="str">
        <f>VLOOKUP(B499,Customers!A:J,8,0)</f>
        <v>Male</v>
      </c>
      <c r="R499" t="b">
        <f t="shared" si="14"/>
        <v>1</v>
      </c>
      <c r="S499" s="18">
        <f t="shared" si="15"/>
        <v>44866</v>
      </c>
    </row>
    <row r="500" spans="1:19" x14ac:dyDescent="0.25">
      <c r="A500" s="3" t="s">
        <v>1548</v>
      </c>
      <c r="B500" s="4" t="s">
        <v>230</v>
      </c>
      <c r="C500" s="14">
        <v>45497</v>
      </c>
      <c r="D500" s="4" t="s">
        <v>710</v>
      </c>
      <c r="E500" s="4" t="s">
        <v>730</v>
      </c>
      <c r="F500" s="4">
        <v>39.99</v>
      </c>
      <c r="G500" s="4">
        <v>4</v>
      </c>
      <c r="H500" s="4">
        <v>0</v>
      </c>
      <c r="I500" s="4">
        <v>39.99</v>
      </c>
      <c r="J500" s="4">
        <v>159.96</v>
      </c>
      <c r="K500" s="4" t="s">
        <v>682</v>
      </c>
      <c r="L500" s="4" t="s">
        <v>656</v>
      </c>
      <c r="M500" s="5">
        <v>1</v>
      </c>
      <c r="N500">
        <f>VLOOKUP(B500,Customers!A:J,7,0)</f>
        <v>26</v>
      </c>
      <c r="O500" t="str">
        <f>VLOOKUP(B500,Customers!A:J,5,0)</f>
        <v>Houston</v>
      </c>
      <c r="P500" t="str">
        <f>VLOOKUP(B500,Customers!A:J,10,0)</f>
        <v>Silver</v>
      </c>
      <c r="Q500" t="str">
        <f>VLOOKUP(B500,Customers!A:J,8,0)</f>
        <v>Male</v>
      </c>
      <c r="R500" t="b">
        <f t="shared" si="14"/>
        <v>1</v>
      </c>
      <c r="S500" s="18">
        <f t="shared" si="15"/>
        <v>45474</v>
      </c>
    </row>
    <row r="501" spans="1:19" x14ac:dyDescent="0.25">
      <c r="A501" s="6" t="s">
        <v>1550</v>
      </c>
      <c r="B501" s="7" t="s">
        <v>230</v>
      </c>
      <c r="C501" s="15">
        <v>44975</v>
      </c>
      <c r="D501" s="7" t="s">
        <v>710</v>
      </c>
      <c r="E501" s="7" t="s">
        <v>744</v>
      </c>
      <c r="F501" s="7">
        <v>29.99</v>
      </c>
      <c r="G501" s="7">
        <v>2</v>
      </c>
      <c r="H501" s="7">
        <v>0</v>
      </c>
      <c r="I501" s="7">
        <v>29.99</v>
      </c>
      <c r="J501" s="7">
        <v>59.98</v>
      </c>
      <c r="K501" s="7" t="s">
        <v>669</v>
      </c>
      <c r="L501" s="7" t="s">
        <v>656</v>
      </c>
      <c r="M501" s="8">
        <v>5</v>
      </c>
      <c r="N501">
        <f>VLOOKUP(B501,Customers!A:J,7,0)</f>
        <v>26</v>
      </c>
      <c r="O501" t="str">
        <f>VLOOKUP(B501,Customers!A:J,5,0)</f>
        <v>Houston</v>
      </c>
      <c r="P501" t="str">
        <f>VLOOKUP(B501,Customers!A:J,10,0)</f>
        <v>Silver</v>
      </c>
      <c r="Q501" t="str">
        <f>VLOOKUP(B501,Customers!A:J,8,0)</f>
        <v>Male</v>
      </c>
      <c r="R501" t="b">
        <f t="shared" si="14"/>
        <v>1</v>
      </c>
      <c r="S501" s="18">
        <f t="shared" si="15"/>
        <v>44958</v>
      </c>
    </row>
    <row r="502" spans="1:19" x14ac:dyDescent="0.25">
      <c r="A502" s="3" t="s">
        <v>1551</v>
      </c>
      <c r="B502" s="4" t="s">
        <v>230</v>
      </c>
      <c r="C502" s="14">
        <v>45566</v>
      </c>
      <c r="D502" s="4" t="s">
        <v>653</v>
      </c>
      <c r="E502" s="4" t="s">
        <v>769</v>
      </c>
      <c r="F502" s="4">
        <v>49.99</v>
      </c>
      <c r="G502" s="4">
        <v>2</v>
      </c>
      <c r="H502" s="4">
        <v>0</v>
      </c>
      <c r="I502" s="4">
        <v>49.99</v>
      </c>
      <c r="J502" s="4">
        <v>99.98</v>
      </c>
      <c r="K502" s="4" t="s">
        <v>675</v>
      </c>
      <c r="L502" s="4" t="s">
        <v>656</v>
      </c>
      <c r="M502" s="5">
        <v>4</v>
      </c>
      <c r="N502">
        <f>VLOOKUP(B502,Customers!A:J,7,0)</f>
        <v>26</v>
      </c>
      <c r="O502" t="str">
        <f>VLOOKUP(B502,Customers!A:J,5,0)</f>
        <v>Houston</v>
      </c>
      <c r="P502" t="str">
        <f>VLOOKUP(B502,Customers!A:J,10,0)</f>
        <v>Silver</v>
      </c>
      <c r="Q502" t="str">
        <f>VLOOKUP(B502,Customers!A:J,8,0)</f>
        <v>Male</v>
      </c>
      <c r="R502" t="b">
        <f t="shared" si="14"/>
        <v>1</v>
      </c>
      <c r="S502" s="18">
        <f t="shared" si="15"/>
        <v>45566</v>
      </c>
    </row>
    <row r="503" spans="1:19" x14ac:dyDescent="0.25">
      <c r="A503" s="6" t="s">
        <v>1553</v>
      </c>
      <c r="B503" s="7" t="s">
        <v>230</v>
      </c>
      <c r="C503" s="15">
        <v>45027</v>
      </c>
      <c r="D503" s="7" t="s">
        <v>667</v>
      </c>
      <c r="E503" s="7" t="s">
        <v>699</v>
      </c>
      <c r="F503" s="7">
        <v>89.99</v>
      </c>
      <c r="G503" s="7">
        <v>2</v>
      </c>
      <c r="H503" s="7">
        <v>0</v>
      </c>
      <c r="I503" s="7">
        <v>89.99</v>
      </c>
      <c r="J503" s="7">
        <v>179.98</v>
      </c>
      <c r="K503" s="7" t="s">
        <v>669</v>
      </c>
      <c r="L503" s="7" t="s">
        <v>656</v>
      </c>
      <c r="M503" s="8">
        <v>2</v>
      </c>
      <c r="N503">
        <f>VLOOKUP(B503,Customers!A:J,7,0)</f>
        <v>26</v>
      </c>
      <c r="O503" t="str">
        <f>VLOOKUP(B503,Customers!A:J,5,0)</f>
        <v>Houston</v>
      </c>
      <c r="P503" t="str">
        <f>VLOOKUP(B503,Customers!A:J,10,0)</f>
        <v>Silver</v>
      </c>
      <c r="Q503" t="str">
        <f>VLOOKUP(B503,Customers!A:J,8,0)</f>
        <v>Male</v>
      </c>
      <c r="R503" t="b">
        <f t="shared" si="14"/>
        <v>1</v>
      </c>
      <c r="S503" s="18">
        <f t="shared" si="15"/>
        <v>45017</v>
      </c>
    </row>
    <row r="504" spans="1:19" x14ac:dyDescent="0.25">
      <c r="A504" s="3" t="s">
        <v>1554</v>
      </c>
      <c r="B504" s="4" t="s">
        <v>230</v>
      </c>
      <c r="C504" s="14">
        <v>45517</v>
      </c>
      <c r="D504" s="4" t="s">
        <v>680</v>
      </c>
      <c r="E504" s="4" t="s">
        <v>688</v>
      </c>
      <c r="F504" s="4">
        <v>29.99</v>
      </c>
      <c r="G504" s="4">
        <v>3</v>
      </c>
      <c r="H504" s="4">
        <v>5</v>
      </c>
      <c r="I504" s="4">
        <v>28.49</v>
      </c>
      <c r="J504" s="4">
        <v>85.47</v>
      </c>
      <c r="K504" s="4" t="s">
        <v>661</v>
      </c>
      <c r="L504" s="4" t="s">
        <v>656</v>
      </c>
      <c r="M504" s="5"/>
      <c r="N504">
        <f>VLOOKUP(B504,Customers!A:J,7,0)</f>
        <v>26</v>
      </c>
      <c r="O504" t="str">
        <f>VLOOKUP(B504,Customers!A:J,5,0)</f>
        <v>Houston</v>
      </c>
      <c r="P504" t="str">
        <f>VLOOKUP(B504,Customers!A:J,10,0)</f>
        <v>Silver</v>
      </c>
      <c r="Q504" t="str">
        <f>VLOOKUP(B504,Customers!A:J,8,0)</f>
        <v>Male</v>
      </c>
      <c r="R504" t="b">
        <f t="shared" si="14"/>
        <v>1</v>
      </c>
      <c r="S504" s="18">
        <f t="shared" si="15"/>
        <v>45505</v>
      </c>
    </row>
    <row r="505" spans="1:19" x14ac:dyDescent="0.25">
      <c r="A505" s="6" t="s">
        <v>1555</v>
      </c>
      <c r="B505" s="7" t="s">
        <v>230</v>
      </c>
      <c r="C505" s="15">
        <v>44630</v>
      </c>
      <c r="D505" s="7" t="s">
        <v>659</v>
      </c>
      <c r="E505" s="7" t="s">
        <v>820</v>
      </c>
      <c r="F505" s="7">
        <v>39.99</v>
      </c>
      <c r="G505" s="7">
        <v>2</v>
      </c>
      <c r="H505" s="7">
        <v>0</v>
      </c>
      <c r="I505" s="7">
        <v>39.99</v>
      </c>
      <c r="J505" s="7">
        <v>79.98</v>
      </c>
      <c r="K505" s="7" t="s">
        <v>661</v>
      </c>
      <c r="L505" s="7" t="s">
        <v>656</v>
      </c>
      <c r="M505" s="8">
        <v>2</v>
      </c>
      <c r="N505">
        <f>VLOOKUP(B505,Customers!A:J,7,0)</f>
        <v>26</v>
      </c>
      <c r="O505" t="str">
        <f>VLOOKUP(B505,Customers!A:J,5,0)</f>
        <v>Houston</v>
      </c>
      <c r="P505" t="str">
        <f>VLOOKUP(B505,Customers!A:J,10,0)</f>
        <v>Silver</v>
      </c>
      <c r="Q505" t="str">
        <f>VLOOKUP(B505,Customers!A:J,8,0)</f>
        <v>Male</v>
      </c>
      <c r="R505" t="b">
        <f t="shared" si="14"/>
        <v>1</v>
      </c>
      <c r="S505" s="18">
        <f t="shared" si="15"/>
        <v>44621</v>
      </c>
    </row>
    <row r="506" spans="1:19" x14ac:dyDescent="0.25">
      <c r="A506" s="3" t="s">
        <v>1557</v>
      </c>
      <c r="B506" s="4" t="s">
        <v>230</v>
      </c>
      <c r="C506" s="14">
        <v>44866</v>
      </c>
      <c r="D506" s="4" t="s">
        <v>667</v>
      </c>
      <c r="E506" s="4" t="s">
        <v>668</v>
      </c>
      <c r="F506" s="4">
        <v>64.989999999999995</v>
      </c>
      <c r="G506" s="4">
        <v>4</v>
      </c>
      <c r="H506" s="4">
        <v>0</v>
      </c>
      <c r="I506" s="4">
        <v>64.989999999999995</v>
      </c>
      <c r="J506" s="4">
        <v>259.95999999999998</v>
      </c>
      <c r="K506" s="4" t="s">
        <v>661</v>
      </c>
      <c r="L506" s="4" t="s">
        <v>656</v>
      </c>
      <c r="M506" s="5">
        <v>5</v>
      </c>
      <c r="N506">
        <f>VLOOKUP(B506,Customers!A:J,7,0)</f>
        <v>26</v>
      </c>
      <c r="O506" t="str">
        <f>VLOOKUP(B506,Customers!A:J,5,0)</f>
        <v>Houston</v>
      </c>
      <c r="P506" t="str">
        <f>VLOOKUP(B506,Customers!A:J,10,0)</f>
        <v>Silver</v>
      </c>
      <c r="Q506" t="str">
        <f>VLOOKUP(B506,Customers!A:J,8,0)</f>
        <v>Male</v>
      </c>
      <c r="R506" t="b">
        <f t="shared" si="14"/>
        <v>1</v>
      </c>
      <c r="S506" s="18">
        <f t="shared" si="15"/>
        <v>44866</v>
      </c>
    </row>
    <row r="507" spans="1:19" x14ac:dyDescent="0.25">
      <c r="A507" s="6" t="s">
        <v>1559</v>
      </c>
      <c r="B507" s="7" t="s">
        <v>230</v>
      </c>
      <c r="C507" s="15">
        <v>44989</v>
      </c>
      <c r="D507" s="7" t="s">
        <v>667</v>
      </c>
      <c r="E507" s="7" t="s">
        <v>696</v>
      </c>
      <c r="F507" s="7">
        <v>59.99</v>
      </c>
      <c r="G507" s="7">
        <v>2</v>
      </c>
      <c r="H507" s="7">
        <v>10</v>
      </c>
      <c r="I507" s="7">
        <v>53.99</v>
      </c>
      <c r="J507" s="7">
        <v>107.98</v>
      </c>
      <c r="K507" s="7" t="s">
        <v>655</v>
      </c>
      <c r="L507" s="7" t="s">
        <v>788</v>
      </c>
      <c r="M507" s="8">
        <v>4</v>
      </c>
      <c r="N507">
        <f>VLOOKUP(B507,Customers!A:J,7,0)</f>
        <v>26</v>
      </c>
      <c r="O507" t="str">
        <f>VLOOKUP(B507,Customers!A:J,5,0)</f>
        <v>Houston</v>
      </c>
      <c r="P507" t="str">
        <f>VLOOKUP(B507,Customers!A:J,10,0)</f>
        <v>Silver</v>
      </c>
      <c r="Q507" t="str">
        <f>VLOOKUP(B507,Customers!A:J,8,0)</f>
        <v>Male</v>
      </c>
      <c r="R507" t="b">
        <f t="shared" si="14"/>
        <v>1</v>
      </c>
      <c r="S507" s="18">
        <f t="shared" si="15"/>
        <v>44986</v>
      </c>
    </row>
    <row r="508" spans="1:19" x14ac:dyDescent="0.25">
      <c r="A508" s="3" t="s">
        <v>1561</v>
      </c>
      <c r="B508" s="4" t="s">
        <v>230</v>
      </c>
      <c r="C508" s="14">
        <v>45218</v>
      </c>
      <c r="D508" s="4" t="s">
        <v>653</v>
      </c>
      <c r="E508" s="4" t="s">
        <v>827</v>
      </c>
      <c r="F508" s="4">
        <v>29.99</v>
      </c>
      <c r="G508" s="4">
        <v>4</v>
      </c>
      <c r="H508" s="4">
        <v>0</v>
      </c>
      <c r="I508" s="4">
        <v>29.99</v>
      </c>
      <c r="J508" s="4">
        <v>119.96</v>
      </c>
      <c r="K508" s="4" t="s">
        <v>661</v>
      </c>
      <c r="L508" s="4" t="s">
        <v>656</v>
      </c>
      <c r="M508" s="5">
        <v>4</v>
      </c>
      <c r="N508">
        <f>VLOOKUP(B508,Customers!A:J,7,0)</f>
        <v>26</v>
      </c>
      <c r="O508" t="str">
        <f>VLOOKUP(B508,Customers!A:J,5,0)</f>
        <v>Houston</v>
      </c>
      <c r="P508" t="str">
        <f>VLOOKUP(B508,Customers!A:J,10,0)</f>
        <v>Silver</v>
      </c>
      <c r="Q508" t="str">
        <f>VLOOKUP(B508,Customers!A:J,8,0)</f>
        <v>Male</v>
      </c>
      <c r="R508" t="b">
        <f t="shared" si="14"/>
        <v>1</v>
      </c>
      <c r="S508" s="18">
        <f t="shared" si="15"/>
        <v>45200</v>
      </c>
    </row>
    <row r="509" spans="1:19" x14ac:dyDescent="0.25">
      <c r="A509" s="6" t="s">
        <v>1563</v>
      </c>
      <c r="B509" s="7" t="s">
        <v>230</v>
      </c>
      <c r="C509" s="15">
        <v>44611</v>
      </c>
      <c r="D509" s="7" t="s">
        <v>667</v>
      </c>
      <c r="E509" s="7" t="s">
        <v>668</v>
      </c>
      <c r="F509" s="7">
        <v>64.989999999999995</v>
      </c>
      <c r="G509" s="7">
        <v>2</v>
      </c>
      <c r="H509" s="7">
        <v>20</v>
      </c>
      <c r="I509" s="7">
        <v>51.99</v>
      </c>
      <c r="J509" s="7">
        <v>103.98</v>
      </c>
      <c r="K509" s="7" t="s">
        <v>661</v>
      </c>
      <c r="L509" s="7" t="s">
        <v>656</v>
      </c>
      <c r="M509" s="8"/>
      <c r="N509">
        <f>VLOOKUP(B509,Customers!A:J,7,0)</f>
        <v>26</v>
      </c>
      <c r="O509" t="str">
        <f>VLOOKUP(B509,Customers!A:J,5,0)</f>
        <v>Houston</v>
      </c>
      <c r="P509" t="str">
        <f>VLOOKUP(B509,Customers!A:J,10,0)</f>
        <v>Silver</v>
      </c>
      <c r="Q509" t="str">
        <f>VLOOKUP(B509,Customers!A:J,8,0)</f>
        <v>Male</v>
      </c>
      <c r="R509" t="b">
        <f t="shared" si="14"/>
        <v>1</v>
      </c>
      <c r="S509" s="18">
        <f t="shared" si="15"/>
        <v>44593</v>
      </c>
    </row>
    <row r="510" spans="1:19" x14ac:dyDescent="0.25">
      <c r="A510" s="3" t="s">
        <v>1564</v>
      </c>
      <c r="B510" s="4" t="s">
        <v>230</v>
      </c>
      <c r="C510" s="14">
        <v>45409</v>
      </c>
      <c r="D510" s="4" t="s">
        <v>667</v>
      </c>
      <c r="E510" s="4" t="s">
        <v>668</v>
      </c>
      <c r="F510" s="4">
        <v>64.989999999999995</v>
      </c>
      <c r="G510" s="4">
        <v>1</v>
      </c>
      <c r="H510" s="4">
        <v>0</v>
      </c>
      <c r="I510" s="4">
        <v>64.989999999999995</v>
      </c>
      <c r="J510" s="4">
        <v>64.989999999999995</v>
      </c>
      <c r="K510" s="4" t="s">
        <v>669</v>
      </c>
      <c r="L510" s="4" t="s">
        <v>656</v>
      </c>
      <c r="M510" s="5">
        <v>5</v>
      </c>
      <c r="N510">
        <f>VLOOKUP(B510,Customers!A:J,7,0)</f>
        <v>26</v>
      </c>
      <c r="O510" t="str">
        <f>VLOOKUP(B510,Customers!A:J,5,0)</f>
        <v>Houston</v>
      </c>
      <c r="P510" t="str">
        <f>VLOOKUP(B510,Customers!A:J,10,0)</f>
        <v>Silver</v>
      </c>
      <c r="Q510" t="str">
        <f>VLOOKUP(B510,Customers!A:J,8,0)</f>
        <v>Male</v>
      </c>
      <c r="R510" t="b">
        <f t="shared" si="14"/>
        <v>1</v>
      </c>
      <c r="S510" s="18">
        <f t="shared" si="15"/>
        <v>45383</v>
      </c>
    </row>
    <row r="511" spans="1:19" x14ac:dyDescent="0.25">
      <c r="A511" s="6" t="s">
        <v>1566</v>
      </c>
      <c r="B511" s="7" t="s">
        <v>233</v>
      </c>
      <c r="C511" s="15">
        <v>44890</v>
      </c>
      <c r="D511" s="7" t="s">
        <v>653</v>
      </c>
      <c r="E511" s="7" t="s">
        <v>769</v>
      </c>
      <c r="F511" s="7">
        <v>49.99</v>
      </c>
      <c r="G511" s="7">
        <v>3</v>
      </c>
      <c r="H511" s="7">
        <v>0</v>
      </c>
      <c r="I511" s="7">
        <v>49.99</v>
      </c>
      <c r="J511" s="7">
        <v>149.97</v>
      </c>
      <c r="K511" s="7" t="s">
        <v>655</v>
      </c>
      <c r="L511" s="7" t="s">
        <v>656</v>
      </c>
      <c r="M511" s="8">
        <v>5</v>
      </c>
      <c r="N511">
        <f>VLOOKUP(B511,Customers!A:J,7,0)</f>
        <v>46</v>
      </c>
      <c r="O511" t="str">
        <f>VLOOKUP(B511,Customers!A:J,5,0)</f>
        <v>New York</v>
      </c>
      <c r="P511" t="str">
        <f>VLOOKUP(B511,Customers!A:J,10,0)</f>
        <v>Free</v>
      </c>
      <c r="Q511" t="str">
        <f>VLOOKUP(B511,Customers!A:J,8,0)</f>
        <v>Female</v>
      </c>
      <c r="R511" t="b">
        <f t="shared" si="14"/>
        <v>1</v>
      </c>
      <c r="S511" s="18">
        <f t="shared" si="15"/>
        <v>44866</v>
      </c>
    </row>
    <row r="512" spans="1:19" x14ac:dyDescent="0.25">
      <c r="A512" s="3" t="s">
        <v>1567</v>
      </c>
      <c r="B512" s="4" t="s">
        <v>233</v>
      </c>
      <c r="C512" s="14">
        <v>44903</v>
      </c>
      <c r="D512" s="4" t="s">
        <v>667</v>
      </c>
      <c r="E512" s="4" t="s">
        <v>699</v>
      </c>
      <c r="F512" s="4">
        <v>89.99</v>
      </c>
      <c r="G512" s="4">
        <v>1</v>
      </c>
      <c r="H512" s="4">
        <v>0</v>
      </c>
      <c r="I512" s="4">
        <v>89.99</v>
      </c>
      <c r="J512" s="4">
        <v>89.99</v>
      </c>
      <c r="K512" s="4" t="s">
        <v>655</v>
      </c>
      <c r="L512" s="4" t="s">
        <v>656</v>
      </c>
      <c r="M512" s="5">
        <v>4</v>
      </c>
      <c r="N512">
        <f>VLOOKUP(B512,Customers!A:J,7,0)</f>
        <v>46</v>
      </c>
      <c r="O512" t="str">
        <f>VLOOKUP(B512,Customers!A:J,5,0)</f>
        <v>New York</v>
      </c>
      <c r="P512" t="str">
        <f>VLOOKUP(B512,Customers!A:J,10,0)</f>
        <v>Free</v>
      </c>
      <c r="Q512" t="str">
        <f>VLOOKUP(B512,Customers!A:J,8,0)</f>
        <v>Female</v>
      </c>
      <c r="R512" t="b">
        <f t="shared" si="14"/>
        <v>1</v>
      </c>
      <c r="S512" s="18">
        <f t="shared" si="15"/>
        <v>44896</v>
      </c>
    </row>
    <row r="513" spans="1:19" x14ac:dyDescent="0.25">
      <c r="A513" s="6" t="s">
        <v>1568</v>
      </c>
      <c r="B513" s="7" t="s">
        <v>233</v>
      </c>
      <c r="C513" s="15">
        <v>45431</v>
      </c>
      <c r="D513" s="7" t="s">
        <v>680</v>
      </c>
      <c r="E513" s="7" t="s">
        <v>749</v>
      </c>
      <c r="F513" s="7">
        <v>14.99</v>
      </c>
      <c r="G513" s="7">
        <v>3</v>
      </c>
      <c r="H513" s="7">
        <v>20</v>
      </c>
      <c r="I513" s="7">
        <v>11.99</v>
      </c>
      <c r="J513" s="7">
        <v>35.97</v>
      </c>
      <c r="K513" s="7" t="s">
        <v>661</v>
      </c>
      <c r="L513" s="7" t="s">
        <v>656</v>
      </c>
      <c r="M513" s="8">
        <v>5</v>
      </c>
      <c r="N513">
        <f>VLOOKUP(B513,Customers!A:J,7,0)</f>
        <v>46</v>
      </c>
      <c r="O513" t="str">
        <f>VLOOKUP(B513,Customers!A:J,5,0)</f>
        <v>New York</v>
      </c>
      <c r="P513" t="str">
        <f>VLOOKUP(B513,Customers!A:J,10,0)</f>
        <v>Free</v>
      </c>
      <c r="Q513" t="str">
        <f>VLOOKUP(B513,Customers!A:J,8,0)</f>
        <v>Female</v>
      </c>
      <c r="R513" t="b">
        <f t="shared" si="14"/>
        <v>1</v>
      </c>
      <c r="S513" s="18">
        <f t="shared" si="15"/>
        <v>45413</v>
      </c>
    </row>
    <row r="514" spans="1:19" x14ac:dyDescent="0.25">
      <c r="A514" s="3" t="s">
        <v>1570</v>
      </c>
      <c r="B514" s="4" t="s">
        <v>233</v>
      </c>
      <c r="C514" s="14">
        <v>44727</v>
      </c>
      <c r="D514" s="4" t="s">
        <v>680</v>
      </c>
      <c r="E514" s="4" t="s">
        <v>688</v>
      </c>
      <c r="F514" s="4">
        <v>29.99</v>
      </c>
      <c r="G514" s="4">
        <v>4</v>
      </c>
      <c r="H514" s="4">
        <v>0</v>
      </c>
      <c r="I514" s="4">
        <v>29.99</v>
      </c>
      <c r="J514" s="4">
        <v>119.96</v>
      </c>
      <c r="K514" s="4" t="s">
        <v>655</v>
      </c>
      <c r="L514" s="4" t="s">
        <v>788</v>
      </c>
      <c r="M514" s="5">
        <v>4</v>
      </c>
      <c r="N514">
        <f>VLOOKUP(B514,Customers!A:J,7,0)</f>
        <v>46</v>
      </c>
      <c r="O514" t="str">
        <f>VLOOKUP(B514,Customers!A:J,5,0)</f>
        <v>New York</v>
      </c>
      <c r="P514" t="str">
        <f>VLOOKUP(B514,Customers!A:J,10,0)</f>
        <v>Free</v>
      </c>
      <c r="Q514" t="str">
        <f>VLOOKUP(B514,Customers!A:J,8,0)</f>
        <v>Female</v>
      </c>
      <c r="R514" t="b">
        <f t="shared" si="14"/>
        <v>1</v>
      </c>
      <c r="S514" s="18">
        <f t="shared" si="15"/>
        <v>44713</v>
      </c>
    </row>
    <row r="515" spans="1:19" x14ac:dyDescent="0.25">
      <c r="A515" s="6" t="s">
        <v>1572</v>
      </c>
      <c r="B515" s="7" t="s">
        <v>233</v>
      </c>
      <c r="C515" s="15">
        <v>44963</v>
      </c>
      <c r="D515" s="7" t="s">
        <v>684</v>
      </c>
      <c r="E515" s="7" t="s">
        <v>705</v>
      </c>
      <c r="F515" s="7">
        <v>79.989999999999995</v>
      </c>
      <c r="G515" s="7">
        <v>2</v>
      </c>
      <c r="H515" s="7">
        <v>20</v>
      </c>
      <c r="I515" s="7">
        <v>63.99</v>
      </c>
      <c r="J515" s="7">
        <v>127.98</v>
      </c>
      <c r="K515" s="7" t="s">
        <v>669</v>
      </c>
      <c r="L515" s="7" t="s">
        <v>656</v>
      </c>
      <c r="M515" s="8">
        <v>5</v>
      </c>
      <c r="N515">
        <f>VLOOKUP(B515,Customers!A:J,7,0)</f>
        <v>46</v>
      </c>
      <c r="O515" t="str">
        <f>VLOOKUP(B515,Customers!A:J,5,0)</f>
        <v>New York</v>
      </c>
      <c r="P515" t="str">
        <f>VLOOKUP(B515,Customers!A:J,10,0)</f>
        <v>Free</v>
      </c>
      <c r="Q515" t="str">
        <f>VLOOKUP(B515,Customers!A:J,8,0)</f>
        <v>Female</v>
      </c>
      <c r="R515" t="b">
        <f t="shared" ref="R515:R578" si="16">ISNUMBER(C515)</f>
        <v>1</v>
      </c>
      <c r="S515" s="18">
        <f t="shared" ref="S515:S578" si="17">DATE(YEAR(C515),MONTH(C515),1)</f>
        <v>44958</v>
      </c>
    </row>
    <row r="516" spans="1:19" x14ac:dyDescent="0.25">
      <c r="A516" s="3" t="s">
        <v>1573</v>
      </c>
      <c r="B516" s="4" t="s">
        <v>236</v>
      </c>
      <c r="C516" s="14">
        <v>45034</v>
      </c>
      <c r="D516" s="4" t="s">
        <v>659</v>
      </c>
      <c r="E516" s="4" t="s">
        <v>664</v>
      </c>
      <c r="F516" s="4">
        <v>24.99</v>
      </c>
      <c r="G516" s="4">
        <v>2</v>
      </c>
      <c r="H516" s="4">
        <v>15</v>
      </c>
      <c r="I516" s="4">
        <v>21.24</v>
      </c>
      <c r="J516" s="4">
        <v>42.48</v>
      </c>
      <c r="K516" s="4" t="s">
        <v>675</v>
      </c>
      <c r="L516" s="4" t="s">
        <v>656</v>
      </c>
      <c r="M516" s="5"/>
      <c r="N516">
        <f>VLOOKUP(B516,Customers!A:J,7,0)</f>
        <v>56</v>
      </c>
      <c r="O516" t="str">
        <f>VLOOKUP(B516,Customers!A:J,5,0)</f>
        <v>Austin</v>
      </c>
      <c r="P516" t="str">
        <f>VLOOKUP(B516,Customers!A:J,10,0)</f>
        <v>Silver</v>
      </c>
      <c r="Q516" t="str">
        <f>VLOOKUP(B516,Customers!A:J,8,0)</f>
        <v>Male</v>
      </c>
      <c r="R516" t="b">
        <f t="shared" si="16"/>
        <v>1</v>
      </c>
      <c r="S516" s="18">
        <f t="shared" si="17"/>
        <v>45017</v>
      </c>
    </row>
    <row r="517" spans="1:19" x14ac:dyDescent="0.25">
      <c r="A517" s="6" t="s">
        <v>1575</v>
      </c>
      <c r="B517" s="7" t="s">
        <v>236</v>
      </c>
      <c r="C517" s="15">
        <v>44611</v>
      </c>
      <c r="D517" s="7" t="s">
        <v>710</v>
      </c>
      <c r="E517" s="7" t="s">
        <v>730</v>
      </c>
      <c r="F517" s="7">
        <v>39.99</v>
      </c>
      <c r="G517" s="7">
        <v>1</v>
      </c>
      <c r="H517" s="7">
        <v>10</v>
      </c>
      <c r="I517" s="7">
        <v>35.99</v>
      </c>
      <c r="J517" s="7">
        <v>35.99</v>
      </c>
      <c r="K517" s="7" t="s">
        <v>669</v>
      </c>
      <c r="L517" s="7" t="s">
        <v>656</v>
      </c>
      <c r="M517" s="8">
        <v>4</v>
      </c>
      <c r="N517">
        <f>VLOOKUP(B517,Customers!A:J,7,0)</f>
        <v>56</v>
      </c>
      <c r="O517" t="str">
        <f>VLOOKUP(B517,Customers!A:J,5,0)</f>
        <v>Austin</v>
      </c>
      <c r="P517" t="str">
        <f>VLOOKUP(B517,Customers!A:J,10,0)</f>
        <v>Silver</v>
      </c>
      <c r="Q517" t="str">
        <f>VLOOKUP(B517,Customers!A:J,8,0)</f>
        <v>Male</v>
      </c>
      <c r="R517" t="b">
        <f t="shared" si="16"/>
        <v>1</v>
      </c>
      <c r="S517" s="18">
        <f t="shared" si="17"/>
        <v>44593</v>
      </c>
    </row>
    <row r="518" spans="1:19" x14ac:dyDescent="0.25">
      <c r="A518" s="3" t="s">
        <v>1576</v>
      </c>
      <c r="B518" s="4" t="s">
        <v>236</v>
      </c>
      <c r="C518" s="14">
        <v>44922</v>
      </c>
      <c r="D518" s="4" t="s">
        <v>680</v>
      </c>
      <c r="E518" s="4" t="s">
        <v>681</v>
      </c>
      <c r="F518" s="4">
        <v>19.989999999999998</v>
      </c>
      <c r="G518" s="4">
        <v>1</v>
      </c>
      <c r="H518" s="4">
        <v>0</v>
      </c>
      <c r="I518" s="4">
        <v>19.989999999999998</v>
      </c>
      <c r="J518" s="4">
        <v>19.989999999999998</v>
      </c>
      <c r="K518" s="4" t="s">
        <v>669</v>
      </c>
      <c r="L518" s="4" t="s">
        <v>656</v>
      </c>
      <c r="M518" s="5"/>
      <c r="N518">
        <f>VLOOKUP(B518,Customers!A:J,7,0)</f>
        <v>56</v>
      </c>
      <c r="O518" t="str">
        <f>VLOOKUP(B518,Customers!A:J,5,0)</f>
        <v>Austin</v>
      </c>
      <c r="P518" t="str">
        <f>VLOOKUP(B518,Customers!A:J,10,0)</f>
        <v>Silver</v>
      </c>
      <c r="Q518" t="str">
        <f>VLOOKUP(B518,Customers!A:J,8,0)</f>
        <v>Male</v>
      </c>
      <c r="R518" t="b">
        <f t="shared" si="16"/>
        <v>1</v>
      </c>
      <c r="S518" s="18">
        <f t="shared" si="17"/>
        <v>44896</v>
      </c>
    </row>
    <row r="519" spans="1:19" x14ac:dyDescent="0.25">
      <c r="A519" s="6" t="s">
        <v>1577</v>
      </c>
      <c r="B519" s="7" t="s">
        <v>236</v>
      </c>
      <c r="C519" s="15">
        <v>45541</v>
      </c>
      <c r="D519" s="7" t="s">
        <v>684</v>
      </c>
      <c r="E519" s="7" t="s">
        <v>705</v>
      </c>
      <c r="F519" s="7">
        <v>79.989999999999995</v>
      </c>
      <c r="G519" s="7">
        <v>1</v>
      </c>
      <c r="H519" s="7">
        <v>20</v>
      </c>
      <c r="I519" s="7">
        <v>63.99</v>
      </c>
      <c r="J519" s="7">
        <v>63.99</v>
      </c>
      <c r="K519" s="7" t="s">
        <v>675</v>
      </c>
      <c r="L519" s="7" t="s">
        <v>656</v>
      </c>
      <c r="M519" s="8">
        <v>4</v>
      </c>
      <c r="N519">
        <f>VLOOKUP(B519,Customers!A:J,7,0)</f>
        <v>56</v>
      </c>
      <c r="O519" t="str">
        <f>VLOOKUP(B519,Customers!A:J,5,0)</f>
        <v>Austin</v>
      </c>
      <c r="P519" t="str">
        <f>VLOOKUP(B519,Customers!A:J,10,0)</f>
        <v>Silver</v>
      </c>
      <c r="Q519" t="str">
        <f>VLOOKUP(B519,Customers!A:J,8,0)</f>
        <v>Male</v>
      </c>
      <c r="R519" t="b">
        <f t="shared" si="16"/>
        <v>1</v>
      </c>
      <c r="S519" s="18">
        <f t="shared" si="17"/>
        <v>45536</v>
      </c>
    </row>
    <row r="520" spans="1:19" x14ac:dyDescent="0.25">
      <c r="A520" s="3" t="s">
        <v>1579</v>
      </c>
      <c r="B520" s="4" t="s">
        <v>236</v>
      </c>
      <c r="C520" s="14">
        <v>45326</v>
      </c>
      <c r="D520" s="4" t="s">
        <v>653</v>
      </c>
      <c r="E520" s="4" t="s">
        <v>654</v>
      </c>
      <c r="F520" s="4">
        <v>39.99</v>
      </c>
      <c r="G520" s="4">
        <v>1</v>
      </c>
      <c r="H520" s="4">
        <v>0</v>
      </c>
      <c r="I520" s="4">
        <v>39.99</v>
      </c>
      <c r="J520" s="4">
        <v>39.99</v>
      </c>
      <c r="K520" s="4" t="s">
        <v>655</v>
      </c>
      <c r="L520" s="4" t="s">
        <v>656</v>
      </c>
      <c r="M520" s="5"/>
      <c r="N520">
        <f>VLOOKUP(B520,Customers!A:J,7,0)</f>
        <v>56</v>
      </c>
      <c r="O520" t="str">
        <f>VLOOKUP(B520,Customers!A:J,5,0)</f>
        <v>Austin</v>
      </c>
      <c r="P520" t="str">
        <f>VLOOKUP(B520,Customers!A:J,10,0)</f>
        <v>Silver</v>
      </c>
      <c r="Q520" t="str">
        <f>VLOOKUP(B520,Customers!A:J,8,0)</f>
        <v>Male</v>
      </c>
      <c r="R520" t="b">
        <f t="shared" si="16"/>
        <v>1</v>
      </c>
      <c r="S520" s="18">
        <f t="shared" si="17"/>
        <v>45323</v>
      </c>
    </row>
    <row r="521" spans="1:19" x14ac:dyDescent="0.25">
      <c r="A521" s="6" t="s">
        <v>1580</v>
      </c>
      <c r="B521" s="7" t="s">
        <v>236</v>
      </c>
      <c r="C521" s="15">
        <v>45298</v>
      </c>
      <c r="D521" s="7" t="s">
        <v>684</v>
      </c>
      <c r="E521" s="7" t="s">
        <v>815</v>
      </c>
      <c r="F521" s="7">
        <v>34.99</v>
      </c>
      <c r="G521" s="7">
        <v>3</v>
      </c>
      <c r="H521" s="7">
        <v>0</v>
      </c>
      <c r="I521" s="7">
        <v>34.99</v>
      </c>
      <c r="J521" s="7">
        <v>104.97</v>
      </c>
      <c r="K521" s="7" t="s">
        <v>675</v>
      </c>
      <c r="L521" s="7" t="s">
        <v>656</v>
      </c>
      <c r="M521" s="8"/>
      <c r="N521">
        <f>VLOOKUP(B521,Customers!A:J,7,0)</f>
        <v>56</v>
      </c>
      <c r="O521" t="str">
        <f>VLOOKUP(B521,Customers!A:J,5,0)</f>
        <v>Austin</v>
      </c>
      <c r="P521" t="str">
        <f>VLOOKUP(B521,Customers!A:J,10,0)</f>
        <v>Silver</v>
      </c>
      <c r="Q521" t="str">
        <f>VLOOKUP(B521,Customers!A:J,8,0)</f>
        <v>Male</v>
      </c>
      <c r="R521" t="b">
        <f t="shared" si="16"/>
        <v>1</v>
      </c>
      <c r="S521" s="18">
        <f t="shared" si="17"/>
        <v>45292</v>
      </c>
    </row>
    <row r="522" spans="1:19" x14ac:dyDescent="0.25">
      <c r="A522" s="3" t="s">
        <v>1581</v>
      </c>
      <c r="B522" s="4" t="s">
        <v>236</v>
      </c>
      <c r="C522" s="14">
        <v>44641</v>
      </c>
      <c r="D522" s="4" t="s">
        <v>710</v>
      </c>
      <c r="E522" s="4" t="s">
        <v>730</v>
      </c>
      <c r="F522" s="4">
        <v>39.99</v>
      </c>
      <c r="G522" s="4">
        <v>1</v>
      </c>
      <c r="H522" s="4">
        <v>10</v>
      </c>
      <c r="I522" s="4">
        <v>35.99</v>
      </c>
      <c r="J522" s="4">
        <v>35.99</v>
      </c>
      <c r="K522" s="4" t="s">
        <v>661</v>
      </c>
      <c r="L522" s="4" t="s">
        <v>656</v>
      </c>
      <c r="M522" s="5">
        <v>2</v>
      </c>
      <c r="N522">
        <f>VLOOKUP(B522,Customers!A:J,7,0)</f>
        <v>56</v>
      </c>
      <c r="O522" t="str">
        <f>VLOOKUP(B522,Customers!A:J,5,0)</f>
        <v>Austin</v>
      </c>
      <c r="P522" t="str">
        <f>VLOOKUP(B522,Customers!A:J,10,0)</f>
        <v>Silver</v>
      </c>
      <c r="Q522" t="str">
        <f>VLOOKUP(B522,Customers!A:J,8,0)</f>
        <v>Male</v>
      </c>
      <c r="R522" t="b">
        <f t="shared" si="16"/>
        <v>1</v>
      </c>
      <c r="S522" s="18">
        <f t="shared" si="17"/>
        <v>44621</v>
      </c>
    </row>
    <row r="523" spans="1:19" x14ac:dyDescent="0.25">
      <c r="A523" s="6" t="s">
        <v>1583</v>
      </c>
      <c r="B523" s="7" t="s">
        <v>236</v>
      </c>
      <c r="C523" s="15">
        <v>44941</v>
      </c>
      <c r="D523" s="7" t="s">
        <v>680</v>
      </c>
      <c r="E523" s="7" t="s">
        <v>688</v>
      </c>
      <c r="F523" s="7">
        <v>29.99</v>
      </c>
      <c r="G523" s="7">
        <v>1</v>
      </c>
      <c r="H523" s="7">
        <v>20</v>
      </c>
      <c r="I523" s="7">
        <v>23.99</v>
      </c>
      <c r="J523" s="7">
        <v>23.99</v>
      </c>
      <c r="K523" s="7" t="s">
        <v>661</v>
      </c>
      <c r="L523" s="7" t="s">
        <v>785</v>
      </c>
      <c r="M523" s="8">
        <v>4</v>
      </c>
      <c r="N523">
        <f>VLOOKUP(B523,Customers!A:J,7,0)</f>
        <v>56</v>
      </c>
      <c r="O523" t="str">
        <f>VLOOKUP(B523,Customers!A:J,5,0)</f>
        <v>Austin</v>
      </c>
      <c r="P523" t="str">
        <f>VLOOKUP(B523,Customers!A:J,10,0)</f>
        <v>Silver</v>
      </c>
      <c r="Q523" t="str">
        <f>VLOOKUP(B523,Customers!A:J,8,0)</f>
        <v>Male</v>
      </c>
      <c r="R523" t="b">
        <f t="shared" si="16"/>
        <v>1</v>
      </c>
      <c r="S523" s="18">
        <f t="shared" si="17"/>
        <v>44927</v>
      </c>
    </row>
    <row r="524" spans="1:19" x14ac:dyDescent="0.25">
      <c r="A524" s="3" t="s">
        <v>1584</v>
      </c>
      <c r="B524" s="4" t="s">
        <v>236</v>
      </c>
      <c r="C524" s="14">
        <v>45602</v>
      </c>
      <c r="D524" s="4" t="s">
        <v>684</v>
      </c>
      <c r="E524" s="4" t="s">
        <v>815</v>
      </c>
      <c r="F524" s="4">
        <v>34.99</v>
      </c>
      <c r="G524" s="4">
        <v>1</v>
      </c>
      <c r="H524" s="4">
        <v>10</v>
      </c>
      <c r="I524" s="4">
        <v>31.49</v>
      </c>
      <c r="J524" s="4">
        <v>31.49</v>
      </c>
      <c r="K524" s="4" t="s">
        <v>661</v>
      </c>
      <c r="L524" s="4" t="s">
        <v>656</v>
      </c>
      <c r="M524" s="5">
        <v>5</v>
      </c>
      <c r="N524">
        <f>VLOOKUP(B524,Customers!A:J,7,0)</f>
        <v>56</v>
      </c>
      <c r="O524" t="str">
        <f>VLOOKUP(B524,Customers!A:J,5,0)</f>
        <v>Austin</v>
      </c>
      <c r="P524" t="str">
        <f>VLOOKUP(B524,Customers!A:J,10,0)</f>
        <v>Silver</v>
      </c>
      <c r="Q524" t="str">
        <f>VLOOKUP(B524,Customers!A:J,8,0)</f>
        <v>Male</v>
      </c>
      <c r="R524" t="b">
        <f t="shared" si="16"/>
        <v>1</v>
      </c>
      <c r="S524" s="18">
        <f t="shared" si="17"/>
        <v>45597</v>
      </c>
    </row>
    <row r="525" spans="1:19" x14ac:dyDescent="0.25">
      <c r="A525" s="6" t="s">
        <v>1586</v>
      </c>
      <c r="B525" s="7" t="s">
        <v>236</v>
      </c>
      <c r="C525" s="15">
        <v>44905</v>
      </c>
      <c r="D525" s="7" t="s">
        <v>672</v>
      </c>
      <c r="E525" s="7" t="s">
        <v>673</v>
      </c>
      <c r="F525" s="7">
        <v>24.99</v>
      </c>
      <c r="G525" s="7">
        <v>1</v>
      </c>
      <c r="H525" s="7">
        <v>10</v>
      </c>
      <c r="I525" s="7">
        <v>22.49</v>
      </c>
      <c r="J525" s="7">
        <v>22.49</v>
      </c>
      <c r="K525" s="7" t="s">
        <v>669</v>
      </c>
      <c r="L525" s="7" t="s">
        <v>656</v>
      </c>
      <c r="M525" s="8"/>
      <c r="N525">
        <f>VLOOKUP(B525,Customers!A:J,7,0)</f>
        <v>56</v>
      </c>
      <c r="O525" t="str">
        <f>VLOOKUP(B525,Customers!A:J,5,0)</f>
        <v>Austin</v>
      </c>
      <c r="P525" t="str">
        <f>VLOOKUP(B525,Customers!A:J,10,0)</f>
        <v>Silver</v>
      </c>
      <c r="Q525" t="str">
        <f>VLOOKUP(B525,Customers!A:J,8,0)</f>
        <v>Male</v>
      </c>
      <c r="R525" t="b">
        <f t="shared" si="16"/>
        <v>1</v>
      </c>
      <c r="S525" s="18">
        <f t="shared" si="17"/>
        <v>44896</v>
      </c>
    </row>
    <row r="526" spans="1:19" x14ac:dyDescent="0.25">
      <c r="A526" s="3" t="s">
        <v>1588</v>
      </c>
      <c r="B526" s="4" t="s">
        <v>236</v>
      </c>
      <c r="C526" s="14">
        <v>44822</v>
      </c>
      <c r="D526" s="4" t="s">
        <v>684</v>
      </c>
      <c r="E526" s="4" t="s">
        <v>702</v>
      </c>
      <c r="F526" s="4">
        <v>199.99</v>
      </c>
      <c r="G526" s="4">
        <v>4</v>
      </c>
      <c r="H526" s="4">
        <v>15</v>
      </c>
      <c r="I526" s="4">
        <v>169.99</v>
      </c>
      <c r="J526" s="4">
        <v>679.96</v>
      </c>
      <c r="K526" s="4" t="s">
        <v>661</v>
      </c>
      <c r="L526" s="4" t="s">
        <v>785</v>
      </c>
      <c r="M526" s="5">
        <v>2</v>
      </c>
      <c r="N526">
        <f>VLOOKUP(B526,Customers!A:J,7,0)</f>
        <v>56</v>
      </c>
      <c r="O526" t="str">
        <f>VLOOKUP(B526,Customers!A:J,5,0)</f>
        <v>Austin</v>
      </c>
      <c r="P526" t="str">
        <f>VLOOKUP(B526,Customers!A:J,10,0)</f>
        <v>Silver</v>
      </c>
      <c r="Q526" t="str">
        <f>VLOOKUP(B526,Customers!A:J,8,0)</f>
        <v>Male</v>
      </c>
      <c r="R526" t="b">
        <f t="shared" si="16"/>
        <v>1</v>
      </c>
      <c r="S526" s="18">
        <f t="shared" si="17"/>
        <v>44805</v>
      </c>
    </row>
    <row r="527" spans="1:19" x14ac:dyDescent="0.25">
      <c r="A527" s="6" t="s">
        <v>1589</v>
      </c>
      <c r="B527" s="7" t="s">
        <v>236</v>
      </c>
      <c r="C527" s="15">
        <v>45191</v>
      </c>
      <c r="D527" s="7" t="s">
        <v>653</v>
      </c>
      <c r="E527" s="7" t="s">
        <v>727</v>
      </c>
      <c r="F527" s="7">
        <v>14.99</v>
      </c>
      <c r="G527" s="7">
        <v>4</v>
      </c>
      <c r="H527" s="7">
        <v>0</v>
      </c>
      <c r="I527" s="7">
        <v>14.99</v>
      </c>
      <c r="J527" s="7">
        <v>59.96</v>
      </c>
      <c r="K527" s="7" t="s">
        <v>655</v>
      </c>
      <c r="L527" s="7" t="s">
        <v>656</v>
      </c>
      <c r="M527" s="8">
        <v>4</v>
      </c>
      <c r="N527">
        <f>VLOOKUP(B527,Customers!A:J,7,0)</f>
        <v>56</v>
      </c>
      <c r="O527" t="str">
        <f>VLOOKUP(B527,Customers!A:J,5,0)</f>
        <v>Austin</v>
      </c>
      <c r="P527" t="str">
        <f>VLOOKUP(B527,Customers!A:J,10,0)</f>
        <v>Silver</v>
      </c>
      <c r="Q527" t="str">
        <f>VLOOKUP(B527,Customers!A:J,8,0)</f>
        <v>Male</v>
      </c>
      <c r="R527" t="b">
        <f t="shared" si="16"/>
        <v>1</v>
      </c>
      <c r="S527" s="18">
        <f t="shared" si="17"/>
        <v>45170</v>
      </c>
    </row>
    <row r="528" spans="1:19" x14ac:dyDescent="0.25">
      <c r="A528" s="3" t="s">
        <v>1591</v>
      </c>
      <c r="B528" s="4" t="s">
        <v>236</v>
      </c>
      <c r="C528" s="14">
        <v>45653</v>
      </c>
      <c r="D528" s="4" t="s">
        <v>680</v>
      </c>
      <c r="E528" s="4" t="s">
        <v>708</v>
      </c>
      <c r="F528" s="4">
        <v>24.99</v>
      </c>
      <c r="G528" s="4">
        <v>1</v>
      </c>
      <c r="H528" s="4">
        <v>15</v>
      </c>
      <c r="I528" s="4">
        <v>21.24</v>
      </c>
      <c r="J528" s="4">
        <v>21.24</v>
      </c>
      <c r="K528" s="4" t="s">
        <v>661</v>
      </c>
      <c r="L528" s="4" t="s">
        <v>656</v>
      </c>
      <c r="M528" s="5"/>
      <c r="N528">
        <f>VLOOKUP(B528,Customers!A:J,7,0)</f>
        <v>56</v>
      </c>
      <c r="O528" t="str">
        <f>VLOOKUP(B528,Customers!A:J,5,0)</f>
        <v>Austin</v>
      </c>
      <c r="P528" t="str">
        <f>VLOOKUP(B528,Customers!A:J,10,0)</f>
        <v>Silver</v>
      </c>
      <c r="Q528" t="str">
        <f>VLOOKUP(B528,Customers!A:J,8,0)</f>
        <v>Male</v>
      </c>
      <c r="R528" t="b">
        <f t="shared" si="16"/>
        <v>1</v>
      </c>
      <c r="S528" s="18">
        <f t="shared" si="17"/>
        <v>45627</v>
      </c>
    </row>
    <row r="529" spans="1:19" x14ac:dyDescent="0.25">
      <c r="A529" s="6" t="s">
        <v>1593</v>
      </c>
      <c r="B529" s="7" t="s">
        <v>236</v>
      </c>
      <c r="C529" s="15">
        <v>44713</v>
      </c>
      <c r="D529" s="7" t="s">
        <v>672</v>
      </c>
      <c r="E529" s="7" t="s">
        <v>735</v>
      </c>
      <c r="F529" s="7">
        <v>44.99</v>
      </c>
      <c r="G529" s="7">
        <v>2</v>
      </c>
      <c r="H529" s="7">
        <v>0</v>
      </c>
      <c r="I529" s="7">
        <v>44.99</v>
      </c>
      <c r="J529" s="7">
        <v>89.98</v>
      </c>
      <c r="K529" s="7" t="s">
        <v>661</v>
      </c>
      <c r="L529" s="7" t="s">
        <v>656</v>
      </c>
      <c r="M529" s="8"/>
      <c r="N529">
        <f>VLOOKUP(B529,Customers!A:J,7,0)</f>
        <v>56</v>
      </c>
      <c r="O529" t="str">
        <f>VLOOKUP(B529,Customers!A:J,5,0)</f>
        <v>Austin</v>
      </c>
      <c r="P529" t="str">
        <f>VLOOKUP(B529,Customers!A:J,10,0)</f>
        <v>Silver</v>
      </c>
      <c r="Q529" t="str">
        <f>VLOOKUP(B529,Customers!A:J,8,0)</f>
        <v>Male</v>
      </c>
      <c r="R529" t="b">
        <f t="shared" si="16"/>
        <v>1</v>
      </c>
      <c r="S529" s="18">
        <f t="shared" si="17"/>
        <v>44713</v>
      </c>
    </row>
    <row r="530" spans="1:19" x14ac:dyDescent="0.25">
      <c r="A530" s="3" t="s">
        <v>1594</v>
      </c>
      <c r="B530" s="4" t="s">
        <v>236</v>
      </c>
      <c r="C530" s="14">
        <v>44980</v>
      </c>
      <c r="D530" s="4" t="s">
        <v>659</v>
      </c>
      <c r="E530" s="4" t="s">
        <v>762</v>
      </c>
      <c r="F530" s="4">
        <v>49.99</v>
      </c>
      <c r="G530" s="4">
        <v>4</v>
      </c>
      <c r="H530" s="4">
        <v>20</v>
      </c>
      <c r="I530" s="4">
        <v>39.99</v>
      </c>
      <c r="J530" s="4">
        <v>159.96</v>
      </c>
      <c r="K530" s="4" t="s">
        <v>669</v>
      </c>
      <c r="L530" s="4" t="s">
        <v>656</v>
      </c>
      <c r="M530" s="5">
        <v>4</v>
      </c>
      <c r="N530">
        <f>VLOOKUP(B530,Customers!A:J,7,0)</f>
        <v>56</v>
      </c>
      <c r="O530" t="str">
        <f>VLOOKUP(B530,Customers!A:J,5,0)</f>
        <v>Austin</v>
      </c>
      <c r="P530" t="str">
        <f>VLOOKUP(B530,Customers!A:J,10,0)</f>
        <v>Silver</v>
      </c>
      <c r="Q530" t="str">
        <f>VLOOKUP(B530,Customers!A:J,8,0)</f>
        <v>Male</v>
      </c>
      <c r="R530" t="b">
        <f t="shared" si="16"/>
        <v>1</v>
      </c>
      <c r="S530" s="18">
        <f t="shared" si="17"/>
        <v>44958</v>
      </c>
    </row>
    <row r="531" spans="1:19" x14ac:dyDescent="0.25">
      <c r="A531" s="6" t="s">
        <v>1595</v>
      </c>
      <c r="B531" s="7" t="s">
        <v>239</v>
      </c>
      <c r="C531" s="15">
        <v>45637</v>
      </c>
      <c r="D531" s="7" t="s">
        <v>680</v>
      </c>
      <c r="E531" s="7" t="s">
        <v>681</v>
      </c>
      <c r="F531" s="7">
        <v>19.989999999999998</v>
      </c>
      <c r="G531" s="7">
        <v>2</v>
      </c>
      <c r="H531" s="7">
        <v>10</v>
      </c>
      <c r="I531" s="7">
        <v>17.989999999999998</v>
      </c>
      <c r="J531" s="7">
        <v>35.979999999999997</v>
      </c>
      <c r="K531" s="7" t="s">
        <v>669</v>
      </c>
      <c r="L531" s="7" t="s">
        <v>656</v>
      </c>
      <c r="M531" s="8">
        <v>2</v>
      </c>
      <c r="N531">
        <f>VLOOKUP(B531,Customers!A:J,7,0)</f>
        <v>30</v>
      </c>
      <c r="O531" t="str">
        <f>VLOOKUP(B531,Customers!A:J,5,0)</f>
        <v>San Antonio</v>
      </c>
      <c r="P531" t="str">
        <f>VLOOKUP(B531,Customers!A:J,10,0)</f>
        <v>Silver</v>
      </c>
      <c r="Q531" t="str">
        <f>VLOOKUP(B531,Customers!A:J,8,0)</f>
        <v>Male</v>
      </c>
      <c r="R531" t="b">
        <f t="shared" si="16"/>
        <v>1</v>
      </c>
      <c r="S531" s="18">
        <f t="shared" si="17"/>
        <v>45627</v>
      </c>
    </row>
    <row r="532" spans="1:19" x14ac:dyDescent="0.25">
      <c r="A532" s="3" t="s">
        <v>1597</v>
      </c>
      <c r="B532" s="4" t="s">
        <v>239</v>
      </c>
      <c r="C532" s="14">
        <v>44888</v>
      </c>
      <c r="D532" s="4" t="s">
        <v>667</v>
      </c>
      <c r="E532" s="4" t="s">
        <v>696</v>
      </c>
      <c r="F532" s="4">
        <v>59.99</v>
      </c>
      <c r="G532" s="4">
        <v>1</v>
      </c>
      <c r="H532" s="4">
        <v>10</v>
      </c>
      <c r="I532" s="4">
        <v>53.99</v>
      </c>
      <c r="J532" s="4">
        <v>53.99</v>
      </c>
      <c r="K532" s="4" t="s">
        <v>655</v>
      </c>
      <c r="L532" s="4" t="s">
        <v>656</v>
      </c>
      <c r="M532" s="5"/>
      <c r="N532">
        <f>VLOOKUP(B532,Customers!A:J,7,0)</f>
        <v>30</v>
      </c>
      <c r="O532" t="str">
        <f>VLOOKUP(B532,Customers!A:J,5,0)</f>
        <v>San Antonio</v>
      </c>
      <c r="P532" t="str">
        <f>VLOOKUP(B532,Customers!A:J,10,0)</f>
        <v>Silver</v>
      </c>
      <c r="Q532" t="str">
        <f>VLOOKUP(B532,Customers!A:J,8,0)</f>
        <v>Male</v>
      </c>
      <c r="R532" t="b">
        <f t="shared" si="16"/>
        <v>1</v>
      </c>
      <c r="S532" s="18">
        <f t="shared" si="17"/>
        <v>44866</v>
      </c>
    </row>
    <row r="533" spans="1:19" x14ac:dyDescent="0.25">
      <c r="A533" s="6" t="s">
        <v>1599</v>
      </c>
      <c r="B533" s="7" t="s">
        <v>239</v>
      </c>
      <c r="C533" s="15">
        <v>45632</v>
      </c>
      <c r="D533" s="7" t="s">
        <v>684</v>
      </c>
      <c r="E533" s="7" t="s">
        <v>702</v>
      </c>
      <c r="F533" s="7">
        <v>199.99</v>
      </c>
      <c r="G533" s="7">
        <v>2</v>
      </c>
      <c r="H533" s="7">
        <v>5</v>
      </c>
      <c r="I533" s="7">
        <v>189.99</v>
      </c>
      <c r="J533" s="7">
        <v>379.98</v>
      </c>
      <c r="K533" s="7" t="s">
        <v>661</v>
      </c>
      <c r="L533" s="7" t="s">
        <v>656</v>
      </c>
      <c r="M533" s="8">
        <v>5</v>
      </c>
      <c r="N533">
        <f>VLOOKUP(B533,Customers!A:J,7,0)</f>
        <v>30</v>
      </c>
      <c r="O533" t="str">
        <f>VLOOKUP(B533,Customers!A:J,5,0)</f>
        <v>San Antonio</v>
      </c>
      <c r="P533" t="str">
        <f>VLOOKUP(B533,Customers!A:J,10,0)</f>
        <v>Silver</v>
      </c>
      <c r="Q533" t="str">
        <f>VLOOKUP(B533,Customers!A:J,8,0)</f>
        <v>Male</v>
      </c>
      <c r="R533" t="b">
        <f t="shared" si="16"/>
        <v>1</v>
      </c>
      <c r="S533" s="18">
        <f t="shared" si="17"/>
        <v>45627</v>
      </c>
    </row>
    <row r="534" spans="1:19" x14ac:dyDescent="0.25">
      <c r="A534" s="3" t="s">
        <v>1601</v>
      </c>
      <c r="B534" s="4" t="s">
        <v>239</v>
      </c>
      <c r="C534" s="14">
        <v>44994</v>
      </c>
      <c r="D534" s="4" t="s">
        <v>684</v>
      </c>
      <c r="E534" s="4" t="s">
        <v>705</v>
      </c>
      <c r="F534" s="4">
        <v>79.989999999999995</v>
      </c>
      <c r="G534" s="4">
        <v>1</v>
      </c>
      <c r="H534" s="4">
        <v>0</v>
      </c>
      <c r="I534" s="4">
        <v>79.989999999999995</v>
      </c>
      <c r="J534" s="4">
        <v>79.989999999999995</v>
      </c>
      <c r="K534" s="4" t="s">
        <v>655</v>
      </c>
      <c r="L534" s="4" t="s">
        <v>788</v>
      </c>
      <c r="M534" s="5">
        <v>4</v>
      </c>
      <c r="N534">
        <f>VLOOKUP(B534,Customers!A:J,7,0)</f>
        <v>30</v>
      </c>
      <c r="O534" t="str">
        <f>VLOOKUP(B534,Customers!A:J,5,0)</f>
        <v>San Antonio</v>
      </c>
      <c r="P534" t="str">
        <f>VLOOKUP(B534,Customers!A:J,10,0)</f>
        <v>Silver</v>
      </c>
      <c r="Q534" t="str">
        <f>VLOOKUP(B534,Customers!A:J,8,0)</f>
        <v>Male</v>
      </c>
      <c r="R534" t="b">
        <f t="shared" si="16"/>
        <v>1</v>
      </c>
      <c r="S534" s="18">
        <f t="shared" si="17"/>
        <v>44986</v>
      </c>
    </row>
    <row r="535" spans="1:19" x14ac:dyDescent="0.25">
      <c r="A535" s="6" t="s">
        <v>1603</v>
      </c>
      <c r="B535" s="7" t="s">
        <v>239</v>
      </c>
      <c r="C535" s="15">
        <v>44868</v>
      </c>
      <c r="D535" s="7" t="s">
        <v>653</v>
      </c>
      <c r="E535" s="7" t="s">
        <v>769</v>
      </c>
      <c r="F535" s="7">
        <v>49.99</v>
      </c>
      <c r="G535" s="7">
        <v>1</v>
      </c>
      <c r="H535" s="7">
        <v>10</v>
      </c>
      <c r="I535" s="7">
        <v>44.99</v>
      </c>
      <c r="J535" s="7">
        <v>44.99</v>
      </c>
      <c r="K535" s="7" t="s">
        <v>669</v>
      </c>
      <c r="L535" s="7" t="s">
        <v>656</v>
      </c>
      <c r="M535" s="8"/>
      <c r="N535">
        <f>VLOOKUP(B535,Customers!A:J,7,0)</f>
        <v>30</v>
      </c>
      <c r="O535" t="str">
        <f>VLOOKUP(B535,Customers!A:J,5,0)</f>
        <v>San Antonio</v>
      </c>
      <c r="P535" t="str">
        <f>VLOOKUP(B535,Customers!A:J,10,0)</f>
        <v>Silver</v>
      </c>
      <c r="Q535" t="str">
        <f>VLOOKUP(B535,Customers!A:J,8,0)</f>
        <v>Male</v>
      </c>
      <c r="R535" t="b">
        <f t="shared" si="16"/>
        <v>1</v>
      </c>
      <c r="S535" s="18">
        <f t="shared" si="17"/>
        <v>44866</v>
      </c>
    </row>
    <row r="536" spans="1:19" x14ac:dyDescent="0.25">
      <c r="A536" s="3" t="s">
        <v>1605</v>
      </c>
      <c r="B536" s="4" t="s">
        <v>239</v>
      </c>
      <c r="C536" s="14">
        <v>45617</v>
      </c>
      <c r="D536" s="4" t="s">
        <v>680</v>
      </c>
      <c r="E536" s="4" t="s">
        <v>688</v>
      </c>
      <c r="F536" s="4">
        <v>29.99</v>
      </c>
      <c r="G536" s="4">
        <v>2</v>
      </c>
      <c r="H536" s="4">
        <v>0</v>
      </c>
      <c r="I536" s="4">
        <v>29.99</v>
      </c>
      <c r="J536" s="4">
        <v>59.98</v>
      </c>
      <c r="K536" s="4" t="s">
        <v>655</v>
      </c>
      <c r="L536" s="4" t="s">
        <v>656</v>
      </c>
      <c r="M536" s="5">
        <v>2</v>
      </c>
      <c r="N536">
        <f>VLOOKUP(B536,Customers!A:J,7,0)</f>
        <v>30</v>
      </c>
      <c r="O536" t="str">
        <f>VLOOKUP(B536,Customers!A:J,5,0)</f>
        <v>San Antonio</v>
      </c>
      <c r="P536" t="str">
        <f>VLOOKUP(B536,Customers!A:J,10,0)</f>
        <v>Silver</v>
      </c>
      <c r="Q536" t="str">
        <f>VLOOKUP(B536,Customers!A:J,8,0)</f>
        <v>Male</v>
      </c>
      <c r="R536" t="b">
        <f t="shared" si="16"/>
        <v>1</v>
      </c>
      <c r="S536" s="18">
        <f t="shared" si="17"/>
        <v>45597</v>
      </c>
    </row>
    <row r="537" spans="1:19" x14ac:dyDescent="0.25">
      <c r="A537" s="6" t="s">
        <v>1607</v>
      </c>
      <c r="B537" s="7" t="s">
        <v>239</v>
      </c>
      <c r="C537" s="15">
        <v>45607</v>
      </c>
      <c r="D537" s="7" t="s">
        <v>680</v>
      </c>
      <c r="E537" s="7" t="s">
        <v>749</v>
      </c>
      <c r="F537" s="7">
        <v>14.99</v>
      </c>
      <c r="G537" s="7">
        <v>1</v>
      </c>
      <c r="H537" s="7">
        <v>15</v>
      </c>
      <c r="I537" s="7">
        <v>12.74</v>
      </c>
      <c r="J537" s="7">
        <v>12.74</v>
      </c>
      <c r="K537" s="7" t="s">
        <v>655</v>
      </c>
      <c r="L537" s="7" t="s">
        <v>739</v>
      </c>
      <c r="M537" s="8">
        <v>5</v>
      </c>
      <c r="N537">
        <f>VLOOKUP(B537,Customers!A:J,7,0)</f>
        <v>30</v>
      </c>
      <c r="O537" t="str">
        <f>VLOOKUP(B537,Customers!A:J,5,0)</f>
        <v>San Antonio</v>
      </c>
      <c r="P537" t="str">
        <f>VLOOKUP(B537,Customers!A:J,10,0)</f>
        <v>Silver</v>
      </c>
      <c r="Q537" t="str">
        <f>VLOOKUP(B537,Customers!A:J,8,0)</f>
        <v>Male</v>
      </c>
      <c r="R537" t="b">
        <f t="shared" si="16"/>
        <v>1</v>
      </c>
      <c r="S537" s="18">
        <f t="shared" si="17"/>
        <v>45597</v>
      </c>
    </row>
    <row r="538" spans="1:19" x14ac:dyDescent="0.25">
      <c r="A538" s="3" t="s">
        <v>1609</v>
      </c>
      <c r="B538" s="4" t="s">
        <v>239</v>
      </c>
      <c r="C538" s="14">
        <v>45404</v>
      </c>
      <c r="D538" s="4" t="s">
        <v>680</v>
      </c>
      <c r="E538" s="4" t="s">
        <v>708</v>
      </c>
      <c r="F538" s="4">
        <v>24.99</v>
      </c>
      <c r="G538" s="4">
        <v>3</v>
      </c>
      <c r="H538" s="4">
        <v>0</v>
      </c>
      <c r="I538" s="4">
        <v>24.99</v>
      </c>
      <c r="J538" s="4">
        <v>74.97</v>
      </c>
      <c r="K538" s="4" t="s">
        <v>655</v>
      </c>
      <c r="L538" s="4" t="s">
        <v>656</v>
      </c>
      <c r="M538" s="5">
        <v>4</v>
      </c>
      <c r="N538">
        <f>VLOOKUP(B538,Customers!A:J,7,0)</f>
        <v>30</v>
      </c>
      <c r="O538" t="str">
        <f>VLOOKUP(B538,Customers!A:J,5,0)</f>
        <v>San Antonio</v>
      </c>
      <c r="P538" t="str">
        <f>VLOOKUP(B538,Customers!A:J,10,0)</f>
        <v>Silver</v>
      </c>
      <c r="Q538" t="str">
        <f>VLOOKUP(B538,Customers!A:J,8,0)</f>
        <v>Male</v>
      </c>
      <c r="R538" t="b">
        <f t="shared" si="16"/>
        <v>1</v>
      </c>
      <c r="S538" s="18">
        <f t="shared" si="17"/>
        <v>45383</v>
      </c>
    </row>
    <row r="539" spans="1:19" x14ac:dyDescent="0.25">
      <c r="A539" s="6" t="s">
        <v>1611</v>
      </c>
      <c r="B539" s="7" t="s">
        <v>239</v>
      </c>
      <c r="C539" s="15">
        <v>45361</v>
      </c>
      <c r="D539" s="7" t="s">
        <v>710</v>
      </c>
      <c r="E539" s="7" t="s">
        <v>711</v>
      </c>
      <c r="F539" s="7">
        <v>14.99</v>
      </c>
      <c r="G539" s="7">
        <v>2</v>
      </c>
      <c r="H539" s="7">
        <v>5</v>
      </c>
      <c r="I539" s="7">
        <v>14.24</v>
      </c>
      <c r="J539" s="7">
        <v>28.48</v>
      </c>
      <c r="K539" s="7" t="s">
        <v>669</v>
      </c>
      <c r="L539" s="7" t="s">
        <v>656</v>
      </c>
      <c r="M539" s="8">
        <v>5</v>
      </c>
      <c r="N539">
        <f>VLOOKUP(B539,Customers!A:J,7,0)</f>
        <v>30</v>
      </c>
      <c r="O539" t="str">
        <f>VLOOKUP(B539,Customers!A:J,5,0)</f>
        <v>San Antonio</v>
      </c>
      <c r="P539" t="str">
        <f>VLOOKUP(B539,Customers!A:J,10,0)</f>
        <v>Silver</v>
      </c>
      <c r="Q539" t="str">
        <f>VLOOKUP(B539,Customers!A:J,8,0)</f>
        <v>Male</v>
      </c>
      <c r="R539" t="b">
        <f t="shared" si="16"/>
        <v>1</v>
      </c>
      <c r="S539" s="18">
        <f t="shared" si="17"/>
        <v>45352</v>
      </c>
    </row>
    <row r="540" spans="1:19" x14ac:dyDescent="0.25">
      <c r="A540" s="3" t="s">
        <v>1613</v>
      </c>
      <c r="B540" s="4" t="s">
        <v>239</v>
      </c>
      <c r="C540" s="14">
        <v>45474</v>
      </c>
      <c r="D540" s="4" t="s">
        <v>667</v>
      </c>
      <c r="E540" s="4" t="s">
        <v>696</v>
      </c>
      <c r="F540" s="4">
        <v>59.99</v>
      </c>
      <c r="G540" s="4">
        <v>4</v>
      </c>
      <c r="H540" s="4">
        <v>0</v>
      </c>
      <c r="I540" s="4">
        <v>59.99</v>
      </c>
      <c r="J540" s="4">
        <v>239.96</v>
      </c>
      <c r="K540" s="4" t="s">
        <v>675</v>
      </c>
      <c r="L540" s="4" t="s">
        <v>656</v>
      </c>
      <c r="M540" s="5"/>
      <c r="N540">
        <f>VLOOKUP(B540,Customers!A:J,7,0)</f>
        <v>30</v>
      </c>
      <c r="O540" t="str">
        <f>VLOOKUP(B540,Customers!A:J,5,0)</f>
        <v>San Antonio</v>
      </c>
      <c r="P540" t="str">
        <f>VLOOKUP(B540,Customers!A:J,10,0)</f>
        <v>Silver</v>
      </c>
      <c r="Q540" t="str">
        <f>VLOOKUP(B540,Customers!A:J,8,0)</f>
        <v>Male</v>
      </c>
      <c r="R540" t="b">
        <f t="shared" si="16"/>
        <v>1</v>
      </c>
      <c r="S540" s="18">
        <f t="shared" si="17"/>
        <v>45474</v>
      </c>
    </row>
    <row r="541" spans="1:19" x14ac:dyDescent="0.25">
      <c r="A541" s="6" t="s">
        <v>1614</v>
      </c>
      <c r="B541" s="7" t="s">
        <v>239</v>
      </c>
      <c r="C541" s="15">
        <v>45629</v>
      </c>
      <c r="D541" s="7" t="s">
        <v>672</v>
      </c>
      <c r="E541" s="7" t="s">
        <v>673</v>
      </c>
      <c r="F541" s="7">
        <v>24.99</v>
      </c>
      <c r="G541" s="7">
        <v>3</v>
      </c>
      <c r="H541" s="7">
        <v>0</v>
      </c>
      <c r="I541" s="7">
        <v>24.99</v>
      </c>
      <c r="J541" s="7">
        <v>74.97</v>
      </c>
      <c r="K541" s="7" t="s">
        <v>655</v>
      </c>
      <c r="L541" s="7" t="s">
        <v>656</v>
      </c>
      <c r="M541" s="8">
        <v>5</v>
      </c>
      <c r="N541">
        <f>VLOOKUP(B541,Customers!A:J,7,0)</f>
        <v>30</v>
      </c>
      <c r="O541" t="str">
        <f>VLOOKUP(B541,Customers!A:J,5,0)</f>
        <v>San Antonio</v>
      </c>
      <c r="P541" t="str">
        <f>VLOOKUP(B541,Customers!A:J,10,0)</f>
        <v>Silver</v>
      </c>
      <c r="Q541" t="str">
        <f>VLOOKUP(B541,Customers!A:J,8,0)</f>
        <v>Male</v>
      </c>
      <c r="R541" t="b">
        <f t="shared" si="16"/>
        <v>1</v>
      </c>
      <c r="S541" s="18">
        <f t="shared" si="17"/>
        <v>45627</v>
      </c>
    </row>
    <row r="542" spans="1:19" x14ac:dyDescent="0.25">
      <c r="A542" s="3" t="s">
        <v>1616</v>
      </c>
      <c r="B542" s="4" t="s">
        <v>239</v>
      </c>
      <c r="C542" s="14">
        <v>45390</v>
      </c>
      <c r="D542" s="4" t="s">
        <v>680</v>
      </c>
      <c r="E542" s="4" t="s">
        <v>708</v>
      </c>
      <c r="F542" s="4">
        <v>24.99</v>
      </c>
      <c r="G542" s="4">
        <v>1</v>
      </c>
      <c r="H542" s="4">
        <v>15</v>
      </c>
      <c r="I542" s="4">
        <v>21.24</v>
      </c>
      <c r="J542" s="4">
        <v>21.24</v>
      </c>
      <c r="K542" s="4" t="s">
        <v>655</v>
      </c>
      <c r="L542" s="4" t="s">
        <v>656</v>
      </c>
      <c r="M542" s="5">
        <v>4</v>
      </c>
      <c r="N542">
        <f>VLOOKUP(B542,Customers!A:J,7,0)</f>
        <v>30</v>
      </c>
      <c r="O542" t="str">
        <f>VLOOKUP(B542,Customers!A:J,5,0)</f>
        <v>San Antonio</v>
      </c>
      <c r="P542" t="str">
        <f>VLOOKUP(B542,Customers!A:J,10,0)</f>
        <v>Silver</v>
      </c>
      <c r="Q542" t="str">
        <f>VLOOKUP(B542,Customers!A:J,8,0)</f>
        <v>Male</v>
      </c>
      <c r="R542" t="b">
        <f t="shared" si="16"/>
        <v>1</v>
      </c>
      <c r="S542" s="18">
        <f t="shared" si="17"/>
        <v>45383</v>
      </c>
    </row>
    <row r="543" spans="1:19" x14ac:dyDescent="0.25">
      <c r="A543" s="6" t="s">
        <v>1618</v>
      </c>
      <c r="B543" s="7" t="s">
        <v>239</v>
      </c>
      <c r="C543" s="15">
        <v>45176</v>
      </c>
      <c r="D543" s="7" t="s">
        <v>710</v>
      </c>
      <c r="E543" s="7" t="s">
        <v>711</v>
      </c>
      <c r="F543" s="7">
        <v>14.99</v>
      </c>
      <c r="G543" s="7">
        <v>3</v>
      </c>
      <c r="H543" s="7">
        <v>10</v>
      </c>
      <c r="I543" s="7">
        <v>13.49</v>
      </c>
      <c r="J543" s="7">
        <v>40.47</v>
      </c>
      <c r="K543" s="7" t="s">
        <v>655</v>
      </c>
      <c r="L543" s="7" t="s">
        <v>788</v>
      </c>
      <c r="M543" s="8">
        <v>5</v>
      </c>
      <c r="N543">
        <f>VLOOKUP(B543,Customers!A:J,7,0)</f>
        <v>30</v>
      </c>
      <c r="O543" t="str">
        <f>VLOOKUP(B543,Customers!A:J,5,0)</f>
        <v>San Antonio</v>
      </c>
      <c r="P543" t="str">
        <f>VLOOKUP(B543,Customers!A:J,10,0)</f>
        <v>Silver</v>
      </c>
      <c r="Q543" t="str">
        <f>VLOOKUP(B543,Customers!A:J,8,0)</f>
        <v>Male</v>
      </c>
      <c r="R543" t="b">
        <f t="shared" si="16"/>
        <v>1</v>
      </c>
      <c r="S543" s="18">
        <f t="shared" si="17"/>
        <v>45170</v>
      </c>
    </row>
    <row r="544" spans="1:19" x14ac:dyDescent="0.25">
      <c r="A544" s="3" t="s">
        <v>1619</v>
      </c>
      <c r="B544" s="4" t="s">
        <v>239</v>
      </c>
      <c r="C544" s="14">
        <v>45012</v>
      </c>
      <c r="D544" s="4" t="s">
        <v>672</v>
      </c>
      <c r="E544" s="4" t="s">
        <v>735</v>
      </c>
      <c r="F544" s="4">
        <v>44.99</v>
      </c>
      <c r="G544" s="4">
        <v>2</v>
      </c>
      <c r="H544" s="4">
        <v>10</v>
      </c>
      <c r="I544" s="4">
        <v>40.49</v>
      </c>
      <c r="J544" s="4">
        <v>80.98</v>
      </c>
      <c r="K544" s="4" t="s">
        <v>655</v>
      </c>
      <c r="L544" s="4" t="s">
        <v>656</v>
      </c>
      <c r="M544" s="5">
        <v>5</v>
      </c>
      <c r="N544">
        <f>VLOOKUP(B544,Customers!A:J,7,0)</f>
        <v>30</v>
      </c>
      <c r="O544" t="str">
        <f>VLOOKUP(B544,Customers!A:J,5,0)</f>
        <v>San Antonio</v>
      </c>
      <c r="P544" t="str">
        <f>VLOOKUP(B544,Customers!A:J,10,0)</f>
        <v>Silver</v>
      </c>
      <c r="Q544" t="str">
        <f>VLOOKUP(B544,Customers!A:J,8,0)</f>
        <v>Male</v>
      </c>
      <c r="R544" t="b">
        <f t="shared" si="16"/>
        <v>1</v>
      </c>
      <c r="S544" s="18">
        <f t="shared" si="17"/>
        <v>44986</v>
      </c>
    </row>
    <row r="545" spans="1:19" x14ac:dyDescent="0.25">
      <c r="A545" s="6" t="s">
        <v>1620</v>
      </c>
      <c r="B545" s="7" t="s">
        <v>239</v>
      </c>
      <c r="C545" s="15">
        <v>44910</v>
      </c>
      <c r="D545" s="7" t="s">
        <v>653</v>
      </c>
      <c r="E545" s="7" t="s">
        <v>769</v>
      </c>
      <c r="F545" s="7">
        <v>49.99</v>
      </c>
      <c r="G545" s="7">
        <v>2</v>
      </c>
      <c r="H545" s="7">
        <v>0</v>
      </c>
      <c r="I545" s="7">
        <v>49.99</v>
      </c>
      <c r="J545" s="7">
        <v>99.98</v>
      </c>
      <c r="K545" s="7" t="s">
        <v>682</v>
      </c>
      <c r="L545" s="7" t="s">
        <v>656</v>
      </c>
      <c r="M545" s="8">
        <v>3</v>
      </c>
      <c r="N545">
        <f>VLOOKUP(B545,Customers!A:J,7,0)</f>
        <v>30</v>
      </c>
      <c r="O545" t="str">
        <f>VLOOKUP(B545,Customers!A:J,5,0)</f>
        <v>San Antonio</v>
      </c>
      <c r="P545" t="str">
        <f>VLOOKUP(B545,Customers!A:J,10,0)</f>
        <v>Silver</v>
      </c>
      <c r="Q545" t="str">
        <f>VLOOKUP(B545,Customers!A:J,8,0)</f>
        <v>Male</v>
      </c>
      <c r="R545" t="b">
        <f t="shared" si="16"/>
        <v>1</v>
      </c>
      <c r="S545" s="18">
        <f t="shared" si="17"/>
        <v>44896</v>
      </c>
    </row>
    <row r="546" spans="1:19" x14ac:dyDescent="0.25">
      <c r="A546" s="3" t="s">
        <v>1621</v>
      </c>
      <c r="B546" s="4" t="s">
        <v>242</v>
      </c>
      <c r="C546" s="14">
        <v>44860</v>
      </c>
      <c r="D546" s="4" t="s">
        <v>684</v>
      </c>
      <c r="E546" s="4" t="s">
        <v>685</v>
      </c>
      <c r="F546" s="4">
        <v>49.99</v>
      </c>
      <c r="G546" s="4">
        <v>2</v>
      </c>
      <c r="H546" s="4">
        <v>10</v>
      </c>
      <c r="I546" s="4">
        <v>44.99</v>
      </c>
      <c r="J546" s="4">
        <v>89.98</v>
      </c>
      <c r="K546" s="4" t="s">
        <v>669</v>
      </c>
      <c r="L546" s="4" t="s">
        <v>656</v>
      </c>
      <c r="M546" s="5">
        <v>1</v>
      </c>
      <c r="N546">
        <f>VLOOKUP(B546,Customers!A:J,7,0)</f>
        <v>27</v>
      </c>
      <c r="O546" t="str">
        <f>VLOOKUP(B546,Customers!A:J,5,0)</f>
        <v>San Antonio</v>
      </c>
      <c r="P546" t="str">
        <f>VLOOKUP(B546,Customers!A:J,10,0)</f>
        <v>Platinum</v>
      </c>
      <c r="Q546" t="str">
        <f>VLOOKUP(B546,Customers!A:J,8,0)</f>
        <v>Female</v>
      </c>
      <c r="R546" t="b">
        <f t="shared" si="16"/>
        <v>1</v>
      </c>
      <c r="S546" s="18">
        <f t="shared" si="17"/>
        <v>44835</v>
      </c>
    </row>
    <row r="547" spans="1:19" x14ac:dyDescent="0.25">
      <c r="A547" s="6" t="s">
        <v>1622</v>
      </c>
      <c r="B547" s="7" t="s">
        <v>242</v>
      </c>
      <c r="C547" s="15">
        <v>45485</v>
      </c>
      <c r="D547" s="7" t="s">
        <v>680</v>
      </c>
      <c r="E547" s="7" t="s">
        <v>681</v>
      </c>
      <c r="F547" s="7">
        <v>19.989999999999998</v>
      </c>
      <c r="G547" s="7">
        <v>4</v>
      </c>
      <c r="H547" s="7">
        <v>15</v>
      </c>
      <c r="I547" s="7">
        <v>16.989999999999998</v>
      </c>
      <c r="J547" s="7">
        <v>67.959999999999994</v>
      </c>
      <c r="K547" s="7" t="s">
        <v>682</v>
      </c>
      <c r="L547" s="7" t="s">
        <v>656</v>
      </c>
      <c r="M547" s="8">
        <v>4</v>
      </c>
      <c r="N547">
        <f>VLOOKUP(B547,Customers!A:J,7,0)</f>
        <v>27</v>
      </c>
      <c r="O547" t="str">
        <f>VLOOKUP(B547,Customers!A:J,5,0)</f>
        <v>San Antonio</v>
      </c>
      <c r="P547" t="str">
        <f>VLOOKUP(B547,Customers!A:J,10,0)</f>
        <v>Platinum</v>
      </c>
      <c r="Q547" t="str">
        <f>VLOOKUP(B547,Customers!A:J,8,0)</f>
        <v>Female</v>
      </c>
      <c r="R547" t="b">
        <f t="shared" si="16"/>
        <v>1</v>
      </c>
      <c r="S547" s="18">
        <f t="shared" si="17"/>
        <v>45474</v>
      </c>
    </row>
    <row r="548" spans="1:19" x14ac:dyDescent="0.25">
      <c r="A548" s="3" t="s">
        <v>1624</v>
      </c>
      <c r="B548" s="4" t="s">
        <v>245</v>
      </c>
      <c r="C548" s="14">
        <v>44579</v>
      </c>
      <c r="D548" s="4" t="s">
        <v>667</v>
      </c>
      <c r="E548" s="4" t="s">
        <v>668</v>
      </c>
      <c r="F548" s="4">
        <v>64.989999999999995</v>
      </c>
      <c r="G548" s="4">
        <v>3</v>
      </c>
      <c r="H548" s="4">
        <v>0</v>
      </c>
      <c r="I548" s="4">
        <v>64.989999999999995</v>
      </c>
      <c r="J548" s="4">
        <v>194.97</v>
      </c>
      <c r="K548" s="4" t="s">
        <v>682</v>
      </c>
      <c r="L548" s="4" t="s">
        <v>656</v>
      </c>
      <c r="M548" s="5"/>
      <c r="N548">
        <f>VLOOKUP(B548,Customers!A:J,7,0)</f>
        <v>62</v>
      </c>
      <c r="O548" t="str">
        <f>VLOOKUP(B548,Customers!A:J,5,0)</f>
        <v>San Jose</v>
      </c>
      <c r="P548" t="str">
        <f>VLOOKUP(B548,Customers!A:J,10,0)</f>
        <v>Silver</v>
      </c>
      <c r="Q548" t="str">
        <f>VLOOKUP(B548,Customers!A:J,8,0)</f>
        <v>Male</v>
      </c>
      <c r="R548" t="b">
        <f t="shared" si="16"/>
        <v>1</v>
      </c>
      <c r="S548" s="18">
        <f t="shared" si="17"/>
        <v>44562</v>
      </c>
    </row>
    <row r="549" spans="1:19" x14ac:dyDescent="0.25">
      <c r="A549" s="6" t="s">
        <v>1626</v>
      </c>
      <c r="B549" s="7" t="s">
        <v>245</v>
      </c>
      <c r="C549" s="15">
        <v>44689</v>
      </c>
      <c r="D549" s="7" t="s">
        <v>653</v>
      </c>
      <c r="E549" s="7" t="s">
        <v>727</v>
      </c>
      <c r="F549" s="7">
        <v>14.99</v>
      </c>
      <c r="G549" s="7">
        <v>1</v>
      </c>
      <c r="H549" s="7">
        <v>15</v>
      </c>
      <c r="I549" s="7">
        <v>12.74</v>
      </c>
      <c r="J549" s="7">
        <v>12.74</v>
      </c>
      <c r="K549" s="7" t="s">
        <v>661</v>
      </c>
      <c r="L549" s="7" t="s">
        <v>788</v>
      </c>
      <c r="M549" s="8">
        <v>5</v>
      </c>
      <c r="N549">
        <f>VLOOKUP(B549,Customers!A:J,7,0)</f>
        <v>62</v>
      </c>
      <c r="O549" t="str">
        <f>VLOOKUP(B549,Customers!A:J,5,0)</f>
        <v>San Jose</v>
      </c>
      <c r="P549" t="str">
        <f>VLOOKUP(B549,Customers!A:J,10,0)</f>
        <v>Silver</v>
      </c>
      <c r="Q549" t="str">
        <f>VLOOKUP(B549,Customers!A:J,8,0)</f>
        <v>Male</v>
      </c>
      <c r="R549" t="b">
        <f t="shared" si="16"/>
        <v>1</v>
      </c>
      <c r="S549" s="18">
        <f t="shared" si="17"/>
        <v>44682</v>
      </c>
    </row>
    <row r="550" spans="1:19" x14ac:dyDescent="0.25">
      <c r="A550" s="3" t="s">
        <v>1628</v>
      </c>
      <c r="B550" s="4" t="s">
        <v>245</v>
      </c>
      <c r="C550" s="14">
        <v>45246</v>
      </c>
      <c r="D550" s="4" t="s">
        <v>659</v>
      </c>
      <c r="E550" s="4" t="s">
        <v>762</v>
      </c>
      <c r="F550" s="4">
        <v>49.99</v>
      </c>
      <c r="G550" s="4">
        <v>4</v>
      </c>
      <c r="H550" s="4">
        <v>15</v>
      </c>
      <c r="I550" s="4">
        <v>42.49</v>
      </c>
      <c r="J550" s="4">
        <v>169.96</v>
      </c>
      <c r="K550" s="4" t="s">
        <v>661</v>
      </c>
      <c r="L550" s="4" t="s">
        <v>656</v>
      </c>
      <c r="M550" s="5">
        <v>3</v>
      </c>
      <c r="N550">
        <f>VLOOKUP(B550,Customers!A:J,7,0)</f>
        <v>62</v>
      </c>
      <c r="O550" t="str">
        <f>VLOOKUP(B550,Customers!A:J,5,0)</f>
        <v>San Jose</v>
      </c>
      <c r="P550" t="str">
        <f>VLOOKUP(B550,Customers!A:J,10,0)</f>
        <v>Silver</v>
      </c>
      <c r="Q550" t="str">
        <f>VLOOKUP(B550,Customers!A:J,8,0)</f>
        <v>Male</v>
      </c>
      <c r="R550" t="b">
        <f t="shared" si="16"/>
        <v>1</v>
      </c>
      <c r="S550" s="18">
        <f t="shared" si="17"/>
        <v>45231</v>
      </c>
    </row>
    <row r="551" spans="1:19" x14ac:dyDescent="0.25">
      <c r="A551" s="6" t="s">
        <v>1629</v>
      </c>
      <c r="B551" s="7" t="s">
        <v>245</v>
      </c>
      <c r="C551" s="15">
        <v>45294</v>
      </c>
      <c r="D551" s="7" t="s">
        <v>653</v>
      </c>
      <c r="E551" s="7" t="s">
        <v>769</v>
      </c>
      <c r="F551" s="7">
        <v>49.99</v>
      </c>
      <c r="G551" s="7">
        <v>2</v>
      </c>
      <c r="H551" s="7">
        <v>20</v>
      </c>
      <c r="I551" s="7">
        <v>39.99</v>
      </c>
      <c r="J551" s="7">
        <v>79.98</v>
      </c>
      <c r="K551" s="7" t="s">
        <v>669</v>
      </c>
      <c r="L551" s="7" t="s">
        <v>656</v>
      </c>
      <c r="M551" s="8">
        <v>3</v>
      </c>
      <c r="N551">
        <f>VLOOKUP(B551,Customers!A:J,7,0)</f>
        <v>62</v>
      </c>
      <c r="O551" t="str">
        <f>VLOOKUP(B551,Customers!A:J,5,0)</f>
        <v>San Jose</v>
      </c>
      <c r="P551" t="str">
        <f>VLOOKUP(B551,Customers!A:J,10,0)</f>
        <v>Silver</v>
      </c>
      <c r="Q551" t="str">
        <f>VLOOKUP(B551,Customers!A:J,8,0)</f>
        <v>Male</v>
      </c>
      <c r="R551" t="b">
        <f t="shared" si="16"/>
        <v>1</v>
      </c>
      <c r="S551" s="18">
        <f t="shared" si="17"/>
        <v>45292</v>
      </c>
    </row>
    <row r="552" spans="1:19" x14ac:dyDescent="0.25">
      <c r="A552" s="3" t="s">
        <v>1630</v>
      </c>
      <c r="B552" s="4" t="s">
        <v>245</v>
      </c>
      <c r="C552" s="14">
        <v>44602</v>
      </c>
      <c r="D552" s="4" t="s">
        <v>680</v>
      </c>
      <c r="E552" s="4" t="s">
        <v>749</v>
      </c>
      <c r="F552" s="4">
        <v>14.99</v>
      </c>
      <c r="G552" s="4">
        <v>3</v>
      </c>
      <c r="H552" s="4">
        <v>15</v>
      </c>
      <c r="I552" s="4">
        <v>12.74</v>
      </c>
      <c r="J552" s="4">
        <v>38.22</v>
      </c>
      <c r="K552" s="4" t="s">
        <v>682</v>
      </c>
      <c r="L552" s="4" t="s">
        <v>656</v>
      </c>
      <c r="M552" s="5">
        <v>3</v>
      </c>
      <c r="N552">
        <f>VLOOKUP(B552,Customers!A:J,7,0)</f>
        <v>62</v>
      </c>
      <c r="O552" t="str">
        <f>VLOOKUP(B552,Customers!A:J,5,0)</f>
        <v>San Jose</v>
      </c>
      <c r="P552" t="str">
        <f>VLOOKUP(B552,Customers!A:J,10,0)</f>
        <v>Silver</v>
      </c>
      <c r="Q552" t="str">
        <f>VLOOKUP(B552,Customers!A:J,8,0)</f>
        <v>Male</v>
      </c>
      <c r="R552" t="b">
        <f t="shared" si="16"/>
        <v>1</v>
      </c>
      <c r="S552" s="18">
        <f t="shared" si="17"/>
        <v>44593</v>
      </c>
    </row>
    <row r="553" spans="1:19" x14ac:dyDescent="0.25">
      <c r="A553" s="6" t="s">
        <v>1631</v>
      </c>
      <c r="B553" s="7" t="s">
        <v>245</v>
      </c>
      <c r="C553" s="15">
        <v>44989</v>
      </c>
      <c r="D553" s="7" t="s">
        <v>710</v>
      </c>
      <c r="E553" s="7" t="s">
        <v>744</v>
      </c>
      <c r="F553" s="7">
        <v>29.99</v>
      </c>
      <c r="G553" s="7">
        <v>1</v>
      </c>
      <c r="H553" s="7">
        <v>20</v>
      </c>
      <c r="I553" s="7">
        <v>23.99</v>
      </c>
      <c r="J553" s="7">
        <v>23.99</v>
      </c>
      <c r="K553" s="7" t="s">
        <v>655</v>
      </c>
      <c r="L553" s="7" t="s">
        <v>788</v>
      </c>
      <c r="M553" s="8">
        <v>4</v>
      </c>
      <c r="N553">
        <f>VLOOKUP(B553,Customers!A:J,7,0)</f>
        <v>62</v>
      </c>
      <c r="O553" t="str">
        <f>VLOOKUP(B553,Customers!A:J,5,0)</f>
        <v>San Jose</v>
      </c>
      <c r="P553" t="str">
        <f>VLOOKUP(B553,Customers!A:J,10,0)</f>
        <v>Silver</v>
      </c>
      <c r="Q553" t="str">
        <f>VLOOKUP(B553,Customers!A:J,8,0)</f>
        <v>Male</v>
      </c>
      <c r="R553" t="b">
        <f t="shared" si="16"/>
        <v>1</v>
      </c>
      <c r="S553" s="18">
        <f t="shared" si="17"/>
        <v>44986</v>
      </c>
    </row>
    <row r="554" spans="1:19" x14ac:dyDescent="0.25">
      <c r="A554" s="3" t="s">
        <v>1632</v>
      </c>
      <c r="B554" s="4" t="s">
        <v>245</v>
      </c>
      <c r="C554" s="14">
        <v>44643</v>
      </c>
      <c r="D554" s="4" t="s">
        <v>710</v>
      </c>
      <c r="E554" s="4" t="s">
        <v>711</v>
      </c>
      <c r="F554" s="4">
        <v>14.99</v>
      </c>
      <c r="G554" s="4">
        <v>2</v>
      </c>
      <c r="H554" s="4">
        <v>0</v>
      </c>
      <c r="I554" s="4">
        <v>14.99</v>
      </c>
      <c r="J554" s="4">
        <v>29.98</v>
      </c>
      <c r="K554" s="4" t="s">
        <v>682</v>
      </c>
      <c r="L554" s="4" t="s">
        <v>656</v>
      </c>
      <c r="M554" s="5"/>
      <c r="N554">
        <f>VLOOKUP(B554,Customers!A:J,7,0)</f>
        <v>62</v>
      </c>
      <c r="O554" t="str">
        <f>VLOOKUP(B554,Customers!A:J,5,0)</f>
        <v>San Jose</v>
      </c>
      <c r="P554" t="str">
        <f>VLOOKUP(B554,Customers!A:J,10,0)</f>
        <v>Silver</v>
      </c>
      <c r="Q554" t="str">
        <f>VLOOKUP(B554,Customers!A:J,8,0)</f>
        <v>Male</v>
      </c>
      <c r="R554" t="b">
        <f t="shared" si="16"/>
        <v>1</v>
      </c>
      <c r="S554" s="18">
        <f t="shared" si="17"/>
        <v>44621</v>
      </c>
    </row>
    <row r="555" spans="1:19" x14ac:dyDescent="0.25">
      <c r="A555" s="6" t="s">
        <v>1633</v>
      </c>
      <c r="B555" s="7" t="s">
        <v>245</v>
      </c>
      <c r="C555" s="15">
        <v>44796</v>
      </c>
      <c r="D555" s="7" t="s">
        <v>672</v>
      </c>
      <c r="E555" s="7" t="s">
        <v>735</v>
      </c>
      <c r="F555" s="7">
        <v>44.99</v>
      </c>
      <c r="G555" s="7">
        <v>2</v>
      </c>
      <c r="H555" s="7">
        <v>20</v>
      </c>
      <c r="I555" s="7">
        <v>35.99</v>
      </c>
      <c r="J555" s="7">
        <v>71.98</v>
      </c>
      <c r="K555" s="7" t="s">
        <v>682</v>
      </c>
      <c r="L555" s="7" t="s">
        <v>656</v>
      </c>
      <c r="M555" s="8">
        <v>3</v>
      </c>
      <c r="N555">
        <f>VLOOKUP(B555,Customers!A:J,7,0)</f>
        <v>62</v>
      </c>
      <c r="O555" t="str">
        <f>VLOOKUP(B555,Customers!A:J,5,0)</f>
        <v>San Jose</v>
      </c>
      <c r="P555" t="str">
        <f>VLOOKUP(B555,Customers!A:J,10,0)</f>
        <v>Silver</v>
      </c>
      <c r="Q555" t="str">
        <f>VLOOKUP(B555,Customers!A:J,8,0)</f>
        <v>Male</v>
      </c>
      <c r="R555" t="b">
        <f t="shared" si="16"/>
        <v>1</v>
      </c>
      <c r="S555" s="18">
        <f t="shared" si="17"/>
        <v>44774</v>
      </c>
    </row>
    <row r="556" spans="1:19" x14ac:dyDescent="0.25">
      <c r="A556" s="3" t="s">
        <v>1634</v>
      </c>
      <c r="B556" s="4" t="s">
        <v>245</v>
      </c>
      <c r="C556" s="14">
        <v>45415</v>
      </c>
      <c r="D556" s="4" t="s">
        <v>667</v>
      </c>
      <c r="E556" s="4" t="s">
        <v>696</v>
      </c>
      <c r="F556" s="4">
        <v>59.99</v>
      </c>
      <c r="G556" s="4">
        <v>1</v>
      </c>
      <c r="H556" s="4">
        <v>0</v>
      </c>
      <c r="I556" s="4">
        <v>59.99</v>
      </c>
      <c r="J556" s="4">
        <v>59.99</v>
      </c>
      <c r="K556" s="4" t="s">
        <v>682</v>
      </c>
      <c r="L556" s="4" t="s">
        <v>656</v>
      </c>
      <c r="M556" s="5">
        <v>4</v>
      </c>
      <c r="N556">
        <f>VLOOKUP(B556,Customers!A:J,7,0)</f>
        <v>62</v>
      </c>
      <c r="O556" t="str">
        <f>VLOOKUP(B556,Customers!A:J,5,0)</f>
        <v>San Jose</v>
      </c>
      <c r="P556" t="str">
        <f>VLOOKUP(B556,Customers!A:J,10,0)</f>
        <v>Silver</v>
      </c>
      <c r="Q556" t="str">
        <f>VLOOKUP(B556,Customers!A:J,8,0)</f>
        <v>Male</v>
      </c>
      <c r="R556" t="b">
        <f t="shared" si="16"/>
        <v>1</v>
      </c>
      <c r="S556" s="18">
        <f t="shared" si="17"/>
        <v>45413</v>
      </c>
    </row>
    <row r="557" spans="1:19" x14ac:dyDescent="0.25">
      <c r="A557" s="6" t="s">
        <v>1636</v>
      </c>
      <c r="B557" s="7" t="s">
        <v>245</v>
      </c>
      <c r="C557" s="15">
        <v>45214</v>
      </c>
      <c r="D557" s="7" t="s">
        <v>667</v>
      </c>
      <c r="E557" s="7" t="s">
        <v>699</v>
      </c>
      <c r="F557" s="7">
        <v>89.99</v>
      </c>
      <c r="G557" s="7">
        <v>2</v>
      </c>
      <c r="H557" s="7">
        <v>10</v>
      </c>
      <c r="I557" s="7">
        <v>80.989999999999995</v>
      </c>
      <c r="J557" s="7">
        <v>161.97999999999999</v>
      </c>
      <c r="K557" s="7" t="s">
        <v>661</v>
      </c>
      <c r="L557" s="7" t="s">
        <v>656</v>
      </c>
      <c r="M557" s="8"/>
      <c r="N557">
        <f>VLOOKUP(B557,Customers!A:J,7,0)</f>
        <v>62</v>
      </c>
      <c r="O557" t="str">
        <f>VLOOKUP(B557,Customers!A:J,5,0)</f>
        <v>San Jose</v>
      </c>
      <c r="P557" t="str">
        <f>VLOOKUP(B557,Customers!A:J,10,0)</f>
        <v>Silver</v>
      </c>
      <c r="Q557" t="str">
        <f>VLOOKUP(B557,Customers!A:J,8,0)</f>
        <v>Male</v>
      </c>
      <c r="R557" t="b">
        <f t="shared" si="16"/>
        <v>1</v>
      </c>
      <c r="S557" s="18">
        <f t="shared" si="17"/>
        <v>45200</v>
      </c>
    </row>
    <row r="558" spans="1:19" x14ac:dyDescent="0.25">
      <c r="A558" s="3" t="s">
        <v>1638</v>
      </c>
      <c r="B558" s="4" t="s">
        <v>245</v>
      </c>
      <c r="C558" s="14">
        <v>44657</v>
      </c>
      <c r="D558" s="4" t="s">
        <v>659</v>
      </c>
      <c r="E558" s="4" t="s">
        <v>762</v>
      </c>
      <c r="F558" s="4">
        <v>49.99</v>
      </c>
      <c r="G558" s="4">
        <v>3</v>
      </c>
      <c r="H558" s="4">
        <v>0</v>
      </c>
      <c r="I558" s="4">
        <v>49.99</v>
      </c>
      <c r="J558" s="4">
        <v>149.97</v>
      </c>
      <c r="K558" s="4" t="s">
        <v>682</v>
      </c>
      <c r="L558" s="4" t="s">
        <v>656</v>
      </c>
      <c r="M558" s="5">
        <v>5</v>
      </c>
      <c r="N558">
        <f>VLOOKUP(B558,Customers!A:J,7,0)</f>
        <v>62</v>
      </c>
      <c r="O558" t="str">
        <f>VLOOKUP(B558,Customers!A:J,5,0)</f>
        <v>San Jose</v>
      </c>
      <c r="P558" t="str">
        <f>VLOOKUP(B558,Customers!A:J,10,0)</f>
        <v>Silver</v>
      </c>
      <c r="Q558" t="str">
        <f>VLOOKUP(B558,Customers!A:J,8,0)</f>
        <v>Male</v>
      </c>
      <c r="R558" t="b">
        <f t="shared" si="16"/>
        <v>1</v>
      </c>
      <c r="S558" s="18">
        <f t="shared" si="17"/>
        <v>44652</v>
      </c>
    </row>
    <row r="559" spans="1:19" x14ac:dyDescent="0.25">
      <c r="A559" s="6" t="s">
        <v>1639</v>
      </c>
      <c r="B559" s="7" t="s">
        <v>245</v>
      </c>
      <c r="C559" s="15">
        <v>44962</v>
      </c>
      <c r="D559" s="7" t="s">
        <v>653</v>
      </c>
      <c r="E559" s="7" t="s">
        <v>827</v>
      </c>
      <c r="F559" s="7">
        <v>29.99</v>
      </c>
      <c r="G559" s="7">
        <v>2</v>
      </c>
      <c r="H559" s="7">
        <v>20</v>
      </c>
      <c r="I559" s="7">
        <v>23.99</v>
      </c>
      <c r="J559" s="7">
        <v>47.98</v>
      </c>
      <c r="K559" s="7" t="s">
        <v>682</v>
      </c>
      <c r="L559" s="7" t="s">
        <v>693</v>
      </c>
      <c r="M559" s="8"/>
      <c r="N559">
        <f>VLOOKUP(B559,Customers!A:J,7,0)</f>
        <v>62</v>
      </c>
      <c r="O559" t="str">
        <f>VLOOKUP(B559,Customers!A:J,5,0)</f>
        <v>San Jose</v>
      </c>
      <c r="P559" t="str">
        <f>VLOOKUP(B559,Customers!A:J,10,0)</f>
        <v>Silver</v>
      </c>
      <c r="Q559" t="str">
        <f>VLOOKUP(B559,Customers!A:J,8,0)</f>
        <v>Male</v>
      </c>
      <c r="R559" t="b">
        <f t="shared" si="16"/>
        <v>1</v>
      </c>
      <c r="S559" s="18">
        <f t="shared" si="17"/>
        <v>44958</v>
      </c>
    </row>
    <row r="560" spans="1:19" x14ac:dyDescent="0.25">
      <c r="A560" s="3" t="s">
        <v>1641</v>
      </c>
      <c r="B560" s="4" t="s">
        <v>245</v>
      </c>
      <c r="C560" s="14">
        <v>44885</v>
      </c>
      <c r="D560" s="4" t="s">
        <v>710</v>
      </c>
      <c r="E560" s="4" t="s">
        <v>744</v>
      </c>
      <c r="F560" s="4">
        <v>29.99</v>
      </c>
      <c r="G560" s="4">
        <v>4</v>
      </c>
      <c r="H560" s="4">
        <v>10</v>
      </c>
      <c r="I560" s="4">
        <v>26.99</v>
      </c>
      <c r="J560" s="4">
        <v>107.96</v>
      </c>
      <c r="K560" s="4" t="s">
        <v>675</v>
      </c>
      <c r="L560" s="4" t="s">
        <v>656</v>
      </c>
      <c r="M560" s="5"/>
      <c r="N560">
        <f>VLOOKUP(B560,Customers!A:J,7,0)</f>
        <v>62</v>
      </c>
      <c r="O560" t="str">
        <f>VLOOKUP(B560,Customers!A:J,5,0)</f>
        <v>San Jose</v>
      </c>
      <c r="P560" t="str">
        <f>VLOOKUP(B560,Customers!A:J,10,0)</f>
        <v>Silver</v>
      </c>
      <c r="Q560" t="str">
        <f>VLOOKUP(B560,Customers!A:J,8,0)</f>
        <v>Male</v>
      </c>
      <c r="R560" t="b">
        <f t="shared" si="16"/>
        <v>1</v>
      </c>
      <c r="S560" s="18">
        <f t="shared" si="17"/>
        <v>44866</v>
      </c>
    </row>
    <row r="561" spans="1:19" x14ac:dyDescent="0.25">
      <c r="A561" s="6" t="s">
        <v>1643</v>
      </c>
      <c r="B561" s="7" t="s">
        <v>245</v>
      </c>
      <c r="C561" s="15">
        <v>44723</v>
      </c>
      <c r="D561" s="7" t="s">
        <v>659</v>
      </c>
      <c r="E561" s="7" t="s">
        <v>664</v>
      </c>
      <c r="F561" s="7">
        <v>24.99</v>
      </c>
      <c r="G561" s="7">
        <v>3</v>
      </c>
      <c r="H561" s="7">
        <v>20</v>
      </c>
      <c r="I561" s="7">
        <v>19.989999999999998</v>
      </c>
      <c r="J561" s="7">
        <v>59.97</v>
      </c>
      <c r="K561" s="7" t="s">
        <v>661</v>
      </c>
      <c r="L561" s="7" t="s">
        <v>788</v>
      </c>
      <c r="M561" s="8"/>
      <c r="N561">
        <f>VLOOKUP(B561,Customers!A:J,7,0)</f>
        <v>62</v>
      </c>
      <c r="O561" t="str">
        <f>VLOOKUP(B561,Customers!A:J,5,0)</f>
        <v>San Jose</v>
      </c>
      <c r="P561" t="str">
        <f>VLOOKUP(B561,Customers!A:J,10,0)</f>
        <v>Silver</v>
      </c>
      <c r="Q561" t="str">
        <f>VLOOKUP(B561,Customers!A:J,8,0)</f>
        <v>Male</v>
      </c>
      <c r="R561" t="b">
        <f t="shared" si="16"/>
        <v>1</v>
      </c>
      <c r="S561" s="18">
        <f t="shared" si="17"/>
        <v>44713</v>
      </c>
    </row>
    <row r="562" spans="1:19" x14ac:dyDescent="0.25">
      <c r="A562" s="3" t="s">
        <v>1644</v>
      </c>
      <c r="B562" s="4" t="s">
        <v>248</v>
      </c>
      <c r="C562" s="14">
        <v>44731</v>
      </c>
      <c r="D562" s="4" t="s">
        <v>680</v>
      </c>
      <c r="E562" s="4" t="s">
        <v>749</v>
      </c>
      <c r="F562" s="4">
        <v>14.99</v>
      </c>
      <c r="G562" s="4">
        <v>4</v>
      </c>
      <c r="H562" s="4">
        <v>15</v>
      </c>
      <c r="I562" s="4">
        <v>12.74</v>
      </c>
      <c r="J562" s="4">
        <v>50.96</v>
      </c>
      <c r="K562" s="4" t="s">
        <v>675</v>
      </c>
      <c r="L562" s="4" t="s">
        <v>739</v>
      </c>
      <c r="M562" s="5">
        <v>2</v>
      </c>
      <c r="N562">
        <f>VLOOKUP(B562,Customers!A:J,7,0)</f>
        <v>36</v>
      </c>
      <c r="O562" t="str">
        <f>VLOOKUP(B562,Customers!A:J,5,0)</f>
        <v>Los Angeles</v>
      </c>
      <c r="P562" t="str">
        <f>VLOOKUP(B562,Customers!A:J,10,0)</f>
        <v>Free</v>
      </c>
      <c r="Q562" t="str">
        <f>VLOOKUP(B562,Customers!A:J,8,0)</f>
        <v>Male</v>
      </c>
      <c r="R562" t="b">
        <f t="shared" si="16"/>
        <v>1</v>
      </c>
      <c r="S562" s="18">
        <f t="shared" si="17"/>
        <v>44713</v>
      </c>
    </row>
    <row r="563" spans="1:19" x14ac:dyDescent="0.25">
      <c r="A563" s="6" t="s">
        <v>1645</v>
      </c>
      <c r="B563" s="7" t="s">
        <v>248</v>
      </c>
      <c r="C563" s="15">
        <v>44868</v>
      </c>
      <c r="D563" s="7" t="s">
        <v>672</v>
      </c>
      <c r="E563" s="7" t="s">
        <v>803</v>
      </c>
      <c r="F563" s="7">
        <v>69.989999999999995</v>
      </c>
      <c r="G563" s="7">
        <v>2</v>
      </c>
      <c r="H563" s="7">
        <v>10</v>
      </c>
      <c r="I563" s="7">
        <v>62.99</v>
      </c>
      <c r="J563" s="7">
        <v>125.98</v>
      </c>
      <c r="K563" s="7" t="s">
        <v>655</v>
      </c>
      <c r="L563" s="7" t="s">
        <v>656</v>
      </c>
      <c r="M563" s="8">
        <v>5</v>
      </c>
      <c r="N563">
        <f>VLOOKUP(B563,Customers!A:J,7,0)</f>
        <v>36</v>
      </c>
      <c r="O563" t="str">
        <f>VLOOKUP(B563,Customers!A:J,5,0)</f>
        <v>Los Angeles</v>
      </c>
      <c r="P563" t="str">
        <f>VLOOKUP(B563,Customers!A:J,10,0)</f>
        <v>Free</v>
      </c>
      <c r="Q563" t="str">
        <f>VLOOKUP(B563,Customers!A:J,8,0)</f>
        <v>Male</v>
      </c>
      <c r="R563" t="b">
        <f t="shared" si="16"/>
        <v>1</v>
      </c>
      <c r="S563" s="18">
        <f t="shared" si="17"/>
        <v>44866</v>
      </c>
    </row>
    <row r="564" spans="1:19" x14ac:dyDescent="0.25">
      <c r="A564" s="3" t="s">
        <v>1646</v>
      </c>
      <c r="B564" s="4" t="s">
        <v>248</v>
      </c>
      <c r="C564" s="14">
        <v>45115</v>
      </c>
      <c r="D564" s="4" t="s">
        <v>710</v>
      </c>
      <c r="E564" s="4" t="s">
        <v>744</v>
      </c>
      <c r="F564" s="4">
        <v>29.99</v>
      </c>
      <c r="G564" s="4">
        <v>3</v>
      </c>
      <c r="H564" s="4">
        <v>10</v>
      </c>
      <c r="I564" s="4">
        <v>26.99</v>
      </c>
      <c r="J564" s="4">
        <v>80.97</v>
      </c>
      <c r="K564" s="4" t="s">
        <v>669</v>
      </c>
      <c r="L564" s="4" t="s">
        <v>656</v>
      </c>
      <c r="M564" s="5"/>
      <c r="N564">
        <f>VLOOKUP(B564,Customers!A:J,7,0)</f>
        <v>36</v>
      </c>
      <c r="O564" t="str">
        <f>VLOOKUP(B564,Customers!A:J,5,0)</f>
        <v>Los Angeles</v>
      </c>
      <c r="P564" t="str">
        <f>VLOOKUP(B564,Customers!A:J,10,0)</f>
        <v>Free</v>
      </c>
      <c r="Q564" t="str">
        <f>VLOOKUP(B564,Customers!A:J,8,0)</f>
        <v>Male</v>
      </c>
      <c r="R564" t="b">
        <f t="shared" si="16"/>
        <v>1</v>
      </c>
      <c r="S564" s="18">
        <f t="shared" si="17"/>
        <v>45108</v>
      </c>
    </row>
    <row r="565" spans="1:19" x14ac:dyDescent="0.25">
      <c r="A565" s="6" t="s">
        <v>1648</v>
      </c>
      <c r="B565" s="7" t="s">
        <v>251</v>
      </c>
      <c r="C565" s="15">
        <v>45478</v>
      </c>
      <c r="D565" s="7" t="s">
        <v>710</v>
      </c>
      <c r="E565" s="7" t="s">
        <v>711</v>
      </c>
      <c r="F565" s="7">
        <v>14.99</v>
      </c>
      <c r="G565" s="7">
        <v>2</v>
      </c>
      <c r="H565" s="7">
        <v>0</v>
      </c>
      <c r="I565" s="7">
        <v>14.99</v>
      </c>
      <c r="J565" s="7">
        <v>29.98</v>
      </c>
      <c r="K565" s="7" t="s">
        <v>669</v>
      </c>
      <c r="L565" s="7" t="s">
        <v>656</v>
      </c>
      <c r="M565" s="8">
        <v>4</v>
      </c>
      <c r="N565">
        <f>VLOOKUP(B565,Customers!A:J,7,0)</f>
        <v>43</v>
      </c>
      <c r="O565" t="str">
        <f>VLOOKUP(B565,Customers!A:J,5,0)</f>
        <v>San Diego</v>
      </c>
      <c r="P565" t="str">
        <f>VLOOKUP(B565,Customers!A:J,10,0)</f>
        <v>Gold</v>
      </c>
      <c r="Q565" t="str">
        <f>VLOOKUP(B565,Customers!A:J,8,0)</f>
        <v>Female</v>
      </c>
      <c r="R565" t="b">
        <f t="shared" si="16"/>
        <v>1</v>
      </c>
      <c r="S565" s="18">
        <f t="shared" si="17"/>
        <v>45474</v>
      </c>
    </row>
    <row r="566" spans="1:19" x14ac:dyDescent="0.25">
      <c r="A566" s="3" t="s">
        <v>1650</v>
      </c>
      <c r="B566" s="4" t="s">
        <v>251</v>
      </c>
      <c r="C566" s="14">
        <v>45192</v>
      </c>
      <c r="D566" s="4" t="s">
        <v>659</v>
      </c>
      <c r="E566" s="4" t="s">
        <v>762</v>
      </c>
      <c r="F566" s="4">
        <v>49.99</v>
      </c>
      <c r="G566" s="4">
        <v>1</v>
      </c>
      <c r="H566" s="4">
        <v>5</v>
      </c>
      <c r="I566" s="4">
        <v>47.49</v>
      </c>
      <c r="J566" s="4">
        <v>47.49</v>
      </c>
      <c r="K566" s="4" t="s">
        <v>682</v>
      </c>
      <c r="L566" s="4" t="s">
        <v>656</v>
      </c>
      <c r="M566" s="5">
        <v>4</v>
      </c>
      <c r="N566">
        <f>VLOOKUP(B566,Customers!A:J,7,0)</f>
        <v>43</v>
      </c>
      <c r="O566" t="str">
        <f>VLOOKUP(B566,Customers!A:J,5,0)</f>
        <v>San Diego</v>
      </c>
      <c r="P566" t="str">
        <f>VLOOKUP(B566,Customers!A:J,10,0)</f>
        <v>Gold</v>
      </c>
      <c r="Q566" t="str">
        <f>VLOOKUP(B566,Customers!A:J,8,0)</f>
        <v>Female</v>
      </c>
      <c r="R566" t="b">
        <f t="shared" si="16"/>
        <v>1</v>
      </c>
      <c r="S566" s="18">
        <f t="shared" si="17"/>
        <v>45170</v>
      </c>
    </row>
    <row r="567" spans="1:19" x14ac:dyDescent="0.25">
      <c r="A567" s="6" t="s">
        <v>1652</v>
      </c>
      <c r="B567" s="7" t="s">
        <v>251</v>
      </c>
      <c r="C567" s="15">
        <v>45647</v>
      </c>
      <c r="D567" s="7" t="s">
        <v>672</v>
      </c>
      <c r="E567" s="7" t="s">
        <v>735</v>
      </c>
      <c r="F567" s="7">
        <v>44.99</v>
      </c>
      <c r="G567" s="7">
        <v>2</v>
      </c>
      <c r="H567" s="7">
        <v>0</v>
      </c>
      <c r="I567" s="7">
        <v>44.99</v>
      </c>
      <c r="J567" s="7">
        <v>89.98</v>
      </c>
      <c r="K567" s="7" t="s">
        <v>669</v>
      </c>
      <c r="L567" s="7" t="s">
        <v>656</v>
      </c>
      <c r="M567" s="8">
        <v>4</v>
      </c>
      <c r="N567">
        <f>VLOOKUP(B567,Customers!A:J,7,0)</f>
        <v>43</v>
      </c>
      <c r="O567" t="str">
        <f>VLOOKUP(B567,Customers!A:J,5,0)</f>
        <v>San Diego</v>
      </c>
      <c r="P567" t="str">
        <f>VLOOKUP(B567,Customers!A:J,10,0)</f>
        <v>Gold</v>
      </c>
      <c r="Q567" t="str">
        <f>VLOOKUP(B567,Customers!A:J,8,0)</f>
        <v>Female</v>
      </c>
      <c r="R567" t="b">
        <f t="shared" si="16"/>
        <v>1</v>
      </c>
      <c r="S567" s="18">
        <f t="shared" si="17"/>
        <v>45627</v>
      </c>
    </row>
    <row r="568" spans="1:19" x14ac:dyDescent="0.25">
      <c r="A568" s="3" t="s">
        <v>1654</v>
      </c>
      <c r="B568" s="4" t="s">
        <v>251</v>
      </c>
      <c r="C568" s="14">
        <v>45493</v>
      </c>
      <c r="D568" s="4" t="s">
        <v>710</v>
      </c>
      <c r="E568" s="4" t="s">
        <v>730</v>
      </c>
      <c r="F568" s="4">
        <v>39.99</v>
      </c>
      <c r="G568" s="4">
        <v>3</v>
      </c>
      <c r="H568" s="4">
        <v>0</v>
      </c>
      <c r="I568" s="4">
        <v>39.99</v>
      </c>
      <c r="J568" s="4">
        <v>119.97</v>
      </c>
      <c r="K568" s="4" t="s">
        <v>655</v>
      </c>
      <c r="L568" s="4" t="s">
        <v>656</v>
      </c>
      <c r="M568" s="5">
        <v>5</v>
      </c>
      <c r="N568">
        <f>VLOOKUP(B568,Customers!A:J,7,0)</f>
        <v>43</v>
      </c>
      <c r="O568" t="str">
        <f>VLOOKUP(B568,Customers!A:J,5,0)</f>
        <v>San Diego</v>
      </c>
      <c r="P568" t="str">
        <f>VLOOKUP(B568,Customers!A:J,10,0)</f>
        <v>Gold</v>
      </c>
      <c r="Q568" t="str">
        <f>VLOOKUP(B568,Customers!A:J,8,0)</f>
        <v>Female</v>
      </c>
      <c r="R568" t="b">
        <f t="shared" si="16"/>
        <v>1</v>
      </c>
      <c r="S568" s="18">
        <f t="shared" si="17"/>
        <v>45474</v>
      </c>
    </row>
    <row r="569" spans="1:19" x14ac:dyDescent="0.25">
      <c r="A569" s="6" t="s">
        <v>1656</v>
      </c>
      <c r="B569" s="7" t="s">
        <v>251</v>
      </c>
      <c r="C569" s="15">
        <v>45072</v>
      </c>
      <c r="D569" s="7" t="s">
        <v>680</v>
      </c>
      <c r="E569" s="7" t="s">
        <v>749</v>
      </c>
      <c r="F569" s="7">
        <v>14.99</v>
      </c>
      <c r="G569" s="7">
        <v>2</v>
      </c>
      <c r="H569" s="7">
        <v>0</v>
      </c>
      <c r="I569" s="7">
        <v>14.99</v>
      </c>
      <c r="J569" s="7">
        <v>29.98</v>
      </c>
      <c r="K569" s="7" t="s">
        <v>675</v>
      </c>
      <c r="L569" s="7" t="s">
        <v>656</v>
      </c>
      <c r="M569" s="8">
        <v>4</v>
      </c>
      <c r="N569">
        <f>VLOOKUP(B569,Customers!A:J,7,0)</f>
        <v>43</v>
      </c>
      <c r="O569" t="str">
        <f>VLOOKUP(B569,Customers!A:J,5,0)</f>
        <v>San Diego</v>
      </c>
      <c r="P569" t="str">
        <f>VLOOKUP(B569,Customers!A:J,10,0)</f>
        <v>Gold</v>
      </c>
      <c r="Q569" t="str">
        <f>VLOOKUP(B569,Customers!A:J,8,0)</f>
        <v>Female</v>
      </c>
      <c r="R569" t="b">
        <f t="shared" si="16"/>
        <v>1</v>
      </c>
      <c r="S569" s="18">
        <f t="shared" si="17"/>
        <v>45047</v>
      </c>
    </row>
    <row r="570" spans="1:19" x14ac:dyDescent="0.25">
      <c r="A570" s="3" t="s">
        <v>1657</v>
      </c>
      <c r="B570" s="4" t="s">
        <v>251</v>
      </c>
      <c r="C570" s="14">
        <v>45187</v>
      </c>
      <c r="D570" s="4" t="s">
        <v>672</v>
      </c>
      <c r="E570" s="4" t="s">
        <v>673</v>
      </c>
      <c r="F570" s="4">
        <v>24.99</v>
      </c>
      <c r="G570" s="4">
        <v>3</v>
      </c>
      <c r="H570" s="4">
        <v>0</v>
      </c>
      <c r="I570" s="4">
        <v>24.99</v>
      </c>
      <c r="J570" s="4">
        <v>74.97</v>
      </c>
      <c r="K570" s="4" t="s">
        <v>675</v>
      </c>
      <c r="L570" s="4" t="s">
        <v>656</v>
      </c>
      <c r="M570" s="5">
        <v>4</v>
      </c>
      <c r="N570">
        <f>VLOOKUP(B570,Customers!A:J,7,0)</f>
        <v>43</v>
      </c>
      <c r="O570" t="str">
        <f>VLOOKUP(B570,Customers!A:J,5,0)</f>
        <v>San Diego</v>
      </c>
      <c r="P570" t="str">
        <f>VLOOKUP(B570,Customers!A:J,10,0)</f>
        <v>Gold</v>
      </c>
      <c r="Q570" t="str">
        <f>VLOOKUP(B570,Customers!A:J,8,0)</f>
        <v>Female</v>
      </c>
      <c r="R570" t="b">
        <f t="shared" si="16"/>
        <v>1</v>
      </c>
      <c r="S570" s="18">
        <f t="shared" si="17"/>
        <v>45170</v>
      </c>
    </row>
    <row r="571" spans="1:19" x14ac:dyDescent="0.25">
      <c r="A571" s="6" t="s">
        <v>1658</v>
      </c>
      <c r="B571" s="7" t="s">
        <v>251</v>
      </c>
      <c r="C571" s="15">
        <v>45065</v>
      </c>
      <c r="D571" s="7" t="s">
        <v>684</v>
      </c>
      <c r="E571" s="7" t="s">
        <v>705</v>
      </c>
      <c r="F571" s="7">
        <v>79.989999999999995</v>
      </c>
      <c r="G571" s="7">
        <v>1</v>
      </c>
      <c r="H571" s="7">
        <v>10</v>
      </c>
      <c r="I571" s="7">
        <v>71.989999999999995</v>
      </c>
      <c r="J571" s="7">
        <v>71.989999999999995</v>
      </c>
      <c r="K571" s="7" t="s">
        <v>661</v>
      </c>
      <c r="L571" s="7" t="s">
        <v>656</v>
      </c>
      <c r="M571" s="8"/>
      <c r="N571">
        <f>VLOOKUP(B571,Customers!A:J,7,0)</f>
        <v>43</v>
      </c>
      <c r="O571" t="str">
        <f>VLOOKUP(B571,Customers!A:J,5,0)</f>
        <v>San Diego</v>
      </c>
      <c r="P571" t="str">
        <f>VLOOKUP(B571,Customers!A:J,10,0)</f>
        <v>Gold</v>
      </c>
      <c r="Q571" t="str">
        <f>VLOOKUP(B571,Customers!A:J,8,0)</f>
        <v>Female</v>
      </c>
      <c r="R571" t="b">
        <f t="shared" si="16"/>
        <v>1</v>
      </c>
      <c r="S571" s="18">
        <f t="shared" si="17"/>
        <v>45047</v>
      </c>
    </row>
    <row r="572" spans="1:19" x14ac:dyDescent="0.25">
      <c r="A572" s="3" t="s">
        <v>1659</v>
      </c>
      <c r="B572" s="4" t="s">
        <v>254</v>
      </c>
      <c r="C572" s="14">
        <v>45202</v>
      </c>
      <c r="D572" s="4" t="s">
        <v>653</v>
      </c>
      <c r="E572" s="4" t="s">
        <v>769</v>
      </c>
      <c r="F572" s="4">
        <v>49.99</v>
      </c>
      <c r="G572" s="4">
        <v>4</v>
      </c>
      <c r="H572" s="4">
        <v>0</v>
      </c>
      <c r="I572" s="4">
        <v>49.99</v>
      </c>
      <c r="J572" s="4">
        <v>199.96</v>
      </c>
      <c r="K572" s="4" t="s">
        <v>661</v>
      </c>
      <c r="L572" s="4" t="s">
        <v>656</v>
      </c>
      <c r="M572" s="5"/>
      <c r="N572">
        <f>VLOOKUP(B572,Customers!A:J,7,0)</f>
        <v>21</v>
      </c>
      <c r="O572" t="str">
        <f>VLOOKUP(B572,Customers!A:J,5,0)</f>
        <v>Austin</v>
      </c>
      <c r="P572" t="str">
        <f>VLOOKUP(B572,Customers!A:J,10,0)</f>
        <v>Gold</v>
      </c>
      <c r="Q572" t="str">
        <f>VLOOKUP(B572,Customers!A:J,8,0)</f>
        <v>Male</v>
      </c>
      <c r="R572" t="b">
        <f t="shared" si="16"/>
        <v>1</v>
      </c>
      <c r="S572" s="18">
        <f t="shared" si="17"/>
        <v>45200</v>
      </c>
    </row>
    <row r="573" spans="1:19" x14ac:dyDescent="0.25">
      <c r="A573" s="6" t="s">
        <v>1660</v>
      </c>
      <c r="B573" s="7" t="s">
        <v>257</v>
      </c>
      <c r="C573" s="15">
        <v>45514</v>
      </c>
      <c r="D573" s="7" t="s">
        <v>680</v>
      </c>
      <c r="E573" s="7" t="s">
        <v>708</v>
      </c>
      <c r="F573" s="7">
        <v>24.99</v>
      </c>
      <c r="G573" s="7">
        <v>4</v>
      </c>
      <c r="H573" s="7">
        <v>10</v>
      </c>
      <c r="I573" s="7">
        <v>22.49</v>
      </c>
      <c r="J573" s="7">
        <v>89.96</v>
      </c>
      <c r="K573" s="7" t="s">
        <v>669</v>
      </c>
      <c r="L573" s="7" t="s">
        <v>656</v>
      </c>
      <c r="M573" s="8">
        <v>2</v>
      </c>
      <c r="N573">
        <f>VLOOKUP(B573,Customers!A:J,7,0)</f>
        <v>38</v>
      </c>
      <c r="O573" t="str">
        <f>VLOOKUP(B573,Customers!A:J,5,0)</f>
        <v>Los Angeles</v>
      </c>
      <c r="P573" t="str">
        <f>VLOOKUP(B573,Customers!A:J,10,0)</f>
        <v>Free</v>
      </c>
      <c r="Q573" t="str">
        <f>VLOOKUP(B573,Customers!A:J,8,0)</f>
        <v>Male</v>
      </c>
      <c r="R573" t="b">
        <f t="shared" si="16"/>
        <v>1</v>
      </c>
      <c r="S573" s="18">
        <f t="shared" si="17"/>
        <v>45505</v>
      </c>
    </row>
    <row r="574" spans="1:19" x14ac:dyDescent="0.25">
      <c r="A574" s="3" t="s">
        <v>1662</v>
      </c>
      <c r="B574" s="4" t="s">
        <v>257</v>
      </c>
      <c r="C574" s="14">
        <v>45037</v>
      </c>
      <c r="D574" s="4" t="s">
        <v>710</v>
      </c>
      <c r="E574" s="4" t="s">
        <v>744</v>
      </c>
      <c r="F574" s="4">
        <v>29.99</v>
      </c>
      <c r="G574" s="4">
        <v>3</v>
      </c>
      <c r="H574" s="4">
        <v>0</v>
      </c>
      <c r="I574" s="4">
        <v>29.99</v>
      </c>
      <c r="J574" s="4">
        <v>89.97</v>
      </c>
      <c r="K574" s="4" t="s">
        <v>655</v>
      </c>
      <c r="L574" s="4" t="s">
        <v>656</v>
      </c>
      <c r="M574" s="5">
        <v>4</v>
      </c>
      <c r="N574">
        <f>VLOOKUP(B574,Customers!A:J,7,0)</f>
        <v>38</v>
      </c>
      <c r="O574" t="str">
        <f>VLOOKUP(B574,Customers!A:J,5,0)</f>
        <v>Los Angeles</v>
      </c>
      <c r="P574" t="str">
        <f>VLOOKUP(B574,Customers!A:J,10,0)</f>
        <v>Free</v>
      </c>
      <c r="Q574" t="str">
        <f>VLOOKUP(B574,Customers!A:J,8,0)</f>
        <v>Male</v>
      </c>
      <c r="R574" t="b">
        <f t="shared" si="16"/>
        <v>1</v>
      </c>
      <c r="S574" s="18">
        <f t="shared" si="17"/>
        <v>45017</v>
      </c>
    </row>
    <row r="575" spans="1:19" x14ac:dyDescent="0.25">
      <c r="A575" s="6" t="s">
        <v>1664</v>
      </c>
      <c r="B575" s="7" t="s">
        <v>257</v>
      </c>
      <c r="C575" s="15">
        <v>44567</v>
      </c>
      <c r="D575" s="7" t="s">
        <v>710</v>
      </c>
      <c r="E575" s="7" t="s">
        <v>730</v>
      </c>
      <c r="F575" s="7">
        <v>39.99</v>
      </c>
      <c r="G575" s="7">
        <v>3</v>
      </c>
      <c r="H575" s="7">
        <v>0</v>
      </c>
      <c r="I575" s="7">
        <v>39.99</v>
      </c>
      <c r="J575" s="7">
        <v>119.97</v>
      </c>
      <c r="K575" s="7" t="s">
        <v>655</v>
      </c>
      <c r="L575" s="7" t="s">
        <v>656</v>
      </c>
      <c r="M575" s="8"/>
      <c r="N575">
        <f>VLOOKUP(B575,Customers!A:J,7,0)</f>
        <v>38</v>
      </c>
      <c r="O575" t="str">
        <f>VLOOKUP(B575,Customers!A:J,5,0)</f>
        <v>Los Angeles</v>
      </c>
      <c r="P575" t="str">
        <f>VLOOKUP(B575,Customers!A:J,10,0)</f>
        <v>Free</v>
      </c>
      <c r="Q575" t="str">
        <f>VLOOKUP(B575,Customers!A:J,8,0)</f>
        <v>Male</v>
      </c>
      <c r="R575" t="b">
        <f t="shared" si="16"/>
        <v>1</v>
      </c>
      <c r="S575" s="18">
        <f t="shared" si="17"/>
        <v>44562</v>
      </c>
    </row>
    <row r="576" spans="1:19" x14ac:dyDescent="0.25">
      <c r="A576" s="3" t="s">
        <v>1665</v>
      </c>
      <c r="B576" s="4" t="s">
        <v>257</v>
      </c>
      <c r="C576" s="14">
        <v>45341</v>
      </c>
      <c r="D576" s="4" t="s">
        <v>659</v>
      </c>
      <c r="E576" s="4" t="s">
        <v>820</v>
      </c>
      <c r="F576" s="4">
        <v>39.99</v>
      </c>
      <c r="G576" s="4">
        <v>4</v>
      </c>
      <c r="H576" s="4">
        <v>0</v>
      </c>
      <c r="I576" s="4">
        <v>39.99</v>
      </c>
      <c r="J576" s="4">
        <v>159.96</v>
      </c>
      <c r="K576" s="4" t="s">
        <v>661</v>
      </c>
      <c r="L576" s="4" t="s">
        <v>656</v>
      </c>
      <c r="M576" s="5"/>
      <c r="N576">
        <f>VLOOKUP(B576,Customers!A:J,7,0)</f>
        <v>38</v>
      </c>
      <c r="O576" t="str">
        <f>VLOOKUP(B576,Customers!A:J,5,0)</f>
        <v>Los Angeles</v>
      </c>
      <c r="P576" t="str">
        <f>VLOOKUP(B576,Customers!A:J,10,0)</f>
        <v>Free</v>
      </c>
      <c r="Q576" t="str">
        <f>VLOOKUP(B576,Customers!A:J,8,0)</f>
        <v>Male</v>
      </c>
      <c r="R576" t="b">
        <f t="shared" si="16"/>
        <v>1</v>
      </c>
      <c r="S576" s="18">
        <f t="shared" si="17"/>
        <v>45323</v>
      </c>
    </row>
    <row r="577" spans="1:19" x14ac:dyDescent="0.25">
      <c r="A577" s="6" t="s">
        <v>1667</v>
      </c>
      <c r="B577" s="7" t="s">
        <v>257</v>
      </c>
      <c r="C577" s="15">
        <v>45221</v>
      </c>
      <c r="D577" s="7" t="s">
        <v>684</v>
      </c>
      <c r="E577" s="7" t="s">
        <v>815</v>
      </c>
      <c r="F577" s="7">
        <v>34.99</v>
      </c>
      <c r="G577" s="7">
        <v>1</v>
      </c>
      <c r="H577" s="7">
        <v>0</v>
      </c>
      <c r="I577" s="7">
        <v>34.99</v>
      </c>
      <c r="J577" s="7">
        <v>34.99</v>
      </c>
      <c r="K577" s="7" t="s">
        <v>675</v>
      </c>
      <c r="L577" s="7" t="s">
        <v>656</v>
      </c>
      <c r="M577" s="8"/>
      <c r="N577">
        <f>VLOOKUP(B577,Customers!A:J,7,0)</f>
        <v>38</v>
      </c>
      <c r="O577" t="str">
        <f>VLOOKUP(B577,Customers!A:J,5,0)</f>
        <v>Los Angeles</v>
      </c>
      <c r="P577" t="str">
        <f>VLOOKUP(B577,Customers!A:J,10,0)</f>
        <v>Free</v>
      </c>
      <c r="Q577" t="str">
        <f>VLOOKUP(B577,Customers!A:J,8,0)</f>
        <v>Male</v>
      </c>
      <c r="R577" t="b">
        <f t="shared" si="16"/>
        <v>1</v>
      </c>
      <c r="S577" s="18">
        <f t="shared" si="17"/>
        <v>45200</v>
      </c>
    </row>
    <row r="578" spans="1:19" x14ac:dyDescent="0.25">
      <c r="A578" s="3" t="s">
        <v>1668</v>
      </c>
      <c r="B578" s="4" t="s">
        <v>257</v>
      </c>
      <c r="C578" s="14">
        <v>45063</v>
      </c>
      <c r="D578" s="4" t="s">
        <v>659</v>
      </c>
      <c r="E578" s="4" t="s">
        <v>664</v>
      </c>
      <c r="F578" s="4">
        <v>24.99</v>
      </c>
      <c r="G578" s="4">
        <v>1</v>
      </c>
      <c r="H578" s="4">
        <v>10</v>
      </c>
      <c r="I578" s="4">
        <v>22.49</v>
      </c>
      <c r="J578" s="4">
        <v>22.49</v>
      </c>
      <c r="K578" s="4" t="s">
        <v>682</v>
      </c>
      <c r="L578" s="4" t="s">
        <v>656</v>
      </c>
      <c r="M578" s="5"/>
      <c r="N578">
        <f>VLOOKUP(B578,Customers!A:J,7,0)</f>
        <v>38</v>
      </c>
      <c r="O578" t="str">
        <f>VLOOKUP(B578,Customers!A:J,5,0)</f>
        <v>Los Angeles</v>
      </c>
      <c r="P578" t="str">
        <f>VLOOKUP(B578,Customers!A:J,10,0)</f>
        <v>Free</v>
      </c>
      <c r="Q578" t="str">
        <f>VLOOKUP(B578,Customers!A:J,8,0)</f>
        <v>Male</v>
      </c>
      <c r="R578" t="b">
        <f t="shared" si="16"/>
        <v>1</v>
      </c>
      <c r="S578" s="18">
        <f t="shared" si="17"/>
        <v>45047</v>
      </c>
    </row>
    <row r="579" spans="1:19" x14ac:dyDescent="0.25">
      <c r="A579" s="6" t="s">
        <v>1669</v>
      </c>
      <c r="B579" s="7" t="s">
        <v>257</v>
      </c>
      <c r="C579" s="15">
        <v>45449</v>
      </c>
      <c r="D579" s="7" t="s">
        <v>672</v>
      </c>
      <c r="E579" s="7" t="s">
        <v>724</v>
      </c>
      <c r="F579" s="7">
        <v>89.99</v>
      </c>
      <c r="G579" s="7">
        <v>2</v>
      </c>
      <c r="H579" s="7">
        <v>10</v>
      </c>
      <c r="I579" s="7">
        <v>80.989999999999995</v>
      </c>
      <c r="J579" s="7">
        <v>161.97999999999999</v>
      </c>
      <c r="K579" s="7" t="s">
        <v>669</v>
      </c>
      <c r="L579" s="7" t="s">
        <v>656</v>
      </c>
      <c r="M579" s="8">
        <v>3</v>
      </c>
      <c r="N579">
        <f>VLOOKUP(B579,Customers!A:J,7,0)</f>
        <v>38</v>
      </c>
      <c r="O579" t="str">
        <f>VLOOKUP(B579,Customers!A:J,5,0)</f>
        <v>Los Angeles</v>
      </c>
      <c r="P579" t="str">
        <f>VLOOKUP(B579,Customers!A:J,10,0)</f>
        <v>Free</v>
      </c>
      <c r="Q579" t="str">
        <f>VLOOKUP(B579,Customers!A:J,8,0)</f>
        <v>Male</v>
      </c>
      <c r="R579" t="b">
        <f t="shared" ref="R579:R642" si="18">ISNUMBER(C579)</f>
        <v>1</v>
      </c>
      <c r="S579" s="18">
        <f t="shared" ref="S579:S642" si="19">DATE(YEAR(C579),MONTH(C579),1)</f>
        <v>45444</v>
      </c>
    </row>
    <row r="580" spans="1:19" x14ac:dyDescent="0.25">
      <c r="A580" s="3" t="s">
        <v>1671</v>
      </c>
      <c r="B580" s="4" t="s">
        <v>257</v>
      </c>
      <c r="C580" s="14">
        <v>45072</v>
      </c>
      <c r="D580" s="4" t="s">
        <v>672</v>
      </c>
      <c r="E580" s="4" t="s">
        <v>673</v>
      </c>
      <c r="F580" s="4">
        <v>24.99</v>
      </c>
      <c r="G580" s="4">
        <v>1</v>
      </c>
      <c r="H580" s="4">
        <v>15</v>
      </c>
      <c r="I580" s="4">
        <v>21.24</v>
      </c>
      <c r="J580" s="4">
        <v>21.24</v>
      </c>
      <c r="K580" s="4" t="s">
        <v>669</v>
      </c>
      <c r="L580" s="4" t="s">
        <v>656</v>
      </c>
      <c r="M580" s="5">
        <v>5</v>
      </c>
      <c r="N580">
        <f>VLOOKUP(B580,Customers!A:J,7,0)</f>
        <v>38</v>
      </c>
      <c r="O580" t="str">
        <f>VLOOKUP(B580,Customers!A:J,5,0)</f>
        <v>Los Angeles</v>
      </c>
      <c r="P580" t="str">
        <f>VLOOKUP(B580,Customers!A:J,10,0)</f>
        <v>Free</v>
      </c>
      <c r="Q580" t="str">
        <f>VLOOKUP(B580,Customers!A:J,8,0)</f>
        <v>Male</v>
      </c>
      <c r="R580" t="b">
        <f t="shared" si="18"/>
        <v>1</v>
      </c>
      <c r="S580" s="18">
        <f t="shared" si="19"/>
        <v>45047</v>
      </c>
    </row>
    <row r="581" spans="1:19" x14ac:dyDescent="0.25">
      <c r="A581" s="6" t="s">
        <v>1672</v>
      </c>
      <c r="B581" s="7" t="s">
        <v>257</v>
      </c>
      <c r="C581" s="15">
        <v>45170</v>
      </c>
      <c r="D581" s="7" t="s">
        <v>667</v>
      </c>
      <c r="E581" s="7" t="s">
        <v>668</v>
      </c>
      <c r="F581" s="7">
        <v>64.989999999999995</v>
      </c>
      <c r="G581" s="7">
        <v>3</v>
      </c>
      <c r="H581" s="7">
        <v>5</v>
      </c>
      <c r="I581" s="7">
        <v>61.74</v>
      </c>
      <c r="J581" s="7">
        <v>185.22</v>
      </c>
      <c r="K581" s="7" t="s">
        <v>655</v>
      </c>
      <c r="L581" s="7" t="s">
        <v>656</v>
      </c>
      <c r="M581" s="8">
        <v>5</v>
      </c>
      <c r="N581">
        <f>VLOOKUP(B581,Customers!A:J,7,0)</f>
        <v>38</v>
      </c>
      <c r="O581" t="str">
        <f>VLOOKUP(B581,Customers!A:J,5,0)</f>
        <v>Los Angeles</v>
      </c>
      <c r="P581" t="str">
        <f>VLOOKUP(B581,Customers!A:J,10,0)</f>
        <v>Free</v>
      </c>
      <c r="Q581" t="str">
        <f>VLOOKUP(B581,Customers!A:J,8,0)</f>
        <v>Male</v>
      </c>
      <c r="R581" t="b">
        <f t="shared" si="18"/>
        <v>1</v>
      </c>
      <c r="S581" s="18">
        <f t="shared" si="19"/>
        <v>45170</v>
      </c>
    </row>
    <row r="582" spans="1:19" x14ac:dyDescent="0.25">
      <c r="A582" s="3" t="s">
        <v>1673</v>
      </c>
      <c r="B582" s="4" t="s">
        <v>257</v>
      </c>
      <c r="C582" s="14">
        <v>45170</v>
      </c>
      <c r="D582" s="4" t="s">
        <v>684</v>
      </c>
      <c r="E582" s="4" t="s">
        <v>705</v>
      </c>
      <c r="F582" s="4">
        <v>79.989999999999995</v>
      </c>
      <c r="G582" s="4">
        <v>4</v>
      </c>
      <c r="H582" s="4">
        <v>0</v>
      </c>
      <c r="I582" s="4">
        <v>79.989999999999995</v>
      </c>
      <c r="J582" s="4">
        <v>319.95999999999998</v>
      </c>
      <c r="K582" s="4" t="s">
        <v>655</v>
      </c>
      <c r="L582" s="4" t="s">
        <v>656</v>
      </c>
      <c r="M582" s="5"/>
      <c r="N582">
        <f>VLOOKUP(B582,Customers!A:J,7,0)</f>
        <v>38</v>
      </c>
      <c r="O582" t="str">
        <f>VLOOKUP(B582,Customers!A:J,5,0)</f>
        <v>Los Angeles</v>
      </c>
      <c r="P582" t="str">
        <f>VLOOKUP(B582,Customers!A:J,10,0)</f>
        <v>Free</v>
      </c>
      <c r="Q582" t="str">
        <f>VLOOKUP(B582,Customers!A:J,8,0)</f>
        <v>Male</v>
      </c>
      <c r="R582" t="b">
        <f t="shared" si="18"/>
        <v>1</v>
      </c>
      <c r="S582" s="18">
        <f t="shared" si="19"/>
        <v>45170</v>
      </c>
    </row>
    <row r="583" spans="1:19" x14ac:dyDescent="0.25">
      <c r="A583" s="6" t="s">
        <v>1674</v>
      </c>
      <c r="B583" s="7" t="s">
        <v>257</v>
      </c>
      <c r="C583" s="15">
        <v>45631</v>
      </c>
      <c r="D583" s="7" t="s">
        <v>672</v>
      </c>
      <c r="E583" s="7" t="s">
        <v>673</v>
      </c>
      <c r="F583" s="7">
        <v>24.99</v>
      </c>
      <c r="G583" s="7">
        <v>2</v>
      </c>
      <c r="H583" s="7">
        <v>0</v>
      </c>
      <c r="I583" s="7">
        <v>24.99</v>
      </c>
      <c r="J583" s="7">
        <v>49.98</v>
      </c>
      <c r="K583" s="7" t="s">
        <v>682</v>
      </c>
      <c r="L583" s="7" t="s">
        <v>656</v>
      </c>
      <c r="M583" s="8"/>
      <c r="N583">
        <f>VLOOKUP(B583,Customers!A:J,7,0)</f>
        <v>38</v>
      </c>
      <c r="O583" t="str">
        <f>VLOOKUP(B583,Customers!A:J,5,0)</f>
        <v>Los Angeles</v>
      </c>
      <c r="P583" t="str">
        <f>VLOOKUP(B583,Customers!A:J,10,0)</f>
        <v>Free</v>
      </c>
      <c r="Q583" t="str">
        <f>VLOOKUP(B583,Customers!A:J,8,0)</f>
        <v>Male</v>
      </c>
      <c r="R583" t="b">
        <f t="shared" si="18"/>
        <v>1</v>
      </c>
      <c r="S583" s="18">
        <f t="shared" si="19"/>
        <v>45627</v>
      </c>
    </row>
    <row r="584" spans="1:19" x14ac:dyDescent="0.25">
      <c r="A584" s="3" t="s">
        <v>1676</v>
      </c>
      <c r="B584" s="4" t="s">
        <v>257</v>
      </c>
      <c r="C584" s="14">
        <v>45025</v>
      </c>
      <c r="D584" s="4" t="s">
        <v>672</v>
      </c>
      <c r="E584" s="4" t="s">
        <v>673</v>
      </c>
      <c r="F584" s="4">
        <v>24.99</v>
      </c>
      <c r="G584" s="4">
        <v>3</v>
      </c>
      <c r="H584" s="4">
        <v>0</v>
      </c>
      <c r="I584" s="4">
        <v>24.99</v>
      </c>
      <c r="J584" s="4">
        <v>74.97</v>
      </c>
      <c r="K584" s="4" t="s">
        <v>682</v>
      </c>
      <c r="L584" s="4" t="s">
        <v>656</v>
      </c>
      <c r="M584" s="5">
        <v>2</v>
      </c>
      <c r="N584">
        <f>VLOOKUP(B584,Customers!A:J,7,0)</f>
        <v>38</v>
      </c>
      <c r="O584" t="str">
        <f>VLOOKUP(B584,Customers!A:J,5,0)</f>
        <v>Los Angeles</v>
      </c>
      <c r="P584" t="str">
        <f>VLOOKUP(B584,Customers!A:J,10,0)</f>
        <v>Free</v>
      </c>
      <c r="Q584" t="str">
        <f>VLOOKUP(B584,Customers!A:J,8,0)</f>
        <v>Male</v>
      </c>
      <c r="R584" t="b">
        <f t="shared" si="18"/>
        <v>1</v>
      </c>
      <c r="S584" s="18">
        <f t="shared" si="19"/>
        <v>45017</v>
      </c>
    </row>
    <row r="585" spans="1:19" x14ac:dyDescent="0.25">
      <c r="A585" s="6" t="s">
        <v>1677</v>
      </c>
      <c r="B585" s="7" t="s">
        <v>257</v>
      </c>
      <c r="C585" s="15">
        <v>45379</v>
      </c>
      <c r="D585" s="7" t="s">
        <v>659</v>
      </c>
      <c r="E585" s="7" t="s">
        <v>660</v>
      </c>
      <c r="F585" s="7">
        <v>19.989999999999998</v>
      </c>
      <c r="G585" s="7">
        <v>2</v>
      </c>
      <c r="H585" s="7">
        <v>10</v>
      </c>
      <c r="I585" s="7">
        <v>17.989999999999998</v>
      </c>
      <c r="J585" s="7">
        <v>35.979999999999997</v>
      </c>
      <c r="K585" s="7" t="s">
        <v>661</v>
      </c>
      <c r="L585" s="7" t="s">
        <v>788</v>
      </c>
      <c r="M585" s="8">
        <v>5</v>
      </c>
      <c r="N585">
        <f>VLOOKUP(B585,Customers!A:J,7,0)</f>
        <v>38</v>
      </c>
      <c r="O585" t="str">
        <f>VLOOKUP(B585,Customers!A:J,5,0)</f>
        <v>Los Angeles</v>
      </c>
      <c r="P585" t="str">
        <f>VLOOKUP(B585,Customers!A:J,10,0)</f>
        <v>Free</v>
      </c>
      <c r="Q585" t="str">
        <f>VLOOKUP(B585,Customers!A:J,8,0)</f>
        <v>Male</v>
      </c>
      <c r="R585" t="b">
        <f t="shared" si="18"/>
        <v>1</v>
      </c>
      <c r="S585" s="18">
        <f t="shared" si="19"/>
        <v>45352</v>
      </c>
    </row>
    <row r="586" spans="1:19" x14ac:dyDescent="0.25">
      <c r="A586" s="3" t="s">
        <v>1679</v>
      </c>
      <c r="B586" s="4" t="s">
        <v>260</v>
      </c>
      <c r="C586" s="14">
        <v>44634</v>
      </c>
      <c r="D586" s="4" t="s">
        <v>684</v>
      </c>
      <c r="E586" s="4" t="s">
        <v>685</v>
      </c>
      <c r="F586" s="4">
        <v>49.99</v>
      </c>
      <c r="G586" s="4">
        <v>2</v>
      </c>
      <c r="H586" s="4">
        <v>15</v>
      </c>
      <c r="I586" s="4">
        <v>42.49</v>
      </c>
      <c r="J586" s="4">
        <v>84.98</v>
      </c>
      <c r="K586" s="4" t="s">
        <v>661</v>
      </c>
      <c r="L586" s="4" t="s">
        <v>656</v>
      </c>
      <c r="M586" s="5">
        <v>3</v>
      </c>
      <c r="N586">
        <f>VLOOKUP(B586,Customers!A:J,7,0)</f>
        <v>62</v>
      </c>
      <c r="O586" t="str">
        <f>VLOOKUP(B586,Customers!A:J,5,0)</f>
        <v>Philadelphia</v>
      </c>
      <c r="P586" t="str">
        <f>VLOOKUP(B586,Customers!A:J,10,0)</f>
        <v>Free</v>
      </c>
      <c r="Q586" t="str">
        <f>VLOOKUP(B586,Customers!A:J,8,0)</f>
        <v>Female</v>
      </c>
      <c r="R586" t="b">
        <f t="shared" si="18"/>
        <v>1</v>
      </c>
      <c r="S586" s="18">
        <f t="shared" si="19"/>
        <v>44621</v>
      </c>
    </row>
    <row r="587" spans="1:19" x14ac:dyDescent="0.25">
      <c r="A587" s="6" t="s">
        <v>1681</v>
      </c>
      <c r="B587" s="7" t="s">
        <v>263</v>
      </c>
      <c r="C587" s="15">
        <v>45244</v>
      </c>
      <c r="D587" s="7" t="s">
        <v>710</v>
      </c>
      <c r="E587" s="7" t="s">
        <v>711</v>
      </c>
      <c r="F587" s="7">
        <v>14.99</v>
      </c>
      <c r="G587" s="7">
        <v>4</v>
      </c>
      <c r="H587" s="7">
        <v>0</v>
      </c>
      <c r="I587" s="7">
        <v>14.99</v>
      </c>
      <c r="J587" s="7">
        <v>59.96</v>
      </c>
      <c r="K587" s="7" t="s">
        <v>682</v>
      </c>
      <c r="L587" s="7" t="s">
        <v>656</v>
      </c>
      <c r="M587" s="8">
        <v>5</v>
      </c>
      <c r="N587">
        <f>VLOOKUP(B587,Customers!A:J,7,0)</f>
        <v>25</v>
      </c>
      <c r="O587" t="str">
        <f>VLOOKUP(B587,Customers!A:J,5,0)</f>
        <v>Houston</v>
      </c>
      <c r="P587" t="str">
        <f>VLOOKUP(B587,Customers!A:J,10,0)</f>
        <v>Free</v>
      </c>
      <c r="Q587" t="str">
        <f>VLOOKUP(B587,Customers!A:J,8,0)</f>
        <v>Female</v>
      </c>
      <c r="R587" t="b">
        <f t="shared" si="18"/>
        <v>1</v>
      </c>
      <c r="S587" s="18">
        <f t="shared" si="19"/>
        <v>45231</v>
      </c>
    </row>
    <row r="588" spans="1:19" x14ac:dyDescent="0.25">
      <c r="A588" s="3" t="s">
        <v>1683</v>
      </c>
      <c r="B588" s="4" t="s">
        <v>263</v>
      </c>
      <c r="C588" s="14">
        <v>45222</v>
      </c>
      <c r="D588" s="4" t="s">
        <v>653</v>
      </c>
      <c r="E588" s="4" t="s">
        <v>727</v>
      </c>
      <c r="F588" s="4">
        <v>14.99</v>
      </c>
      <c r="G588" s="4">
        <v>4</v>
      </c>
      <c r="H588" s="4">
        <v>0</v>
      </c>
      <c r="I588" s="4">
        <v>14.99</v>
      </c>
      <c r="J588" s="4">
        <v>59.96</v>
      </c>
      <c r="K588" s="4" t="s">
        <v>655</v>
      </c>
      <c r="L588" s="4" t="s">
        <v>656</v>
      </c>
      <c r="M588" s="5">
        <v>4</v>
      </c>
      <c r="N588">
        <f>VLOOKUP(B588,Customers!A:J,7,0)</f>
        <v>25</v>
      </c>
      <c r="O588" t="str">
        <f>VLOOKUP(B588,Customers!A:J,5,0)</f>
        <v>Houston</v>
      </c>
      <c r="P588" t="str">
        <f>VLOOKUP(B588,Customers!A:J,10,0)</f>
        <v>Free</v>
      </c>
      <c r="Q588" t="str">
        <f>VLOOKUP(B588,Customers!A:J,8,0)</f>
        <v>Female</v>
      </c>
      <c r="R588" t="b">
        <f t="shared" si="18"/>
        <v>1</v>
      </c>
      <c r="S588" s="18">
        <f t="shared" si="19"/>
        <v>45200</v>
      </c>
    </row>
    <row r="589" spans="1:19" x14ac:dyDescent="0.25">
      <c r="A589" s="6" t="s">
        <v>1684</v>
      </c>
      <c r="B589" s="7" t="s">
        <v>263</v>
      </c>
      <c r="C589" s="15">
        <v>44852</v>
      </c>
      <c r="D589" s="7" t="s">
        <v>667</v>
      </c>
      <c r="E589" s="7" t="s">
        <v>714</v>
      </c>
      <c r="F589" s="7">
        <v>44.99</v>
      </c>
      <c r="G589" s="7">
        <v>3</v>
      </c>
      <c r="H589" s="7">
        <v>0</v>
      </c>
      <c r="I589" s="7">
        <v>44.99</v>
      </c>
      <c r="J589" s="7">
        <v>134.97</v>
      </c>
      <c r="K589" s="7" t="s">
        <v>675</v>
      </c>
      <c r="L589" s="7" t="s">
        <v>656</v>
      </c>
      <c r="M589" s="8"/>
      <c r="N589">
        <f>VLOOKUP(B589,Customers!A:J,7,0)</f>
        <v>25</v>
      </c>
      <c r="O589" t="str">
        <f>VLOOKUP(B589,Customers!A:J,5,0)</f>
        <v>Houston</v>
      </c>
      <c r="P589" t="str">
        <f>VLOOKUP(B589,Customers!A:J,10,0)</f>
        <v>Free</v>
      </c>
      <c r="Q589" t="str">
        <f>VLOOKUP(B589,Customers!A:J,8,0)</f>
        <v>Female</v>
      </c>
      <c r="R589" t="b">
        <f t="shared" si="18"/>
        <v>1</v>
      </c>
      <c r="S589" s="18">
        <f t="shared" si="19"/>
        <v>44835</v>
      </c>
    </row>
    <row r="590" spans="1:19" x14ac:dyDescent="0.25">
      <c r="A590" s="3" t="s">
        <v>1686</v>
      </c>
      <c r="B590" s="4" t="s">
        <v>263</v>
      </c>
      <c r="C590" s="14">
        <v>44613</v>
      </c>
      <c r="D590" s="4" t="s">
        <v>710</v>
      </c>
      <c r="E590" s="4" t="s">
        <v>721</v>
      </c>
      <c r="F590" s="4">
        <v>24.99</v>
      </c>
      <c r="G590" s="4">
        <v>3</v>
      </c>
      <c r="H590" s="4">
        <v>0</v>
      </c>
      <c r="I590" s="4">
        <v>24.99</v>
      </c>
      <c r="J590" s="4">
        <v>74.97</v>
      </c>
      <c r="K590" s="4" t="s">
        <v>675</v>
      </c>
      <c r="L590" s="4" t="s">
        <v>656</v>
      </c>
      <c r="M590" s="5">
        <v>3</v>
      </c>
      <c r="N590">
        <f>VLOOKUP(B590,Customers!A:J,7,0)</f>
        <v>25</v>
      </c>
      <c r="O590" t="str">
        <f>VLOOKUP(B590,Customers!A:J,5,0)</f>
        <v>Houston</v>
      </c>
      <c r="P590" t="str">
        <f>VLOOKUP(B590,Customers!A:J,10,0)</f>
        <v>Free</v>
      </c>
      <c r="Q590" t="str">
        <f>VLOOKUP(B590,Customers!A:J,8,0)</f>
        <v>Female</v>
      </c>
      <c r="R590" t="b">
        <f t="shared" si="18"/>
        <v>1</v>
      </c>
      <c r="S590" s="18">
        <f t="shared" si="19"/>
        <v>44593</v>
      </c>
    </row>
    <row r="591" spans="1:19" x14ac:dyDescent="0.25">
      <c r="A591" s="6" t="s">
        <v>1688</v>
      </c>
      <c r="B591" s="7" t="s">
        <v>263</v>
      </c>
      <c r="C591" s="15">
        <v>44779</v>
      </c>
      <c r="D591" s="7" t="s">
        <v>684</v>
      </c>
      <c r="E591" s="7" t="s">
        <v>815</v>
      </c>
      <c r="F591" s="7">
        <v>34.99</v>
      </c>
      <c r="G591" s="7">
        <v>4</v>
      </c>
      <c r="H591" s="7">
        <v>0</v>
      </c>
      <c r="I591" s="7">
        <v>34.99</v>
      </c>
      <c r="J591" s="7">
        <v>139.96</v>
      </c>
      <c r="K591" s="7" t="s">
        <v>661</v>
      </c>
      <c r="L591" s="7" t="s">
        <v>656</v>
      </c>
      <c r="M591" s="8">
        <v>5</v>
      </c>
      <c r="N591">
        <f>VLOOKUP(B591,Customers!A:J,7,0)</f>
        <v>25</v>
      </c>
      <c r="O591" t="str">
        <f>VLOOKUP(B591,Customers!A:J,5,0)</f>
        <v>Houston</v>
      </c>
      <c r="P591" t="str">
        <f>VLOOKUP(B591,Customers!A:J,10,0)</f>
        <v>Free</v>
      </c>
      <c r="Q591" t="str">
        <f>VLOOKUP(B591,Customers!A:J,8,0)</f>
        <v>Female</v>
      </c>
      <c r="R591" t="b">
        <f t="shared" si="18"/>
        <v>1</v>
      </c>
      <c r="S591" s="18">
        <f t="shared" si="19"/>
        <v>44774</v>
      </c>
    </row>
    <row r="592" spans="1:19" x14ac:dyDescent="0.25">
      <c r="A592" s="3" t="s">
        <v>1689</v>
      </c>
      <c r="B592" s="4" t="s">
        <v>263</v>
      </c>
      <c r="C592" s="14">
        <v>45419</v>
      </c>
      <c r="D592" s="4" t="s">
        <v>667</v>
      </c>
      <c r="E592" s="4" t="s">
        <v>699</v>
      </c>
      <c r="F592" s="4">
        <v>89.99</v>
      </c>
      <c r="G592" s="4">
        <v>1</v>
      </c>
      <c r="H592" s="4">
        <v>0</v>
      </c>
      <c r="I592" s="4">
        <v>89.99</v>
      </c>
      <c r="J592" s="4">
        <v>89.99</v>
      </c>
      <c r="K592" s="4" t="s">
        <v>655</v>
      </c>
      <c r="L592" s="4" t="s">
        <v>693</v>
      </c>
      <c r="M592" s="5">
        <v>4</v>
      </c>
      <c r="N592">
        <f>VLOOKUP(B592,Customers!A:J,7,0)</f>
        <v>25</v>
      </c>
      <c r="O592" t="str">
        <f>VLOOKUP(B592,Customers!A:J,5,0)</f>
        <v>Houston</v>
      </c>
      <c r="P592" t="str">
        <f>VLOOKUP(B592,Customers!A:J,10,0)</f>
        <v>Free</v>
      </c>
      <c r="Q592" t="str">
        <f>VLOOKUP(B592,Customers!A:J,8,0)</f>
        <v>Female</v>
      </c>
      <c r="R592" t="b">
        <f t="shared" si="18"/>
        <v>1</v>
      </c>
      <c r="S592" s="18">
        <f t="shared" si="19"/>
        <v>45413</v>
      </c>
    </row>
    <row r="593" spans="1:19" x14ac:dyDescent="0.25">
      <c r="A593" s="6" t="s">
        <v>1691</v>
      </c>
      <c r="B593" s="7" t="s">
        <v>263</v>
      </c>
      <c r="C593" s="15">
        <v>44705</v>
      </c>
      <c r="D593" s="7" t="s">
        <v>680</v>
      </c>
      <c r="E593" s="7" t="s">
        <v>708</v>
      </c>
      <c r="F593" s="7">
        <v>24.99</v>
      </c>
      <c r="G593" s="7">
        <v>4</v>
      </c>
      <c r="H593" s="7">
        <v>15</v>
      </c>
      <c r="I593" s="7">
        <v>21.24</v>
      </c>
      <c r="J593" s="7">
        <v>84.96</v>
      </c>
      <c r="K593" s="7" t="s">
        <v>655</v>
      </c>
      <c r="L593" s="7" t="s">
        <v>656</v>
      </c>
      <c r="M593" s="8"/>
      <c r="N593">
        <f>VLOOKUP(B593,Customers!A:J,7,0)</f>
        <v>25</v>
      </c>
      <c r="O593" t="str">
        <f>VLOOKUP(B593,Customers!A:J,5,0)</f>
        <v>Houston</v>
      </c>
      <c r="P593" t="str">
        <f>VLOOKUP(B593,Customers!A:J,10,0)</f>
        <v>Free</v>
      </c>
      <c r="Q593" t="str">
        <f>VLOOKUP(B593,Customers!A:J,8,0)</f>
        <v>Female</v>
      </c>
      <c r="R593" t="b">
        <f t="shared" si="18"/>
        <v>1</v>
      </c>
      <c r="S593" s="18">
        <f t="shared" si="19"/>
        <v>44682</v>
      </c>
    </row>
    <row r="594" spans="1:19" x14ac:dyDescent="0.25">
      <c r="A594" s="3" t="s">
        <v>1693</v>
      </c>
      <c r="B594" s="4" t="s">
        <v>263</v>
      </c>
      <c r="C594" s="14">
        <v>45078</v>
      </c>
      <c r="D594" s="4" t="s">
        <v>653</v>
      </c>
      <c r="E594" s="4" t="s">
        <v>769</v>
      </c>
      <c r="F594" s="4">
        <v>49.99</v>
      </c>
      <c r="G594" s="4">
        <v>1</v>
      </c>
      <c r="H594" s="4">
        <v>10</v>
      </c>
      <c r="I594" s="4">
        <v>44.99</v>
      </c>
      <c r="J594" s="4">
        <v>44.99</v>
      </c>
      <c r="K594" s="4" t="s">
        <v>669</v>
      </c>
      <c r="L594" s="4" t="s">
        <v>656</v>
      </c>
      <c r="M594" s="5"/>
      <c r="N594">
        <f>VLOOKUP(B594,Customers!A:J,7,0)</f>
        <v>25</v>
      </c>
      <c r="O594" t="str">
        <f>VLOOKUP(B594,Customers!A:J,5,0)</f>
        <v>Houston</v>
      </c>
      <c r="P594" t="str">
        <f>VLOOKUP(B594,Customers!A:J,10,0)</f>
        <v>Free</v>
      </c>
      <c r="Q594" t="str">
        <f>VLOOKUP(B594,Customers!A:J,8,0)</f>
        <v>Female</v>
      </c>
      <c r="R594" t="b">
        <f t="shared" si="18"/>
        <v>1</v>
      </c>
      <c r="S594" s="18">
        <f t="shared" si="19"/>
        <v>45078</v>
      </c>
    </row>
    <row r="595" spans="1:19" x14ac:dyDescent="0.25">
      <c r="A595" s="6" t="s">
        <v>1694</v>
      </c>
      <c r="B595" s="7" t="s">
        <v>263</v>
      </c>
      <c r="C595" s="15">
        <v>44694</v>
      </c>
      <c r="D595" s="7" t="s">
        <v>667</v>
      </c>
      <c r="E595" s="7" t="s">
        <v>696</v>
      </c>
      <c r="F595" s="7">
        <v>59.99</v>
      </c>
      <c r="G595" s="7">
        <v>3</v>
      </c>
      <c r="H595" s="7">
        <v>5</v>
      </c>
      <c r="I595" s="7">
        <v>56.99</v>
      </c>
      <c r="J595" s="7">
        <v>170.97</v>
      </c>
      <c r="K595" s="7" t="s">
        <v>675</v>
      </c>
      <c r="L595" s="7" t="s">
        <v>693</v>
      </c>
      <c r="M595" s="8">
        <v>5</v>
      </c>
      <c r="N595">
        <f>VLOOKUP(B595,Customers!A:J,7,0)</f>
        <v>25</v>
      </c>
      <c r="O595" t="str">
        <f>VLOOKUP(B595,Customers!A:J,5,0)</f>
        <v>Houston</v>
      </c>
      <c r="P595" t="str">
        <f>VLOOKUP(B595,Customers!A:J,10,0)</f>
        <v>Free</v>
      </c>
      <c r="Q595" t="str">
        <f>VLOOKUP(B595,Customers!A:J,8,0)</f>
        <v>Female</v>
      </c>
      <c r="R595" t="b">
        <f t="shared" si="18"/>
        <v>1</v>
      </c>
      <c r="S595" s="18">
        <f t="shared" si="19"/>
        <v>44682</v>
      </c>
    </row>
    <row r="596" spans="1:19" x14ac:dyDescent="0.25">
      <c r="A596" s="3" t="s">
        <v>1695</v>
      </c>
      <c r="B596" s="4" t="s">
        <v>263</v>
      </c>
      <c r="C596" s="14">
        <v>45021</v>
      </c>
      <c r="D596" s="4" t="s">
        <v>710</v>
      </c>
      <c r="E596" s="4" t="s">
        <v>730</v>
      </c>
      <c r="F596" s="4">
        <v>39.99</v>
      </c>
      <c r="G596" s="4">
        <v>2</v>
      </c>
      <c r="H596" s="4">
        <v>10</v>
      </c>
      <c r="I596" s="4">
        <v>35.99</v>
      </c>
      <c r="J596" s="4">
        <v>71.98</v>
      </c>
      <c r="K596" s="4" t="s">
        <v>669</v>
      </c>
      <c r="L596" s="4" t="s">
        <v>656</v>
      </c>
      <c r="M596" s="5">
        <v>5</v>
      </c>
      <c r="N596">
        <f>VLOOKUP(B596,Customers!A:J,7,0)</f>
        <v>25</v>
      </c>
      <c r="O596" t="str">
        <f>VLOOKUP(B596,Customers!A:J,5,0)</f>
        <v>Houston</v>
      </c>
      <c r="P596" t="str">
        <f>VLOOKUP(B596,Customers!A:J,10,0)</f>
        <v>Free</v>
      </c>
      <c r="Q596" t="str">
        <f>VLOOKUP(B596,Customers!A:J,8,0)</f>
        <v>Female</v>
      </c>
      <c r="R596" t="b">
        <f t="shared" si="18"/>
        <v>1</v>
      </c>
      <c r="S596" s="18">
        <f t="shared" si="19"/>
        <v>45017</v>
      </c>
    </row>
    <row r="597" spans="1:19" x14ac:dyDescent="0.25">
      <c r="A597" s="6" t="s">
        <v>1696</v>
      </c>
      <c r="B597" s="7" t="s">
        <v>263</v>
      </c>
      <c r="C597" s="15">
        <v>45258</v>
      </c>
      <c r="D597" s="7" t="s">
        <v>659</v>
      </c>
      <c r="E597" s="7" t="s">
        <v>820</v>
      </c>
      <c r="F597" s="7">
        <v>39.99</v>
      </c>
      <c r="G597" s="7">
        <v>2</v>
      </c>
      <c r="H597" s="7">
        <v>20</v>
      </c>
      <c r="I597" s="7">
        <v>31.99</v>
      </c>
      <c r="J597" s="7">
        <v>63.98</v>
      </c>
      <c r="K597" s="7" t="s">
        <v>655</v>
      </c>
      <c r="L597" s="7" t="s">
        <v>656</v>
      </c>
      <c r="M597" s="8">
        <v>4</v>
      </c>
      <c r="N597">
        <f>VLOOKUP(B597,Customers!A:J,7,0)</f>
        <v>25</v>
      </c>
      <c r="O597" t="str">
        <f>VLOOKUP(B597,Customers!A:J,5,0)</f>
        <v>Houston</v>
      </c>
      <c r="P597" t="str">
        <f>VLOOKUP(B597,Customers!A:J,10,0)</f>
        <v>Free</v>
      </c>
      <c r="Q597" t="str">
        <f>VLOOKUP(B597,Customers!A:J,8,0)</f>
        <v>Female</v>
      </c>
      <c r="R597" t="b">
        <f t="shared" si="18"/>
        <v>1</v>
      </c>
      <c r="S597" s="18">
        <f t="shared" si="19"/>
        <v>45231</v>
      </c>
    </row>
    <row r="598" spans="1:19" x14ac:dyDescent="0.25">
      <c r="A598" s="3" t="s">
        <v>1697</v>
      </c>
      <c r="B598" s="4" t="s">
        <v>266</v>
      </c>
      <c r="C598" s="14">
        <v>44978</v>
      </c>
      <c r="D598" s="4" t="s">
        <v>667</v>
      </c>
      <c r="E598" s="4" t="s">
        <v>696</v>
      </c>
      <c r="F598" s="4">
        <v>59.99</v>
      </c>
      <c r="G598" s="4">
        <v>3</v>
      </c>
      <c r="H598" s="4">
        <v>20</v>
      </c>
      <c r="I598" s="4">
        <v>47.99</v>
      </c>
      <c r="J598" s="4">
        <v>143.97</v>
      </c>
      <c r="K598" s="4" t="s">
        <v>661</v>
      </c>
      <c r="L598" s="4" t="s">
        <v>656</v>
      </c>
      <c r="M598" s="5">
        <v>1</v>
      </c>
      <c r="N598">
        <f>VLOOKUP(B598,Customers!A:J,7,0)</f>
        <v>37</v>
      </c>
      <c r="O598" t="str">
        <f>VLOOKUP(B598,Customers!A:J,5,0)</f>
        <v>Austin</v>
      </c>
      <c r="P598" t="str">
        <f>VLOOKUP(B598,Customers!A:J,10,0)</f>
        <v>Silver</v>
      </c>
      <c r="Q598" t="str">
        <f>VLOOKUP(B598,Customers!A:J,8,0)</f>
        <v>Male</v>
      </c>
      <c r="R598" t="b">
        <f t="shared" si="18"/>
        <v>1</v>
      </c>
      <c r="S598" s="18">
        <f t="shared" si="19"/>
        <v>44958</v>
      </c>
    </row>
    <row r="599" spans="1:19" x14ac:dyDescent="0.25">
      <c r="A599" s="6" t="s">
        <v>1698</v>
      </c>
      <c r="B599" s="7" t="s">
        <v>266</v>
      </c>
      <c r="C599" s="15">
        <v>45305</v>
      </c>
      <c r="D599" s="7" t="s">
        <v>680</v>
      </c>
      <c r="E599" s="7" t="s">
        <v>708</v>
      </c>
      <c r="F599" s="7">
        <v>24.99</v>
      </c>
      <c r="G599" s="7">
        <v>4</v>
      </c>
      <c r="H599" s="7">
        <v>10</v>
      </c>
      <c r="I599" s="7">
        <v>22.49</v>
      </c>
      <c r="J599" s="7">
        <v>89.96</v>
      </c>
      <c r="K599" s="7" t="s">
        <v>655</v>
      </c>
      <c r="L599" s="7" t="s">
        <v>656</v>
      </c>
      <c r="M599" s="8"/>
      <c r="N599">
        <f>VLOOKUP(B599,Customers!A:J,7,0)</f>
        <v>37</v>
      </c>
      <c r="O599" t="str">
        <f>VLOOKUP(B599,Customers!A:J,5,0)</f>
        <v>Austin</v>
      </c>
      <c r="P599" t="str">
        <f>VLOOKUP(B599,Customers!A:J,10,0)</f>
        <v>Silver</v>
      </c>
      <c r="Q599" t="str">
        <f>VLOOKUP(B599,Customers!A:J,8,0)</f>
        <v>Male</v>
      </c>
      <c r="R599" t="b">
        <f t="shared" si="18"/>
        <v>1</v>
      </c>
      <c r="S599" s="18">
        <f t="shared" si="19"/>
        <v>45292</v>
      </c>
    </row>
    <row r="600" spans="1:19" x14ac:dyDescent="0.25">
      <c r="A600" s="3" t="s">
        <v>1700</v>
      </c>
      <c r="B600" s="4" t="s">
        <v>266</v>
      </c>
      <c r="C600" s="14">
        <v>45396</v>
      </c>
      <c r="D600" s="4" t="s">
        <v>680</v>
      </c>
      <c r="E600" s="4" t="s">
        <v>708</v>
      </c>
      <c r="F600" s="4">
        <v>24.99</v>
      </c>
      <c r="G600" s="4">
        <v>4</v>
      </c>
      <c r="H600" s="4">
        <v>0</v>
      </c>
      <c r="I600" s="4">
        <v>24.99</v>
      </c>
      <c r="J600" s="4">
        <v>99.96</v>
      </c>
      <c r="K600" s="4" t="s">
        <v>682</v>
      </c>
      <c r="L600" s="4" t="s">
        <v>656</v>
      </c>
      <c r="M600" s="5"/>
      <c r="N600">
        <f>VLOOKUP(B600,Customers!A:J,7,0)</f>
        <v>37</v>
      </c>
      <c r="O600" t="str">
        <f>VLOOKUP(B600,Customers!A:J,5,0)</f>
        <v>Austin</v>
      </c>
      <c r="P600" t="str">
        <f>VLOOKUP(B600,Customers!A:J,10,0)</f>
        <v>Silver</v>
      </c>
      <c r="Q600" t="str">
        <f>VLOOKUP(B600,Customers!A:J,8,0)</f>
        <v>Male</v>
      </c>
      <c r="R600" t="b">
        <f t="shared" si="18"/>
        <v>1</v>
      </c>
      <c r="S600" s="18">
        <f t="shared" si="19"/>
        <v>45383</v>
      </c>
    </row>
    <row r="601" spans="1:19" x14ac:dyDescent="0.25">
      <c r="A601" s="6" t="s">
        <v>1701</v>
      </c>
      <c r="B601" s="7" t="s">
        <v>266</v>
      </c>
      <c r="C601" s="15">
        <v>45560</v>
      </c>
      <c r="D601" s="7" t="s">
        <v>667</v>
      </c>
      <c r="E601" s="7" t="s">
        <v>696</v>
      </c>
      <c r="F601" s="7">
        <v>59.99</v>
      </c>
      <c r="G601" s="7">
        <v>1</v>
      </c>
      <c r="H601" s="7">
        <v>15</v>
      </c>
      <c r="I601" s="7">
        <v>50.99</v>
      </c>
      <c r="J601" s="7">
        <v>50.99</v>
      </c>
      <c r="K601" s="7" t="s">
        <v>682</v>
      </c>
      <c r="L601" s="7" t="s">
        <v>656</v>
      </c>
      <c r="M601" s="8">
        <v>5</v>
      </c>
      <c r="N601">
        <f>VLOOKUP(B601,Customers!A:J,7,0)</f>
        <v>37</v>
      </c>
      <c r="O601" t="str">
        <f>VLOOKUP(B601,Customers!A:J,5,0)</f>
        <v>Austin</v>
      </c>
      <c r="P601" t="str">
        <f>VLOOKUP(B601,Customers!A:J,10,0)</f>
        <v>Silver</v>
      </c>
      <c r="Q601" t="str">
        <f>VLOOKUP(B601,Customers!A:J,8,0)</f>
        <v>Male</v>
      </c>
      <c r="R601" t="b">
        <f t="shared" si="18"/>
        <v>1</v>
      </c>
      <c r="S601" s="18">
        <f t="shared" si="19"/>
        <v>45536</v>
      </c>
    </row>
    <row r="602" spans="1:19" x14ac:dyDescent="0.25">
      <c r="A602" s="3" t="s">
        <v>1702</v>
      </c>
      <c r="B602" s="4" t="s">
        <v>266</v>
      </c>
      <c r="C602" s="14">
        <v>44968</v>
      </c>
      <c r="D602" s="4" t="s">
        <v>710</v>
      </c>
      <c r="E602" s="4" t="s">
        <v>721</v>
      </c>
      <c r="F602" s="4">
        <v>24.99</v>
      </c>
      <c r="G602" s="4">
        <v>2</v>
      </c>
      <c r="H602" s="4">
        <v>15</v>
      </c>
      <c r="I602" s="4">
        <v>21.24</v>
      </c>
      <c r="J602" s="4">
        <v>42.48</v>
      </c>
      <c r="K602" s="4" t="s">
        <v>661</v>
      </c>
      <c r="L602" s="4" t="s">
        <v>788</v>
      </c>
      <c r="M602" s="5">
        <v>4</v>
      </c>
      <c r="N602">
        <f>VLOOKUP(B602,Customers!A:J,7,0)</f>
        <v>37</v>
      </c>
      <c r="O602" t="str">
        <f>VLOOKUP(B602,Customers!A:J,5,0)</f>
        <v>Austin</v>
      </c>
      <c r="P602" t="str">
        <f>VLOOKUP(B602,Customers!A:J,10,0)</f>
        <v>Silver</v>
      </c>
      <c r="Q602" t="str">
        <f>VLOOKUP(B602,Customers!A:J,8,0)</f>
        <v>Male</v>
      </c>
      <c r="R602" t="b">
        <f t="shared" si="18"/>
        <v>1</v>
      </c>
      <c r="S602" s="18">
        <f t="shared" si="19"/>
        <v>44958</v>
      </c>
    </row>
    <row r="603" spans="1:19" x14ac:dyDescent="0.25">
      <c r="A603" s="6" t="s">
        <v>1703</v>
      </c>
      <c r="B603" s="7" t="s">
        <v>266</v>
      </c>
      <c r="C603" s="15">
        <v>44645</v>
      </c>
      <c r="D603" s="7" t="s">
        <v>672</v>
      </c>
      <c r="E603" s="7" t="s">
        <v>673</v>
      </c>
      <c r="F603" s="7">
        <v>24.99</v>
      </c>
      <c r="G603" s="7">
        <v>2</v>
      </c>
      <c r="H603" s="7">
        <v>10</v>
      </c>
      <c r="I603" s="7">
        <v>22.49</v>
      </c>
      <c r="J603" s="7">
        <v>44.98</v>
      </c>
      <c r="K603" s="7" t="s">
        <v>655</v>
      </c>
      <c r="L603" s="7" t="s">
        <v>656</v>
      </c>
      <c r="M603" s="8"/>
      <c r="N603">
        <f>VLOOKUP(B603,Customers!A:J,7,0)</f>
        <v>37</v>
      </c>
      <c r="O603" t="str">
        <f>VLOOKUP(B603,Customers!A:J,5,0)</f>
        <v>Austin</v>
      </c>
      <c r="P603" t="str">
        <f>VLOOKUP(B603,Customers!A:J,10,0)</f>
        <v>Silver</v>
      </c>
      <c r="Q603" t="str">
        <f>VLOOKUP(B603,Customers!A:J,8,0)</f>
        <v>Male</v>
      </c>
      <c r="R603" t="b">
        <f t="shared" si="18"/>
        <v>1</v>
      </c>
      <c r="S603" s="18">
        <f t="shared" si="19"/>
        <v>44621</v>
      </c>
    </row>
    <row r="604" spans="1:19" x14ac:dyDescent="0.25">
      <c r="A604" s="3" t="s">
        <v>1705</v>
      </c>
      <c r="B604" s="4" t="s">
        <v>266</v>
      </c>
      <c r="C604" s="14">
        <v>45462</v>
      </c>
      <c r="D604" s="4" t="s">
        <v>659</v>
      </c>
      <c r="E604" s="4" t="s">
        <v>664</v>
      </c>
      <c r="F604" s="4">
        <v>24.99</v>
      </c>
      <c r="G604" s="4">
        <v>2</v>
      </c>
      <c r="H604" s="4">
        <v>0</v>
      </c>
      <c r="I604" s="4">
        <v>24.99</v>
      </c>
      <c r="J604" s="4">
        <v>49.98</v>
      </c>
      <c r="K604" s="4" t="s">
        <v>682</v>
      </c>
      <c r="L604" s="4" t="s">
        <v>656</v>
      </c>
      <c r="M604" s="5">
        <v>5</v>
      </c>
      <c r="N604">
        <f>VLOOKUP(B604,Customers!A:J,7,0)</f>
        <v>37</v>
      </c>
      <c r="O604" t="str">
        <f>VLOOKUP(B604,Customers!A:J,5,0)</f>
        <v>Austin</v>
      </c>
      <c r="P604" t="str">
        <f>VLOOKUP(B604,Customers!A:J,10,0)</f>
        <v>Silver</v>
      </c>
      <c r="Q604" t="str">
        <f>VLOOKUP(B604,Customers!A:J,8,0)</f>
        <v>Male</v>
      </c>
      <c r="R604" t="b">
        <f t="shared" si="18"/>
        <v>1</v>
      </c>
      <c r="S604" s="18">
        <f t="shared" si="19"/>
        <v>45444</v>
      </c>
    </row>
    <row r="605" spans="1:19" x14ac:dyDescent="0.25">
      <c r="A605" s="6" t="s">
        <v>1707</v>
      </c>
      <c r="B605" s="7" t="s">
        <v>266</v>
      </c>
      <c r="C605" s="15">
        <v>44669</v>
      </c>
      <c r="D605" s="7" t="s">
        <v>672</v>
      </c>
      <c r="E605" s="7" t="s">
        <v>724</v>
      </c>
      <c r="F605" s="7">
        <v>89.99</v>
      </c>
      <c r="G605" s="7">
        <v>1</v>
      </c>
      <c r="H605" s="7">
        <v>10</v>
      </c>
      <c r="I605" s="7">
        <v>80.989999999999995</v>
      </c>
      <c r="J605" s="7">
        <v>80.989999999999995</v>
      </c>
      <c r="K605" s="7" t="s">
        <v>669</v>
      </c>
      <c r="L605" s="7" t="s">
        <v>656</v>
      </c>
      <c r="M605" s="8">
        <v>5</v>
      </c>
      <c r="N605">
        <f>VLOOKUP(B605,Customers!A:J,7,0)</f>
        <v>37</v>
      </c>
      <c r="O605" t="str">
        <f>VLOOKUP(B605,Customers!A:J,5,0)</f>
        <v>Austin</v>
      </c>
      <c r="P605" t="str">
        <f>VLOOKUP(B605,Customers!A:J,10,0)</f>
        <v>Silver</v>
      </c>
      <c r="Q605" t="str">
        <f>VLOOKUP(B605,Customers!A:J,8,0)</f>
        <v>Male</v>
      </c>
      <c r="R605" t="b">
        <f t="shared" si="18"/>
        <v>1</v>
      </c>
      <c r="S605" s="18">
        <f t="shared" si="19"/>
        <v>44652</v>
      </c>
    </row>
    <row r="606" spans="1:19" x14ac:dyDescent="0.25">
      <c r="A606" s="3" t="s">
        <v>1709</v>
      </c>
      <c r="B606" s="4" t="s">
        <v>266</v>
      </c>
      <c r="C606" s="14">
        <v>44658</v>
      </c>
      <c r="D606" s="4" t="s">
        <v>672</v>
      </c>
      <c r="E606" s="4" t="s">
        <v>724</v>
      </c>
      <c r="F606" s="4">
        <v>89.99</v>
      </c>
      <c r="G606" s="4">
        <v>1</v>
      </c>
      <c r="H606" s="4">
        <v>0</v>
      </c>
      <c r="I606" s="4">
        <v>89.99</v>
      </c>
      <c r="J606" s="4">
        <v>89.99</v>
      </c>
      <c r="K606" s="4" t="s">
        <v>682</v>
      </c>
      <c r="L606" s="4" t="s">
        <v>656</v>
      </c>
      <c r="M606" s="5">
        <v>4</v>
      </c>
      <c r="N606">
        <f>VLOOKUP(B606,Customers!A:J,7,0)</f>
        <v>37</v>
      </c>
      <c r="O606" t="str">
        <f>VLOOKUP(B606,Customers!A:J,5,0)</f>
        <v>Austin</v>
      </c>
      <c r="P606" t="str">
        <f>VLOOKUP(B606,Customers!A:J,10,0)</f>
        <v>Silver</v>
      </c>
      <c r="Q606" t="str">
        <f>VLOOKUP(B606,Customers!A:J,8,0)</f>
        <v>Male</v>
      </c>
      <c r="R606" t="b">
        <f t="shared" si="18"/>
        <v>1</v>
      </c>
      <c r="S606" s="18">
        <f t="shared" si="19"/>
        <v>44652</v>
      </c>
    </row>
    <row r="607" spans="1:19" x14ac:dyDescent="0.25">
      <c r="A607" s="6" t="s">
        <v>1710</v>
      </c>
      <c r="B607" s="7" t="s">
        <v>266</v>
      </c>
      <c r="C607" s="15">
        <v>45364</v>
      </c>
      <c r="D607" s="7" t="s">
        <v>667</v>
      </c>
      <c r="E607" s="7" t="s">
        <v>668</v>
      </c>
      <c r="F607" s="7">
        <v>64.989999999999995</v>
      </c>
      <c r="G607" s="7">
        <v>2</v>
      </c>
      <c r="H607" s="7">
        <v>5</v>
      </c>
      <c r="I607" s="7">
        <v>61.74</v>
      </c>
      <c r="J607" s="7">
        <v>123.48</v>
      </c>
      <c r="K607" s="7" t="s">
        <v>675</v>
      </c>
      <c r="L607" s="7" t="s">
        <v>739</v>
      </c>
      <c r="M607" s="8">
        <v>5</v>
      </c>
      <c r="N607">
        <f>VLOOKUP(B607,Customers!A:J,7,0)</f>
        <v>37</v>
      </c>
      <c r="O607" t="str">
        <f>VLOOKUP(B607,Customers!A:J,5,0)</f>
        <v>Austin</v>
      </c>
      <c r="P607" t="str">
        <f>VLOOKUP(B607,Customers!A:J,10,0)</f>
        <v>Silver</v>
      </c>
      <c r="Q607" t="str">
        <f>VLOOKUP(B607,Customers!A:J,8,0)</f>
        <v>Male</v>
      </c>
      <c r="R607" t="b">
        <f t="shared" si="18"/>
        <v>1</v>
      </c>
      <c r="S607" s="18">
        <f t="shared" si="19"/>
        <v>45352</v>
      </c>
    </row>
    <row r="608" spans="1:19" x14ac:dyDescent="0.25">
      <c r="A608" s="3" t="s">
        <v>1711</v>
      </c>
      <c r="B608" s="4" t="s">
        <v>266</v>
      </c>
      <c r="C608" s="14">
        <v>45063</v>
      </c>
      <c r="D608" s="4" t="s">
        <v>710</v>
      </c>
      <c r="E608" s="4" t="s">
        <v>730</v>
      </c>
      <c r="F608" s="4">
        <v>39.99</v>
      </c>
      <c r="G608" s="4">
        <v>3</v>
      </c>
      <c r="H608" s="4">
        <v>5</v>
      </c>
      <c r="I608" s="4">
        <v>37.99</v>
      </c>
      <c r="J608" s="4">
        <v>113.97</v>
      </c>
      <c r="K608" s="4" t="s">
        <v>661</v>
      </c>
      <c r="L608" s="4" t="s">
        <v>656</v>
      </c>
      <c r="M608" s="5">
        <v>5</v>
      </c>
      <c r="N608">
        <f>VLOOKUP(B608,Customers!A:J,7,0)</f>
        <v>37</v>
      </c>
      <c r="O608" t="str">
        <f>VLOOKUP(B608,Customers!A:J,5,0)</f>
        <v>Austin</v>
      </c>
      <c r="P608" t="str">
        <f>VLOOKUP(B608,Customers!A:J,10,0)</f>
        <v>Silver</v>
      </c>
      <c r="Q608" t="str">
        <f>VLOOKUP(B608,Customers!A:J,8,0)</f>
        <v>Male</v>
      </c>
      <c r="R608" t="b">
        <f t="shared" si="18"/>
        <v>1</v>
      </c>
      <c r="S608" s="18">
        <f t="shared" si="19"/>
        <v>45047</v>
      </c>
    </row>
    <row r="609" spans="1:19" x14ac:dyDescent="0.25">
      <c r="A609" s="6" t="s">
        <v>1712</v>
      </c>
      <c r="B609" s="7" t="s">
        <v>266</v>
      </c>
      <c r="C609" s="15">
        <v>44750</v>
      </c>
      <c r="D609" s="7" t="s">
        <v>680</v>
      </c>
      <c r="E609" s="7" t="s">
        <v>688</v>
      </c>
      <c r="F609" s="7">
        <v>29.99</v>
      </c>
      <c r="G609" s="7">
        <v>4</v>
      </c>
      <c r="H609" s="7">
        <v>15</v>
      </c>
      <c r="I609" s="7">
        <v>25.49</v>
      </c>
      <c r="J609" s="7">
        <v>101.96</v>
      </c>
      <c r="K609" s="7" t="s">
        <v>682</v>
      </c>
      <c r="L609" s="7" t="s">
        <v>656</v>
      </c>
      <c r="M609" s="8">
        <v>4</v>
      </c>
      <c r="N609">
        <f>VLOOKUP(B609,Customers!A:J,7,0)</f>
        <v>37</v>
      </c>
      <c r="O609" t="str">
        <f>VLOOKUP(B609,Customers!A:J,5,0)</f>
        <v>Austin</v>
      </c>
      <c r="P609" t="str">
        <f>VLOOKUP(B609,Customers!A:J,10,0)</f>
        <v>Silver</v>
      </c>
      <c r="Q609" t="str">
        <f>VLOOKUP(B609,Customers!A:J,8,0)</f>
        <v>Male</v>
      </c>
      <c r="R609" t="b">
        <f t="shared" si="18"/>
        <v>1</v>
      </c>
      <c r="S609" s="18">
        <f t="shared" si="19"/>
        <v>44743</v>
      </c>
    </row>
    <row r="610" spans="1:19" x14ac:dyDescent="0.25">
      <c r="A610" s="3" t="s">
        <v>1713</v>
      </c>
      <c r="B610" s="4" t="s">
        <v>266</v>
      </c>
      <c r="C610" s="14">
        <v>45536</v>
      </c>
      <c r="D610" s="4" t="s">
        <v>684</v>
      </c>
      <c r="E610" s="4" t="s">
        <v>702</v>
      </c>
      <c r="F610" s="4">
        <v>199.99</v>
      </c>
      <c r="G610" s="4">
        <v>4</v>
      </c>
      <c r="H610" s="4">
        <v>0</v>
      </c>
      <c r="I610" s="4">
        <v>199.99</v>
      </c>
      <c r="J610" s="4">
        <v>799.96</v>
      </c>
      <c r="K610" s="4" t="s">
        <v>655</v>
      </c>
      <c r="L610" s="4" t="s">
        <v>656</v>
      </c>
      <c r="M610" s="5"/>
      <c r="N610">
        <f>VLOOKUP(B610,Customers!A:J,7,0)</f>
        <v>37</v>
      </c>
      <c r="O610" t="str">
        <f>VLOOKUP(B610,Customers!A:J,5,0)</f>
        <v>Austin</v>
      </c>
      <c r="P610" t="str">
        <f>VLOOKUP(B610,Customers!A:J,10,0)</f>
        <v>Silver</v>
      </c>
      <c r="Q610" t="str">
        <f>VLOOKUP(B610,Customers!A:J,8,0)</f>
        <v>Male</v>
      </c>
      <c r="R610" t="b">
        <f t="shared" si="18"/>
        <v>1</v>
      </c>
      <c r="S610" s="18">
        <f t="shared" si="19"/>
        <v>45536</v>
      </c>
    </row>
    <row r="611" spans="1:19" x14ac:dyDescent="0.25">
      <c r="A611" s="6" t="s">
        <v>1715</v>
      </c>
      <c r="B611" s="7" t="s">
        <v>269</v>
      </c>
      <c r="C611" s="15">
        <v>45433</v>
      </c>
      <c r="D611" s="7" t="s">
        <v>680</v>
      </c>
      <c r="E611" s="7" t="s">
        <v>708</v>
      </c>
      <c r="F611" s="7">
        <v>24.99</v>
      </c>
      <c r="G611" s="7">
        <v>3</v>
      </c>
      <c r="H611" s="7">
        <v>0</v>
      </c>
      <c r="I611" s="7">
        <v>24.99</v>
      </c>
      <c r="J611" s="7">
        <v>74.97</v>
      </c>
      <c r="K611" s="7" t="s">
        <v>682</v>
      </c>
      <c r="L611" s="7" t="s">
        <v>656</v>
      </c>
      <c r="M611" s="8"/>
      <c r="N611">
        <f>VLOOKUP(B611,Customers!A:J,7,0)</f>
        <v>43</v>
      </c>
      <c r="O611" t="str">
        <f>VLOOKUP(B611,Customers!A:J,5,0)</f>
        <v>Dallas</v>
      </c>
      <c r="P611" t="str">
        <f>VLOOKUP(B611,Customers!A:J,10,0)</f>
        <v>Free</v>
      </c>
      <c r="Q611" t="str">
        <f>VLOOKUP(B611,Customers!A:J,8,0)</f>
        <v>Female</v>
      </c>
      <c r="R611" t="b">
        <f t="shared" si="18"/>
        <v>1</v>
      </c>
      <c r="S611" s="18">
        <f t="shared" si="19"/>
        <v>45413</v>
      </c>
    </row>
    <row r="612" spans="1:19" x14ac:dyDescent="0.25">
      <c r="A612" s="3" t="s">
        <v>1716</v>
      </c>
      <c r="B612" s="4" t="s">
        <v>269</v>
      </c>
      <c r="C612" s="14">
        <v>45184</v>
      </c>
      <c r="D612" s="4" t="s">
        <v>667</v>
      </c>
      <c r="E612" s="4" t="s">
        <v>696</v>
      </c>
      <c r="F612" s="4">
        <v>59.99</v>
      </c>
      <c r="G612" s="4">
        <v>3</v>
      </c>
      <c r="H612" s="4">
        <v>0</v>
      </c>
      <c r="I612" s="4">
        <v>59.99</v>
      </c>
      <c r="J612" s="4">
        <v>179.97</v>
      </c>
      <c r="K612" s="4" t="s">
        <v>655</v>
      </c>
      <c r="L612" s="4" t="s">
        <v>656</v>
      </c>
      <c r="M612" s="5"/>
      <c r="N612">
        <f>VLOOKUP(B612,Customers!A:J,7,0)</f>
        <v>43</v>
      </c>
      <c r="O612" t="str">
        <f>VLOOKUP(B612,Customers!A:J,5,0)</f>
        <v>Dallas</v>
      </c>
      <c r="P612" t="str">
        <f>VLOOKUP(B612,Customers!A:J,10,0)</f>
        <v>Free</v>
      </c>
      <c r="Q612" t="str">
        <f>VLOOKUP(B612,Customers!A:J,8,0)</f>
        <v>Female</v>
      </c>
      <c r="R612" t="b">
        <f t="shared" si="18"/>
        <v>1</v>
      </c>
      <c r="S612" s="18">
        <f t="shared" si="19"/>
        <v>45170</v>
      </c>
    </row>
    <row r="613" spans="1:19" x14ac:dyDescent="0.25">
      <c r="A613" s="6" t="s">
        <v>1718</v>
      </c>
      <c r="B613" s="7" t="s">
        <v>269</v>
      </c>
      <c r="C613" s="15">
        <v>44921</v>
      </c>
      <c r="D613" s="7" t="s">
        <v>653</v>
      </c>
      <c r="E613" s="7" t="s">
        <v>654</v>
      </c>
      <c r="F613" s="7">
        <v>39.99</v>
      </c>
      <c r="G613" s="7">
        <v>3</v>
      </c>
      <c r="H613" s="7">
        <v>20</v>
      </c>
      <c r="I613" s="7">
        <v>31.99</v>
      </c>
      <c r="J613" s="7">
        <v>95.97</v>
      </c>
      <c r="K613" s="7" t="s">
        <v>675</v>
      </c>
      <c r="L613" s="7" t="s">
        <v>656</v>
      </c>
      <c r="M613" s="8">
        <v>4</v>
      </c>
      <c r="N613">
        <f>VLOOKUP(B613,Customers!A:J,7,0)</f>
        <v>43</v>
      </c>
      <c r="O613" t="str">
        <f>VLOOKUP(B613,Customers!A:J,5,0)</f>
        <v>Dallas</v>
      </c>
      <c r="P613" t="str">
        <f>VLOOKUP(B613,Customers!A:J,10,0)</f>
        <v>Free</v>
      </c>
      <c r="Q613" t="str">
        <f>VLOOKUP(B613,Customers!A:J,8,0)</f>
        <v>Female</v>
      </c>
      <c r="R613" t="b">
        <f t="shared" si="18"/>
        <v>1</v>
      </c>
      <c r="S613" s="18">
        <f t="shared" si="19"/>
        <v>44896</v>
      </c>
    </row>
    <row r="614" spans="1:19" x14ac:dyDescent="0.25">
      <c r="A614" s="3" t="s">
        <v>1719</v>
      </c>
      <c r="B614" s="4" t="s">
        <v>269</v>
      </c>
      <c r="C614" s="14">
        <v>44622</v>
      </c>
      <c r="D614" s="4" t="s">
        <v>667</v>
      </c>
      <c r="E614" s="4" t="s">
        <v>668</v>
      </c>
      <c r="F614" s="4">
        <v>64.989999999999995</v>
      </c>
      <c r="G614" s="4">
        <v>4</v>
      </c>
      <c r="H614" s="4">
        <v>0</v>
      </c>
      <c r="I614" s="4">
        <v>64.989999999999995</v>
      </c>
      <c r="J614" s="4">
        <v>259.95999999999998</v>
      </c>
      <c r="K614" s="4" t="s">
        <v>675</v>
      </c>
      <c r="L614" s="4" t="s">
        <v>656</v>
      </c>
      <c r="M614" s="5"/>
      <c r="N614">
        <f>VLOOKUP(B614,Customers!A:J,7,0)</f>
        <v>43</v>
      </c>
      <c r="O614" t="str">
        <f>VLOOKUP(B614,Customers!A:J,5,0)</f>
        <v>Dallas</v>
      </c>
      <c r="P614" t="str">
        <f>VLOOKUP(B614,Customers!A:J,10,0)</f>
        <v>Free</v>
      </c>
      <c r="Q614" t="str">
        <f>VLOOKUP(B614,Customers!A:J,8,0)</f>
        <v>Female</v>
      </c>
      <c r="R614" t="b">
        <f t="shared" si="18"/>
        <v>1</v>
      </c>
      <c r="S614" s="18">
        <f t="shared" si="19"/>
        <v>44621</v>
      </c>
    </row>
    <row r="615" spans="1:19" x14ac:dyDescent="0.25">
      <c r="A615" s="6" t="s">
        <v>1721</v>
      </c>
      <c r="B615" s="7" t="s">
        <v>269</v>
      </c>
      <c r="C615" s="15">
        <v>44653</v>
      </c>
      <c r="D615" s="7" t="s">
        <v>653</v>
      </c>
      <c r="E615" s="7" t="s">
        <v>769</v>
      </c>
      <c r="F615" s="7">
        <v>49.99</v>
      </c>
      <c r="G615" s="7">
        <v>4</v>
      </c>
      <c r="H615" s="7">
        <v>10</v>
      </c>
      <c r="I615" s="7">
        <v>44.99</v>
      </c>
      <c r="J615" s="7">
        <v>179.96</v>
      </c>
      <c r="K615" s="7" t="s">
        <v>655</v>
      </c>
      <c r="L615" s="7" t="s">
        <v>656</v>
      </c>
      <c r="M615" s="8">
        <v>4</v>
      </c>
      <c r="N615">
        <f>VLOOKUP(B615,Customers!A:J,7,0)</f>
        <v>43</v>
      </c>
      <c r="O615" t="str">
        <f>VLOOKUP(B615,Customers!A:J,5,0)</f>
        <v>Dallas</v>
      </c>
      <c r="P615" t="str">
        <f>VLOOKUP(B615,Customers!A:J,10,0)</f>
        <v>Free</v>
      </c>
      <c r="Q615" t="str">
        <f>VLOOKUP(B615,Customers!A:J,8,0)</f>
        <v>Female</v>
      </c>
      <c r="R615" t="b">
        <f t="shared" si="18"/>
        <v>1</v>
      </c>
      <c r="S615" s="18">
        <f t="shared" si="19"/>
        <v>44652</v>
      </c>
    </row>
    <row r="616" spans="1:19" x14ac:dyDescent="0.25">
      <c r="A616" s="3" t="s">
        <v>1722</v>
      </c>
      <c r="B616" s="4" t="s">
        <v>272</v>
      </c>
      <c r="C616" s="14">
        <v>45417</v>
      </c>
      <c r="D616" s="4" t="s">
        <v>667</v>
      </c>
      <c r="E616" s="4" t="s">
        <v>696</v>
      </c>
      <c r="F616" s="4">
        <v>59.99</v>
      </c>
      <c r="G616" s="4">
        <v>3</v>
      </c>
      <c r="H616" s="4">
        <v>0</v>
      </c>
      <c r="I616" s="4">
        <v>59.99</v>
      </c>
      <c r="J616" s="4">
        <v>179.97</v>
      </c>
      <c r="K616" s="4" t="s">
        <v>669</v>
      </c>
      <c r="L616" s="4" t="s">
        <v>656</v>
      </c>
      <c r="M616" s="5"/>
      <c r="N616">
        <f>VLOOKUP(B616,Customers!A:J,7,0)</f>
        <v>23</v>
      </c>
      <c r="O616" t="str">
        <f>VLOOKUP(B616,Customers!A:J,5,0)</f>
        <v>Austin</v>
      </c>
      <c r="P616" t="str">
        <f>VLOOKUP(B616,Customers!A:J,10,0)</f>
        <v>Silver</v>
      </c>
      <c r="Q616" t="str">
        <f>VLOOKUP(B616,Customers!A:J,8,0)</f>
        <v>Male</v>
      </c>
      <c r="R616" t="b">
        <f t="shared" si="18"/>
        <v>1</v>
      </c>
      <c r="S616" s="18">
        <f t="shared" si="19"/>
        <v>45413</v>
      </c>
    </row>
    <row r="617" spans="1:19" x14ac:dyDescent="0.25">
      <c r="A617" s="6" t="s">
        <v>1723</v>
      </c>
      <c r="B617" s="7" t="s">
        <v>272</v>
      </c>
      <c r="C617" s="15">
        <v>45557</v>
      </c>
      <c r="D617" s="7" t="s">
        <v>659</v>
      </c>
      <c r="E617" s="7" t="s">
        <v>762</v>
      </c>
      <c r="F617" s="7">
        <v>49.99</v>
      </c>
      <c r="G617" s="7">
        <v>2</v>
      </c>
      <c r="H617" s="7">
        <v>0</v>
      </c>
      <c r="I617" s="7">
        <v>49.99</v>
      </c>
      <c r="J617" s="7">
        <v>99.98</v>
      </c>
      <c r="K617" s="7" t="s">
        <v>669</v>
      </c>
      <c r="L617" s="7" t="s">
        <v>656</v>
      </c>
      <c r="M617" s="8"/>
      <c r="N617">
        <f>VLOOKUP(B617,Customers!A:J,7,0)</f>
        <v>23</v>
      </c>
      <c r="O617" t="str">
        <f>VLOOKUP(B617,Customers!A:J,5,0)</f>
        <v>Austin</v>
      </c>
      <c r="P617" t="str">
        <f>VLOOKUP(B617,Customers!A:J,10,0)</f>
        <v>Silver</v>
      </c>
      <c r="Q617" t="str">
        <f>VLOOKUP(B617,Customers!A:J,8,0)</f>
        <v>Male</v>
      </c>
      <c r="R617" t="b">
        <f t="shared" si="18"/>
        <v>1</v>
      </c>
      <c r="S617" s="18">
        <f t="shared" si="19"/>
        <v>45536</v>
      </c>
    </row>
    <row r="618" spans="1:19" x14ac:dyDescent="0.25">
      <c r="A618" s="3" t="s">
        <v>1725</v>
      </c>
      <c r="B618" s="4" t="s">
        <v>272</v>
      </c>
      <c r="C618" s="14">
        <v>45569</v>
      </c>
      <c r="D618" s="4" t="s">
        <v>710</v>
      </c>
      <c r="E618" s="4" t="s">
        <v>721</v>
      </c>
      <c r="F618" s="4">
        <v>24.99</v>
      </c>
      <c r="G618" s="4">
        <v>3</v>
      </c>
      <c r="H618" s="4">
        <v>15</v>
      </c>
      <c r="I618" s="4">
        <v>21.24</v>
      </c>
      <c r="J618" s="4">
        <v>63.72</v>
      </c>
      <c r="K618" s="4" t="s">
        <v>661</v>
      </c>
      <c r="L618" s="4" t="s">
        <v>656</v>
      </c>
      <c r="M618" s="5">
        <v>4</v>
      </c>
      <c r="N618">
        <f>VLOOKUP(B618,Customers!A:J,7,0)</f>
        <v>23</v>
      </c>
      <c r="O618" t="str">
        <f>VLOOKUP(B618,Customers!A:J,5,0)</f>
        <v>Austin</v>
      </c>
      <c r="P618" t="str">
        <f>VLOOKUP(B618,Customers!A:J,10,0)</f>
        <v>Silver</v>
      </c>
      <c r="Q618" t="str">
        <f>VLOOKUP(B618,Customers!A:J,8,0)</f>
        <v>Male</v>
      </c>
      <c r="R618" t="b">
        <f t="shared" si="18"/>
        <v>1</v>
      </c>
      <c r="S618" s="18">
        <f t="shared" si="19"/>
        <v>45566</v>
      </c>
    </row>
    <row r="619" spans="1:19" x14ac:dyDescent="0.25">
      <c r="A619" s="6" t="s">
        <v>1727</v>
      </c>
      <c r="B619" s="7" t="s">
        <v>272</v>
      </c>
      <c r="C619" s="15">
        <v>45319</v>
      </c>
      <c r="D619" s="7" t="s">
        <v>672</v>
      </c>
      <c r="E619" s="7" t="s">
        <v>673</v>
      </c>
      <c r="F619" s="7">
        <v>24.99</v>
      </c>
      <c r="G619" s="7">
        <v>2</v>
      </c>
      <c r="H619" s="7">
        <v>0</v>
      </c>
      <c r="I619" s="7">
        <v>24.99</v>
      </c>
      <c r="J619" s="7">
        <v>49.98</v>
      </c>
      <c r="K619" s="7" t="s">
        <v>655</v>
      </c>
      <c r="L619" s="7" t="s">
        <v>656</v>
      </c>
      <c r="M619" s="8"/>
      <c r="N619">
        <f>VLOOKUP(B619,Customers!A:J,7,0)</f>
        <v>23</v>
      </c>
      <c r="O619" t="str">
        <f>VLOOKUP(B619,Customers!A:J,5,0)</f>
        <v>Austin</v>
      </c>
      <c r="P619" t="str">
        <f>VLOOKUP(B619,Customers!A:J,10,0)</f>
        <v>Silver</v>
      </c>
      <c r="Q619" t="str">
        <f>VLOOKUP(B619,Customers!A:J,8,0)</f>
        <v>Male</v>
      </c>
      <c r="R619" t="b">
        <f t="shared" si="18"/>
        <v>1</v>
      </c>
      <c r="S619" s="18">
        <f t="shared" si="19"/>
        <v>45292</v>
      </c>
    </row>
    <row r="620" spans="1:19" x14ac:dyDescent="0.25">
      <c r="A620" s="3" t="s">
        <v>1728</v>
      </c>
      <c r="B620" s="4" t="s">
        <v>275</v>
      </c>
      <c r="C620" s="14">
        <v>45286</v>
      </c>
      <c r="D620" s="4" t="s">
        <v>684</v>
      </c>
      <c r="E620" s="4" t="s">
        <v>815</v>
      </c>
      <c r="F620" s="4">
        <v>34.99</v>
      </c>
      <c r="G620" s="4">
        <v>2</v>
      </c>
      <c r="H620" s="4">
        <v>0</v>
      </c>
      <c r="I620" s="4">
        <v>34.99</v>
      </c>
      <c r="J620" s="4">
        <v>69.98</v>
      </c>
      <c r="K620" s="4" t="s">
        <v>669</v>
      </c>
      <c r="L620" s="4" t="s">
        <v>656</v>
      </c>
      <c r="M620" s="5">
        <v>5</v>
      </c>
      <c r="N620">
        <f>VLOOKUP(B620,Customers!A:J,7,0)</f>
        <v>33</v>
      </c>
      <c r="O620" t="str">
        <f>VLOOKUP(B620,Customers!A:J,5,0)</f>
        <v>Houston</v>
      </c>
      <c r="P620" t="str">
        <f>VLOOKUP(B620,Customers!A:J,10,0)</f>
        <v>Free</v>
      </c>
      <c r="Q620" t="str">
        <f>VLOOKUP(B620,Customers!A:J,8,0)</f>
        <v>Female</v>
      </c>
      <c r="R620" t="b">
        <f t="shared" si="18"/>
        <v>1</v>
      </c>
      <c r="S620" s="18">
        <f t="shared" si="19"/>
        <v>45261</v>
      </c>
    </row>
    <row r="621" spans="1:19" x14ac:dyDescent="0.25">
      <c r="A621" s="6" t="s">
        <v>1729</v>
      </c>
      <c r="B621" s="7" t="s">
        <v>275</v>
      </c>
      <c r="C621" s="15">
        <v>45020</v>
      </c>
      <c r="D621" s="7" t="s">
        <v>672</v>
      </c>
      <c r="E621" s="7" t="s">
        <v>735</v>
      </c>
      <c r="F621" s="7">
        <v>44.99</v>
      </c>
      <c r="G621" s="7">
        <v>2</v>
      </c>
      <c r="H621" s="7">
        <v>5</v>
      </c>
      <c r="I621" s="7">
        <v>42.74</v>
      </c>
      <c r="J621" s="7">
        <v>85.48</v>
      </c>
      <c r="K621" s="7" t="s">
        <v>675</v>
      </c>
      <c r="L621" s="7" t="s">
        <v>656</v>
      </c>
      <c r="M621" s="8">
        <v>5</v>
      </c>
      <c r="N621">
        <f>VLOOKUP(B621,Customers!A:J,7,0)</f>
        <v>33</v>
      </c>
      <c r="O621" t="str">
        <f>VLOOKUP(B621,Customers!A:J,5,0)</f>
        <v>Houston</v>
      </c>
      <c r="P621" t="str">
        <f>VLOOKUP(B621,Customers!A:J,10,0)</f>
        <v>Free</v>
      </c>
      <c r="Q621" t="str">
        <f>VLOOKUP(B621,Customers!A:J,8,0)</f>
        <v>Female</v>
      </c>
      <c r="R621" t="b">
        <f t="shared" si="18"/>
        <v>1</v>
      </c>
      <c r="S621" s="18">
        <f t="shared" si="19"/>
        <v>45017</v>
      </c>
    </row>
    <row r="622" spans="1:19" x14ac:dyDescent="0.25">
      <c r="A622" s="3" t="s">
        <v>1730</v>
      </c>
      <c r="B622" s="4" t="s">
        <v>275</v>
      </c>
      <c r="C622" s="14">
        <v>44653</v>
      </c>
      <c r="D622" s="4" t="s">
        <v>653</v>
      </c>
      <c r="E622" s="4" t="s">
        <v>769</v>
      </c>
      <c r="F622" s="4">
        <v>49.99</v>
      </c>
      <c r="G622" s="4">
        <v>4</v>
      </c>
      <c r="H622" s="4">
        <v>0</v>
      </c>
      <c r="I622" s="4">
        <v>49.99</v>
      </c>
      <c r="J622" s="4">
        <v>199.96</v>
      </c>
      <c r="K622" s="4" t="s">
        <v>655</v>
      </c>
      <c r="L622" s="4" t="s">
        <v>656</v>
      </c>
      <c r="M622" s="5">
        <v>4</v>
      </c>
      <c r="N622">
        <f>VLOOKUP(B622,Customers!A:J,7,0)</f>
        <v>33</v>
      </c>
      <c r="O622" t="str">
        <f>VLOOKUP(B622,Customers!A:J,5,0)</f>
        <v>Houston</v>
      </c>
      <c r="P622" t="str">
        <f>VLOOKUP(B622,Customers!A:J,10,0)</f>
        <v>Free</v>
      </c>
      <c r="Q622" t="str">
        <f>VLOOKUP(B622,Customers!A:J,8,0)</f>
        <v>Female</v>
      </c>
      <c r="R622" t="b">
        <f t="shared" si="18"/>
        <v>1</v>
      </c>
      <c r="S622" s="18">
        <f t="shared" si="19"/>
        <v>44652</v>
      </c>
    </row>
    <row r="623" spans="1:19" x14ac:dyDescent="0.25">
      <c r="A623" s="6" t="s">
        <v>1731</v>
      </c>
      <c r="B623" s="7" t="s">
        <v>275</v>
      </c>
      <c r="C623" s="15">
        <v>44847</v>
      </c>
      <c r="D623" s="7" t="s">
        <v>684</v>
      </c>
      <c r="E623" s="7" t="s">
        <v>702</v>
      </c>
      <c r="F623" s="7">
        <v>199.99</v>
      </c>
      <c r="G623" s="7">
        <v>2</v>
      </c>
      <c r="H623" s="7">
        <v>20</v>
      </c>
      <c r="I623" s="7">
        <v>159.99</v>
      </c>
      <c r="J623" s="7">
        <v>319.98</v>
      </c>
      <c r="K623" s="7" t="s">
        <v>661</v>
      </c>
      <c r="L623" s="7" t="s">
        <v>656</v>
      </c>
      <c r="M623" s="8">
        <v>4</v>
      </c>
      <c r="N623">
        <f>VLOOKUP(B623,Customers!A:J,7,0)</f>
        <v>33</v>
      </c>
      <c r="O623" t="str">
        <f>VLOOKUP(B623,Customers!A:J,5,0)</f>
        <v>Houston</v>
      </c>
      <c r="P623" t="str">
        <f>VLOOKUP(B623,Customers!A:J,10,0)</f>
        <v>Free</v>
      </c>
      <c r="Q623" t="str">
        <f>VLOOKUP(B623,Customers!A:J,8,0)</f>
        <v>Female</v>
      </c>
      <c r="R623" t="b">
        <f t="shared" si="18"/>
        <v>1</v>
      </c>
      <c r="S623" s="18">
        <f t="shared" si="19"/>
        <v>44835</v>
      </c>
    </row>
    <row r="624" spans="1:19" x14ac:dyDescent="0.25">
      <c r="A624" s="3" t="s">
        <v>1733</v>
      </c>
      <c r="B624" s="4" t="s">
        <v>275</v>
      </c>
      <c r="C624" s="14">
        <v>45058</v>
      </c>
      <c r="D624" s="4" t="s">
        <v>672</v>
      </c>
      <c r="E624" s="4" t="s">
        <v>735</v>
      </c>
      <c r="F624" s="4">
        <v>44.99</v>
      </c>
      <c r="G624" s="4">
        <v>3</v>
      </c>
      <c r="H624" s="4">
        <v>0</v>
      </c>
      <c r="I624" s="4">
        <v>44.99</v>
      </c>
      <c r="J624" s="4">
        <v>134.97</v>
      </c>
      <c r="K624" s="4" t="s">
        <v>669</v>
      </c>
      <c r="L624" s="4" t="s">
        <v>656</v>
      </c>
      <c r="M624" s="5">
        <v>3</v>
      </c>
      <c r="N624">
        <f>VLOOKUP(B624,Customers!A:J,7,0)</f>
        <v>33</v>
      </c>
      <c r="O624" t="str">
        <f>VLOOKUP(B624,Customers!A:J,5,0)</f>
        <v>Houston</v>
      </c>
      <c r="P624" t="str">
        <f>VLOOKUP(B624,Customers!A:J,10,0)</f>
        <v>Free</v>
      </c>
      <c r="Q624" t="str">
        <f>VLOOKUP(B624,Customers!A:J,8,0)</f>
        <v>Female</v>
      </c>
      <c r="R624" t="b">
        <f t="shared" si="18"/>
        <v>1</v>
      </c>
      <c r="S624" s="18">
        <f t="shared" si="19"/>
        <v>45047</v>
      </c>
    </row>
    <row r="625" spans="1:19" x14ac:dyDescent="0.25">
      <c r="A625" s="6" t="s">
        <v>1734</v>
      </c>
      <c r="B625" s="7" t="s">
        <v>275</v>
      </c>
      <c r="C625" s="15">
        <v>45456</v>
      </c>
      <c r="D625" s="7" t="s">
        <v>684</v>
      </c>
      <c r="E625" s="7" t="s">
        <v>705</v>
      </c>
      <c r="F625" s="7">
        <v>79.989999999999995</v>
      </c>
      <c r="G625" s="7">
        <v>3</v>
      </c>
      <c r="H625" s="7">
        <v>20</v>
      </c>
      <c r="I625" s="7">
        <v>63.99</v>
      </c>
      <c r="J625" s="7">
        <v>191.97</v>
      </c>
      <c r="K625" s="7" t="s">
        <v>682</v>
      </c>
      <c r="L625" s="7" t="s">
        <v>656</v>
      </c>
      <c r="M625" s="8"/>
      <c r="N625">
        <f>VLOOKUP(B625,Customers!A:J,7,0)</f>
        <v>33</v>
      </c>
      <c r="O625" t="str">
        <f>VLOOKUP(B625,Customers!A:J,5,0)</f>
        <v>Houston</v>
      </c>
      <c r="P625" t="str">
        <f>VLOOKUP(B625,Customers!A:J,10,0)</f>
        <v>Free</v>
      </c>
      <c r="Q625" t="str">
        <f>VLOOKUP(B625,Customers!A:J,8,0)</f>
        <v>Female</v>
      </c>
      <c r="R625" t="b">
        <f t="shared" si="18"/>
        <v>1</v>
      </c>
      <c r="S625" s="18">
        <f t="shared" si="19"/>
        <v>45444</v>
      </c>
    </row>
    <row r="626" spans="1:19" x14ac:dyDescent="0.25">
      <c r="A626" s="3" t="s">
        <v>1735</v>
      </c>
      <c r="B626" s="4" t="s">
        <v>275</v>
      </c>
      <c r="C626" s="14">
        <v>44737</v>
      </c>
      <c r="D626" s="4" t="s">
        <v>710</v>
      </c>
      <c r="E626" s="4" t="s">
        <v>711</v>
      </c>
      <c r="F626" s="4">
        <v>14.99</v>
      </c>
      <c r="G626" s="4">
        <v>3</v>
      </c>
      <c r="H626" s="4">
        <v>5</v>
      </c>
      <c r="I626" s="4">
        <v>14.24</v>
      </c>
      <c r="J626" s="4">
        <v>42.72</v>
      </c>
      <c r="K626" s="4" t="s">
        <v>655</v>
      </c>
      <c r="L626" s="4" t="s">
        <v>656</v>
      </c>
      <c r="M626" s="5">
        <v>3</v>
      </c>
      <c r="N626">
        <f>VLOOKUP(B626,Customers!A:J,7,0)</f>
        <v>33</v>
      </c>
      <c r="O626" t="str">
        <f>VLOOKUP(B626,Customers!A:J,5,0)</f>
        <v>Houston</v>
      </c>
      <c r="P626" t="str">
        <f>VLOOKUP(B626,Customers!A:J,10,0)</f>
        <v>Free</v>
      </c>
      <c r="Q626" t="str">
        <f>VLOOKUP(B626,Customers!A:J,8,0)</f>
        <v>Female</v>
      </c>
      <c r="R626" t="b">
        <f t="shared" si="18"/>
        <v>1</v>
      </c>
      <c r="S626" s="18">
        <f t="shared" si="19"/>
        <v>44713</v>
      </c>
    </row>
    <row r="627" spans="1:19" x14ac:dyDescent="0.25">
      <c r="A627" s="6" t="s">
        <v>1736</v>
      </c>
      <c r="B627" s="7" t="s">
        <v>275</v>
      </c>
      <c r="C627" s="15">
        <v>45537</v>
      </c>
      <c r="D627" s="7" t="s">
        <v>672</v>
      </c>
      <c r="E627" s="7" t="s">
        <v>735</v>
      </c>
      <c r="F627" s="7">
        <v>44.99</v>
      </c>
      <c r="G627" s="7">
        <v>2</v>
      </c>
      <c r="H627" s="7">
        <v>0</v>
      </c>
      <c r="I627" s="7">
        <v>44.99</v>
      </c>
      <c r="J627" s="7">
        <v>89.98</v>
      </c>
      <c r="K627" s="7" t="s">
        <v>655</v>
      </c>
      <c r="L627" s="7" t="s">
        <v>656</v>
      </c>
      <c r="M627" s="8">
        <v>1</v>
      </c>
      <c r="N627">
        <f>VLOOKUP(B627,Customers!A:J,7,0)</f>
        <v>33</v>
      </c>
      <c r="O627" t="str">
        <f>VLOOKUP(B627,Customers!A:J,5,0)</f>
        <v>Houston</v>
      </c>
      <c r="P627" t="str">
        <f>VLOOKUP(B627,Customers!A:J,10,0)</f>
        <v>Free</v>
      </c>
      <c r="Q627" t="str">
        <f>VLOOKUP(B627,Customers!A:J,8,0)</f>
        <v>Female</v>
      </c>
      <c r="R627" t="b">
        <f t="shared" si="18"/>
        <v>1</v>
      </c>
      <c r="S627" s="18">
        <f t="shared" si="19"/>
        <v>45536</v>
      </c>
    </row>
    <row r="628" spans="1:19" x14ac:dyDescent="0.25">
      <c r="A628" s="3" t="s">
        <v>1738</v>
      </c>
      <c r="B628" s="4" t="s">
        <v>278</v>
      </c>
      <c r="C628" s="14">
        <v>45619</v>
      </c>
      <c r="D628" s="4" t="s">
        <v>684</v>
      </c>
      <c r="E628" s="4" t="s">
        <v>815</v>
      </c>
      <c r="F628" s="4">
        <v>34.99</v>
      </c>
      <c r="G628" s="4">
        <v>4</v>
      </c>
      <c r="H628" s="4">
        <v>15</v>
      </c>
      <c r="I628" s="4">
        <v>29.74</v>
      </c>
      <c r="J628" s="4">
        <v>118.96</v>
      </c>
      <c r="K628" s="4" t="s">
        <v>661</v>
      </c>
      <c r="L628" s="4" t="s">
        <v>739</v>
      </c>
      <c r="M628" s="5">
        <v>4</v>
      </c>
      <c r="N628">
        <f>VLOOKUP(B628,Customers!A:J,7,0)</f>
        <v>55</v>
      </c>
      <c r="O628" t="str">
        <f>VLOOKUP(B628,Customers!A:J,5,0)</f>
        <v>Dallas</v>
      </c>
      <c r="P628" t="str">
        <f>VLOOKUP(B628,Customers!A:J,10,0)</f>
        <v>Platinum</v>
      </c>
      <c r="Q628" t="str">
        <f>VLOOKUP(B628,Customers!A:J,8,0)</f>
        <v>Male</v>
      </c>
      <c r="R628" t="b">
        <f t="shared" si="18"/>
        <v>1</v>
      </c>
      <c r="S628" s="18">
        <f t="shared" si="19"/>
        <v>45597</v>
      </c>
    </row>
    <row r="629" spans="1:19" x14ac:dyDescent="0.25">
      <c r="A629" s="6" t="s">
        <v>1740</v>
      </c>
      <c r="B629" s="7" t="s">
        <v>278</v>
      </c>
      <c r="C629" s="15">
        <v>45471</v>
      </c>
      <c r="D629" s="7" t="s">
        <v>672</v>
      </c>
      <c r="E629" s="7" t="s">
        <v>724</v>
      </c>
      <c r="F629" s="7">
        <v>89.99</v>
      </c>
      <c r="G629" s="7">
        <v>3</v>
      </c>
      <c r="H629" s="7">
        <v>20</v>
      </c>
      <c r="I629" s="7">
        <v>71.989999999999995</v>
      </c>
      <c r="J629" s="7">
        <v>215.97</v>
      </c>
      <c r="K629" s="7" t="s">
        <v>661</v>
      </c>
      <c r="L629" s="7" t="s">
        <v>693</v>
      </c>
      <c r="M629" s="8">
        <v>4</v>
      </c>
      <c r="N629">
        <f>VLOOKUP(B629,Customers!A:J,7,0)</f>
        <v>55</v>
      </c>
      <c r="O629" t="str">
        <f>VLOOKUP(B629,Customers!A:J,5,0)</f>
        <v>Dallas</v>
      </c>
      <c r="P629" t="str">
        <f>VLOOKUP(B629,Customers!A:J,10,0)</f>
        <v>Platinum</v>
      </c>
      <c r="Q629" t="str">
        <f>VLOOKUP(B629,Customers!A:J,8,0)</f>
        <v>Male</v>
      </c>
      <c r="R629" t="b">
        <f t="shared" si="18"/>
        <v>1</v>
      </c>
      <c r="S629" s="18">
        <f t="shared" si="19"/>
        <v>45444</v>
      </c>
    </row>
    <row r="630" spans="1:19" x14ac:dyDescent="0.25">
      <c r="A630" s="3" t="s">
        <v>1742</v>
      </c>
      <c r="B630" s="4" t="s">
        <v>278</v>
      </c>
      <c r="C630" s="14">
        <v>44686</v>
      </c>
      <c r="D630" s="4" t="s">
        <v>680</v>
      </c>
      <c r="E630" s="4" t="s">
        <v>681</v>
      </c>
      <c r="F630" s="4">
        <v>19.989999999999998</v>
      </c>
      <c r="G630" s="4">
        <v>3</v>
      </c>
      <c r="H630" s="4">
        <v>0</v>
      </c>
      <c r="I630" s="4">
        <v>19.989999999999998</v>
      </c>
      <c r="J630" s="4">
        <v>59.97</v>
      </c>
      <c r="K630" s="4" t="s">
        <v>661</v>
      </c>
      <c r="L630" s="4" t="s">
        <v>656</v>
      </c>
      <c r="M630" s="5"/>
      <c r="N630">
        <f>VLOOKUP(B630,Customers!A:J,7,0)</f>
        <v>55</v>
      </c>
      <c r="O630" t="str">
        <f>VLOOKUP(B630,Customers!A:J,5,0)</f>
        <v>Dallas</v>
      </c>
      <c r="P630" t="str">
        <f>VLOOKUP(B630,Customers!A:J,10,0)</f>
        <v>Platinum</v>
      </c>
      <c r="Q630" t="str">
        <f>VLOOKUP(B630,Customers!A:J,8,0)</f>
        <v>Male</v>
      </c>
      <c r="R630" t="b">
        <f t="shared" si="18"/>
        <v>1</v>
      </c>
      <c r="S630" s="18">
        <f t="shared" si="19"/>
        <v>44682</v>
      </c>
    </row>
    <row r="631" spans="1:19" x14ac:dyDescent="0.25">
      <c r="A631" s="6" t="s">
        <v>1743</v>
      </c>
      <c r="B631" s="7" t="s">
        <v>281</v>
      </c>
      <c r="C631" s="15">
        <v>45366</v>
      </c>
      <c r="D631" s="7" t="s">
        <v>710</v>
      </c>
      <c r="E631" s="7" t="s">
        <v>711</v>
      </c>
      <c r="F631" s="7">
        <v>14.99</v>
      </c>
      <c r="G631" s="7">
        <v>4</v>
      </c>
      <c r="H631" s="7">
        <v>0</v>
      </c>
      <c r="I631" s="7">
        <v>14.99</v>
      </c>
      <c r="J631" s="7">
        <v>59.96</v>
      </c>
      <c r="K631" s="7" t="s">
        <v>669</v>
      </c>
      <c r="L631" s="7" t="s">
        <v>739</v>
      </c>
      <c r="M631" s="8"/>
      <c r="N631">
        <f>VLOOKUP(B631,Customers!A:J,7,0)</f>
        <v>56</v>
      </c>
      <c r="O631" t="str">
        <f>VLOOKUP(B631,Customers!A:J,5,0)</f>
        <v>Austin</v>
      </c>
      <c r="P631" t="str">
        <f>VLOOKUP(B631,Customers!A:J,10,0)</f>
        <v>Free</v>
      </c>
      <c r="Q631" t="str">
        <f>VLOOKUP(B631,Customers!A:J,8,0)</f>
        <v>Male</v>
      </c>
      <c r="R631" t="b">
        <f t="shared" si="18"/>
        <v>1</v>
      </c>
      <c r="S631" s="18">
        <f t="shared" si="19"/>
        <v>45352</v>
      </c>
    </row>
    <row r="632" spans="1:19" x14ac:dyDescent="0.25">
      <c r="A632" s="3" t="s">
        <v>1744</v>
      </c>
      <c r="B632" s="4" t="s">
        <v>281</v>
      </c>
      <c r="C632" s="14">
        <v>44943</v>
      </c>
      <c r="D632" s="4" t="s">
        <v>710</v>
      </c>
      <c r="E632" s="4" t="s">
        <v>744</v>
      </c>
      <c r="F632" s="4">
        <v>29.99</v>
      </c>
      <c r="G632" s="4">
        <v>1</v>
      </c>
      <c r="H632" s="4">
        <v>10</v>
      </c>
      <c r="I632" s="4">
        <v>26.99</v>
      </c>
      <c r="J632" s="4">
        <v>26.99</v>
      </c>
      <c r="K632" s="4" t="s">
        <v>655</v>
      </c>
      <c r="L632" s="4" t="s">
        <v>656</v>
      </c>
      <c r="M632" s="5"/>
      <c r="N632">
        <f>VLOOKUP(B632,Customers!A:J,7,0)</f>
        <v>56</v>
      </c>
      <c r="O632" t="str">
        <f>VLOOKUP(B632,Customers!A:J,5,0)</f>
        <v>Austin</v>
      </c>
      <c r="P632" t="str">
        <f>VLOOKUP(B632,Customers!A:J,10,0)</f>
        <v>Free</v>
      </c>
      <c r="Q632" t="str">
        <f>VLOOKUP(B632,Customers!A:J,8,0)</f>
        <v>Male</v>
      </c>
      <c r="R632" t="b">
        <f t="shared" si="18"/>
        <v>1</v>
      </c>
      <c r="S632" s="18">
        <f t="shared" si="19"/>
        <v>44927</v>
      </c>
    </row>
    <row r="633" spans="1:19" x14ac:dyDescent="0.25">
      <c r="A633" s="6" t="s">
        <v>1745</v>
      </c>
      <c r="B633" s="7" t="s">
        <v>281</v>
      </c>
      <c r="C633" s="15">
        <v>45384</v>
      </c>
      <c r="D633" s="7" t="s">
        <v>667</v>
      </c>
      <c r="E633" s="7" t="s">
        <v>668</v>
      </c>
      <c r="F633" s="7">
        <v>64.989999999999995</v>
      </c>
      <c r="G633" s="7">
        <v>2</v>
      </c>
      <c r="H633" s="7">
        <v>15</v>
      </c>
      <c r="I633" s="7">
        <v>55.24</v>
      </c>
      <c r="J633" s="7">
        <v>110.48</v>
      </c>
      <c r="K633" s="7" t="s">
        <v>675</v>
      </c>
      <c r="L633" s="7" t="s">
        <v>656</v>
      </c>
      <c r="M633" s="8">
        <v>4</v>
      </c>
      <c r="N633">
        <f>VLOOKUP(B633,Customers!A:J,7,0)</f>
        <v>56</v>
      </c>
      <c r="O633" t="str">
        <f>VLOOKUP(B633,Customers!A:J,5,0)</f>
        <v>Austin</v>
      </c>
      <c r="P633" t="str">
        <f>VLOOKUP(B633,Customers!A:J,10,0)</f>
        <v>Free</v>
      </c>
      <c r="Q633" t="str">
        <f>VLOOKUP(B633,Customers!A:J,8,0)</f>
        <v>Male</v>
      </c>
      <c r="R633" t="b">
        <f t="shared" si="18"/>
        <v>1</v>
      </c>
      <c r="S633" s="18">
        <f t="shared" si="19"/>
        <v>45383</v>
      </c>
    </row>
    <row r="634" spans="1:19" x14ac:dyDescent="0.25">
      <c r="A634" s="3" t="s">
        <v>1747</v>
      </c>
      <c r="B634" s="4" t="s">
        <v>281</v>
      </c>
      <c r="C634" s="14">
        <v>44996</v>
      </c>
      <c r="D634" s="4" t="s">
        <v>710</v>
      </c>
      <c r="E634" s="4" t="s">
        <v>711</v>
      </c>
      <c r="F634" s="4">
        <v>14.99</v>
      </c>
      <c r="G634" s="4">
        <v>2</v>
      </c>
      <c r="H634" s="4">
        <v>20</v>
      </c>
      <c r="I634" s="4">
        <v>11.99</v>
      </c>
      <c r="J634" s="4">
        <v>23.98</v>
      </c>
      <c r="K634" s="4" t="s">
        <v>669</v>
      </c>
      <c r="L634" s="4" t="s">
        <v>656</v>
      </c>
      <c r="M634" s="5"/>
      <c r="N634">
        <f>VLOOKUP(B634,Customers!A:J,7,0)</f>
        <v>56</v>
      </c>
      <c r="O634" t="str">
        <f>VLOOKUP(B634,Customers!A:J,5,0)</f>
        <v>Austin</v>
      </c>
      <c r="P634" t="str">
        <f>VLOOKUP(B634,Customers!A:J,10,0)</f>
        <v>Free</v>
      </c>
      <c r="Q634" t="str">
        <f>VLOOKUP(B634,Customers!A:J,8,0)</f>
        <v>Male</v>
      </c>
      <c r="R634" t="b">
        <f t="shared" si="18"/>
        <v>1</v>
      </c>
      <c r="S634" s="18">
        <f t="shared" si="19"/>
        <v>44986</v>
      </c>
    </row>
    <row r="635" spans="1:19" x14ac:dyDescent="0.25">
      <c r="A635" s="6" t="s">
        <v>1748</v>
      </c>
      <c r="B635" s="7" t="s">
        <v>281</v>
      </c>
      <c r="C635" s="15">
        <v>44791</v>
      </c>
      <c r="D635" s="7" t="s">
        <v>680</v>
      </c>
      <c r="E635" s="7" t="s">
        <v>749</v>
      </c>
      <c r="F635" s="7">
        <v>14.99</v>
      </c>
      <c r="G635" s="7">
        <v>3</v>
      </c>
      <c r="H635" s="7">
        <v>5</v>
      </c>
      <c r="I635" s="7">
        <v>14.24</v>
      </c>
      <c r="J635" s="7">
        <v>42.72</v>
      </c>
      <c r="K635" s="7" t="s">
        <v>655</v>
      </c>
      <c r="L635" s="7" t="s">
        <v>656</v>
      </c>
      <c r="M635" s="8">
        <v>4</v>
      </c>
      <c r="N635">
        <f>VLOOKUP(B635,Customers!A:J,7,0)</f>
        <v>56</v>
      </c>
      <c r="O635" t="str">
        <f>VLOOKUP(B635,Customers!A:J,5,0)</f>
        <v>Austin</v>
      </c>
      <c r="P635" t="str">
        <f>VLOOKUP(B635,Customers!A:J,10,0)</f>
        <v>Free</v>
      </c>
      <c r="Q635" t="str">
        <f>VLOOKUP(B635,Customers!A:J,8,0)</f>
        <v>Male</v>
      </c>
      <c r="R635" t="b">
        <f t="shared" si="18"/>
        <v>1</v>
      </c>
      <c r="S635" s="18">
        <f t="shared" si="19"/>
        <v>44774</v>
      </c>
    </row>
    <row r="636" spans="1:19" x14ac:dyDescent="0.25">
      <c r="A636" s="3" t="s">
        <v>1750</v>
      </c>
      <c r="B636" s="4" t="s">
        <v>284</v>
      </c>
      <c r="C636" s="14">
        <v>44639</v>
      </c>
      <c r="D636" s="4" t="s">
        <v>672</v>
      </c>
      <c r="E636" s="4" t="s">
        <v>735</v>
      </c>
      <c r="F636" s="4">
        <v>44.99</v>
      </c>
      <c r="G636" s="4">
        <v>4</v>
      </c>
      <c r="H636" s="4">
        <v>5</v>
      </c>
      <c r="I636" s="4">
        <v>42.74</v>
      </c>
      <c r="J636" s="4">
        <v>170.96</v>
      </c>
      <c r="K636" s="4" t="s">
        <v>661</v>
      </c>
      <c r="L636" s="4" t="s">
        <v>656</v>
      </c>
      <c r="M636" s="5">
        <v>3</v>
      </c>
      <c r="N636">
        <f>VLOOKUP(B636,Customers!A:J,7,0)</f>
        <v>35</v>
      </c>
      <c r="O636" t="str">
        <f>VLOOKUP(B636,Customers!A:J,5,0)</f>
        <v>San Diego</v>
      </c>
      <c r="P636" t="str">
        <f>VLOOKUP(B636,Customers!A:J,10,0)</f>
        <v>Silver</v>
      </c>
      <c r="Q636" t="str">
        <f>VLOOKUP(B636,Customers!A:J,8,0)</f>
        <v>Male</v>
      </c>
      <c r="R636" t="b">
        <f t="shared" si="18"/>
        <v>1</v>
      </c>
      <c r="S636" s="18">
        <f t="shared" si="19"/>
        <v>44621</v>
      </c>
    </row>
    <row r="637" spans="1:19" x14ac:dyDescent="0.25">
      <c r="A637" s="6" t="s">
        <v>1751</v>
      </c>
      <c r="B637" s="7" t="s">
        <v>284</v>
      </c>
      <c r="C637" s="15">
        <v>45336</v>
      </c>
      <c r="D637" s="7" t="s">
        <v>653</v>
      </c>
      <c r="E637" s="7" t="s">
        <v>727</v>
      </c>
      <c r="F637" s="7">
        <v>14.99</v>
      </c>
      <c r="G637" s="7">
        <v>1</v>
      </c>
      <c r="H637" s="7">
        <v>5</v>
      </c>
      <c r="I637" s="7">
        <v>14.24</v>
      </c>
      <c r="J637" s="7">
        <v>14.24</v>
      </c>
      <c r="K637" s="7" t="s">
        <v>675</v>
      </c>
      <c r="L637" s="7" t="s">
        <v>656</v>
      </c>
      <c r="M637" s="8">
        <v>3</v>
      </c>
      <c r="N637">
        <f>VLOOKUP(B637,Customers!A:J,7,0)</f>
        <v>35</v>
      </c>
      <c r="O637" t="str">
        <f>VLOOKUP(B637,Customers!A:J,5,0)</f>
        <v>San Diego</v>
      </c>
      <c r="P637" t="str">
        <f>VLOOKUP(B637,Customers!A:J,10,0)</f>
        <v>Silver</v>
      </c>
      <c r="Q637" t="str">
        <f>VLOOKUP(B637,Customers!A:J,8,0)</f>
        <v>Male</v>
      </c>
      <c r="R637" t="b">
        <f t="shared" si="18"/>
        <v>1</v>
      </c>
      <c r="S637" s="18">
        <f t="shared" si="19"/>
        <v>45323</v>
      </c>
    </row>
    <row r="638" spans="1:19" x14ac:dyDescent="0.25">
      <c r="A638" s="3" t="s">
        <v>1753</v>
      </c>
      <c r="B638" s="4" t="s">
        <v>284</v>
      </c>
      <c r="C638" s="14">
        <v>45233</v>
      </c>
      <c r="D638" s="4" t="s">
        <v>680</v>
      </c>
      <c r="E638" s="4" t="s">
        <v>681</v>
      </c>
      <c r="F638" s="4">
        <v>19.989999999999998</v>
      </c>
      <c r="G638" s="4">
        <v>3</v>
      </c>
      <c r="H638" s="4">
        <v>0</v>
      </c>
      <c r="I638" s="4">
        <v>19.989999999999998</v>
      </c>
      <c r="J638" s="4">
        <v>59.97</v>
      </c>
      <c r="K638" s="4" t="s">
        <v>655</v>
      </c>
      <c r="L638" s="4" t="s">
        <v>656</v>
      </c>
      <c r="M638" s="5"/>
      <c r="N638">
        <f>VLOOKUP(B638,Customers!A:J,7,0)</f>
        <v>35</v>
      </c>
      <c r="O638" t="str">
        <f>VLOOKUP(B638,Customers!A:J,5,0)</f>
        <v>San Diego</v>
      </c>
      <c r="P638" t="str">
        <f>VLOOKUP(B638,Customers!A:J,10,0)</f>
        <v>Silver</v>
      </c>
      <c r="Q638" t="str">
        <f>VLOOKUP(B638,Customers!A:J,8,0)</f>
        <v>Male</v>
      </c>
      <c r="R638" t="b">
        <f t="shared" si="18"/>
        <v>1</v>
      </c>
      <c r="S638" s="18">
        <f t="shared" si="19"/>
        <v>45231</v>
      </c>
    </row>
    <row r="639" spans="1:19" x14ac:dyDescent="0.25">
      <c r="A639" s="6" t="s">
        <v>1755</v>
      </c>
      <c r="B639" s="7" t="s">
        <v>284</v>
      </c>
      <c r="C639" s="15">
        <v>45493</v>
      </c>
      <c r="D639" s="7" t="s">
        <v>672</v>
      </c>
      <c r="E639" s="7" t="s">
        <v>803</v>
      </c>
      <c r="F639" s="7">
        <v>69.989999999999995</v>
      </c>
      <c r="G639" s="7">
        <v>3</v>
      </c>
      <c r="H639" s="7">
        <v>15</v>
      </c>
      <c r="I639" s="7">
        <v>59.49</v>
      </c>
      <c r="J639" s="7">
        <v>178.47</v>
      </c>
      <c r="K639" s="7" t="s">
        <v>669</v>
      </c>
      <c r="L639" s="7" t="s">
        <v>656</v>
      </c>
      <c r="M639" s="8"/>
      <c r="N639">
        <f>VLOOKUP(B639,Customers!A:J,7,0)</f>
        <v>35</v>
      </c>
      <c r="O639" t="str">
        <f>VLOOKUP(B639,Customers!A:J,5,0)</f>
        <v>San Diego</v>
      </c>
      <c r="P639" t="str">
        <f>VLOOKUP(B639,Customers!A:J,10,0)</f>
        <v>Silver</v>
      </c>
      <c r="Q639" t="str">
        <f>VLOOKUP(B639,Customers!A:J,8,0)</f>
        <v>Male</v>
      </c>
      <c r="R639" t="b">
        <f t="shared" si="18"/>
        <v>1</v>
      </c>
      <c r="S639" s="18">
        <f t="shared" si="19"/>
        <v>45474</v>
      </c>
    </row>
    <row r="640" spans="1:19" x14ac:dyDescent="0.25">
      <c r="A640" s="3" t="s">
        <v>1756</v>
      </c>
      <c r="B640" s="4" t="s">
        <v>284</v>
      </c>
      <c r="C640" s="14">
        <v>45394</v>
      </c>
      <c r="D640" s="4" t="s">
        <v>659</v>
      </c>
      <c r="E640" s="4" t="s">
        <v>820</v>
      </c>
      <c r="F640" s="4">
        <v>39.99</v>
      </c>
      <c r="G640" s="4">
        <v>4</v>
      </c>
      <c r="H640" s="4">
        <v>0</v>
      </c>
      <c r="I640" s="4">
        <v>39.99</v>
      </c>
      <c r="J640" s="4">
        <v>159.96</v>
      </c>
      <c r="K640" s="4" t="s">
        <v>675</v>
      </c>
      <c r="L640" s="4" t="s">
        <v>656</v>
      </c>
      <c r="M640" s="5"/>
      <c r="N640">
        <f>VLOOKUP(B640,Customers!A:J,7,0)</f>
        <v>35</v>
      </c>
      <c r="O640" t="str">
        <f>VLOOKUP(B640,Customers!A:J,5,0)</f>
        <v>San Diego</v>
      </c>
      <c r="P640" t="str">
        <f>VLOOKUP(B640,Customers!A:J,10,0)</f>
        <v>Silver</v>
      </c>
      <c r="Q640" t="str">
        <f>VLOOKUP(B640,Customers!A:J,8,0)</f>
        <v>Male</v>
      </c>
      <c r="R640" t="b">
        <f t="shared" si="18"/>
        <v>1</v>
      </c>
      <c r="S640" s="18">
        <f t="shared" si="19"/>
        <v>45383</v>
      </c>
    </row>
    <row r="641" spans="1:19" x14ac:dyDescent="0.25">
      <c r="A641" s="6" t="s">
        <v>1757</v>
      </c>
      <c r="B641" s="7" t="s">
        <v>284</v>
      </c>
      <c r="C641" s="15">
        <v>45195</v>
      </c>
      <c r="D641" s="7" t="s">
        <v>672</v>
      </c>
      <c r="E641" s="7" t="s">
        <v>803</v>
      </c>
      <c r="F641" s="7">
        <v>69.989999999999995</v>
      </c>
      <c r="G641" s="7">
        <v>2</v>
      </c>
      <c r="H641" s="7">
        <v>0</v>
      </c>
      <c r="I641" s="7">
        <v>69.989999999999995</v>
      </c>
      <c r="J641" s="7">
        <v>139.97999999999999</v>
      </c>
      <c r="K641" s="7" t="s">
        <v>682</v>
      </c>
      <c r="L641" s="7" t="s">
        <v>656</v>
      </c>
      <c r="M641" s="8">
        <v>4</v>
      </c>
      <c r="N641">
        <f>VLOOKUP(B641,Customers!A:J,7,0)</f>
        <v>35</v>
      </c>
      <c r="O641" t="str">
        <f>VLOOKUP(B641,Customers!A:J,5,0)</f>
        <v>San Diego</v>
      </c>
      <c r="P641" t="str">
        <f>VLOOKUP(B641,Customers!A:J,10,0)</f>
        <v>Silver</v>
      </c>
      <c r="Q641" t="str">
        <f>VLOOKUP(B641,Customers!A:J,8,0)</f>
        <v>Male</v>
      </c>
      <c r="R641" t="b">
        <f t="shared" si="18"/>
        <v>1</v>
      </c>
      <c r="S641" s="18">
        <f t="shared" si="19"/>
        <v>45170</v>
      </c>
    </row>
    <row r="642" spans="1:19" x14ac:dyDescent="0.25">
      <c r="A642" s="3" t="s">
        <v>1759</v>
      </c>
      <c r="B642" s="4" t="s">
        <v>284</v>
      </c>
      <c r="C642" s="14">
        <v>45258</v>
      </c>
      <c r="D642" s="4" t="s">
        <v>672</v>
      </c>
      <c r="E642" s="4" t="s">
        <v>803</v>
      </c>
      <c r="F642" s="4">
        <v>69.989999999999995</v>
      </c>
      <c r="G642" s="4">
        <v>1</v>
      </c>
      <c r="H642" s="4">
        <v>5</v>
      </c>
      <c r="I642" s="4">
        <v>66.489999999999995</v>
      </c>
      <c r="J642" s="4">
        <v>66.489999999999995</v>
      </c>
      <c r="K642" s="4" t="s">
        <v>655</v>
      </c>
      <c r="L642" s="4" t="s">
        <v>693</v>
      </c>
      <c r="M642" s="5"/>
      <c r="N642">
        <f>VLOOKUP(B642,Customers!A:J,7,0)</f>
        <v>35</v>
      </c>
      <c r="O642" t="str">
        <f>VLOOKUP(B642,Customers!A:J,5,0)</f>
        <v>San Diego</v>
      </c>
      <c r="P642" t="str">
        <f>VLOOKUP(B642,Customers!A:J,10,0)</f>
        <v>Silver</v>
      </c>
      <c r="Q642" t="str">
        <f>VLOOKUP(B642,Customers!A:J,8,0)</f>
        <v>Male</v>
      </c>
      <c r="R642" t="b">
        <f t="shared" si="18"/>
        <v>1</v>
      </c>
      <c r="S642" s="18">
        <f t="shared" si="19"/>
        <v>45231</v>
      </c>
    </row>
    <row r="643" spans="1:19" x14ac:dyDescent="0.25">
      <c r="A643" s="6" t="s">
        <v>1760</v>
      </c>
      <c r="B643" s="7" t="s">
        <v>284</v>
      </c>
      <c r="C643" s="15">
        <v>45645</v>
      </c>
      <c r="D643" s="7" t="s">
        <v>710</v>
      </c>
      <c r="E643" s="7" t="s">
        <v>730</v>
      </c>
      <c r="F643" s="7">
        <v>39.99</v>
      </c>
      <c r="G643" s="7">
        <v>2</v>
      </c>
      <c r="H643" s="7">
        <v>20</v>
      </c>
      <c r="I643" s="7">
        <v>31.99</v>
      </c>
      <c r="J643" s="7">
        <v>63.98</v>
      </c>
      <c r="K643" s="7" t="s">
        <v>669</v>
      </c>
      <c r="L643" s="7" t="s">
        <v>656</v>
      </c>
      <c r="M643" s="8">
        <v>5</v>
      </c>
      <c r="N643">
        <f>VLOOKUP(B643,Customers!A:J,7,0)</f>
        <v>35</v>
      </c>
      <c r="O643" t="str">
        <f>VLOOKUP(B643,Customers!A:J,5,0)</f>
        <v>San Diego</v>
      </c>
      <c r="P643" t="str">
        <f>VLOOKUP(B643,Customers!A:J,10,0)</f>
        <v>Silver</v>
      </c>
      <c r="Q643" t="str">
        <f>VLOOKUP(B643,Customers!A:J,8,0)</f>
        <v>Male</v>
      </c>
      <c r="R643" t="b">
        <f t="shared" ref="R643:R706" si="20">ISNUMBER(C643)</f>
        <v>1</v>
      </c>
      <c r="S643" s="18">
        <f t="shared" ref="S643:S706" si="21">DATE(YEAR(C643),MONTH(C643),1)</f>
        <v>45627</v>
      </c>
    </row>
    <row r="644" spans="1:19" x14ac:dyDescent="0.25">
      <c r="A644" s="3" t="s">
        <v>1762</v>
      </c>
      <c r="B644" s="4" t="s">
        <v>284</v>
      </c>
      <c r="C644" s="14">
        <v>45146</v>
      </c>
      <c r="D644" s="4" t="s">
        <v>710</v>
      </c>
      <c r="E644" s="4" t="s">
        <v>730</v>
      </c>
      <c r="F644" s="4">
        <v>39.99</v>
      </c>
      <c r="G644" s="4">
        <v>4</v>
      </c>
      <c r="H644" s="4">
        <v>0</v>
      </c>
      <c r="I644" s="4">
        <v>39.99</v>
      </c>
      <c r="J644" s="4">
        <v>159.96</v>
      </c>
      <c r="K644" s="4" t="s">
        <v>682</v>
      </c>
      <c r="L644" s="4" t="s">
        <v>656</v>
      </c>
      <c r="M644" s="5">
        <v>3</v>
      </c>
      <c r="N644">
        <f>VLOOKUP(B644,Customers!A:J,7,0)</f>
        <v>35</v>
      </c>
      <c r="O644" t="str">
        <f>VLOOKUP(B644,Customers!A:J,5,0)</f>
        <v>San Diego</v>
      </c>
      <c r="P644" t="str">
        <f>VLOOKUP(B644,Customers!A:J,10,0)</f>
        <v>Silver</v>
      </c>
      <c r="Q644" t="str">
        <f>VLOOKUP(B644,Customers!A:J,8,0)</f>
        <v>Male</v>
      </c>
      <c r="R644" t="b">
        <f t="shared" si="20"/>
        <v>1</v>
      </c>
      <c r="S644" s="18">
        <f t="shared" si="21"/>
        <v>45139</v>
      </c>
    </row>
    <row r="645" spans="1:19" x14ac:dyDescent="0.25">
      <c r="A645" s="6" t="s">
        <v>1764</v>
      </c>
      <c r="B645" s="7" t="s">
        <v>284</v>
      </c>
      <c r="C645" s="15">
        <v>44628</v>
      </c>
      <c r="D645" s="7" t="s">
        <v>667</v>
      </c>
      <c r="E645" s="7" t="s">
        <v>699</v>
      </c>
      <c r="F645" s="7">
        <v>89.99</v>
      </c>
      <c r="G645" s="7">
        <v>1</v>
      </c>
      <c r="H645" s="7">
        <v>15</v>
      </c>
      <c r="I645" s="7">
        <v>76.489999999999995</v>
      </c>
      <c r="J645" s="7">
        <v>76.489999999999995</v>
      </c>
      <c r="K645" s="7" t="s">
        <v>669</v>
      </c>
      <c r="L645" s="7" t="s">
        <v>656</v>
      </c>
      <c r="M645" s="8">
        <v>3</v>
      </c>
      <c r="N645">
        <f>VLOOKUP(B645,Customers!A:J,7,0)</f>
        <v>35</v>
      </c>
      <c r="O645" t="str">
        <f>VLOOKUP(B645,Customers!A:J,5,0)</f>
        <v>San Diego</v>
      </c>
      <c r="P645" t="str">
        <f>VLOOKUP(B645,Customers!A:J,10,0)</f>
        <v>Silver</v>
      </c>
      <c r="Q645" t="str">
        <f>VLOOKUP(B645,Customers!A:J,8,0)</f>
        <v>Male</v>
      </c>
      <c r="R645" t="b">
        <f t="shared" si="20"/>
        <v>1</v>
      </c>
      <c r="S645" s="18">
        <f t="shared" si="21"/>
        <v>44621</v>
      </c>
    </row>
    <row r="646" spans="1:19" x14ac:dyDescent="0.25">
      <c r="A646" s="3" t="s">
        <v>1766</v>
      </c>
      <c r="B646" s="4" t="s">
        <v>284</v>
      </c>
      <c r="C646" s="14">
        <v>44695</v>
      </c>
      <c r="D646" s="4" t="s">
        <v>684</v>
      </c>
      <c r="E646" s="4" t="s">
        <v>705</v>
      </c>
      <c r="F646" s="4">
        <v>79.989999999999995</v>
      </c>
      <c r="G646" s="4">
        <v>1</v>
      </c>
      <c r="H646" s="4">
        <v>10</v>
      </c>
      <c r="I646" s="4">
        <v>71.989999999999995</v>
      </c>
      <c r="J646" s="4">
        <v>71.989999999999995</v>
      </c>
      <c r="K646" s="4" t="s">
        <v>675</v>
      </c>
      <c r="L646" s="4" t="s">
        <v>656</v>
      </c>
      <c r="M646" s="5">
        <v>4</v>
      </c>
      <c r="N646">
        <f>VLOOKUP(B646,Customers!A:J,7,0)</f>
        <v>35</v>
      </c>
      <c r="O646" t="str">
        <f>VLOOKUP(B646,Customers!A:J,5,0)</f>
        <v>San Diego</v>
      </c>
      <c r="P646" t="str">
        <f>VLOOKUP(B646,Customers!A:J,10,0)</f>
        <v>Silver</v>
      </c>
      <c r="Q646" t="str">
        <f>VLOOKUP(B646,Customers!A:J,8,0)</f>
        <v>Male</v>
      </c>
      <c r="R646" t="b">
        <f t="shared" si="20"/>
        <v>1</v>
      </c>
      <c r="S646" s="18">
        <f t="shared" si="21"/>
        <v>44682</v>
      </c>
    </row>
    <row r="647" spans="1:19" x14ac:dyDescent="0.25">
      <c r="A647" s="6" t="s">
        <v>1767</v>
      </c>
      <c r="B647" s="7" t="s">
        <v>284</v>
      </c>
      <c r="C647" s="15">
        <v>45532</v>
      </c>
      <c r="D647" s="7" t="s">
        <v>659</v>
      </c>
      <c r="E647" s="7" t="s">
        <v>820</v>
      </c>
      <c r="F647" s="7">
        <v>39.99</v>
      </c>
      <c r="G647" s="7">
        <v>2</v>
      </c>
      <c r="H647" s="7">
        <v>5</v>
      </c>
      <c r="I647" s="7">
        <v>37.99</v>
      </c>
      <c r="J647" s="7">
        <v>75.98</v>
      </c>
      <c r="K647" s="7" t="s">
        <v>655</v>
      </c>
      <c r="L647" s="7" t="s">
        <v>656</v>
      </c>
      <c r="M647" s="8"/>
      <c r="N647">
        <f>VLOOKUP(B647,Customers!A:J,7,0)</f>
        <v>35</v>
      </c>
      <c r="O647" t="str">
        <f>VLOOKUP(B647,Customers!A:J,5,0)</f>
        <v>San Diego</v>
      </c>
      <c r="P647" t="str">
        <f>VLOOKUP(B647,Customers!A:J,10,0)</f>
        <v>Silver</v>
      </c>
      <c r="Q647" t="str">
        <f>VLOOKUP(B647,Customers!A:J,8,0)</f>
        <v>Male</v>
      </c>
      <c r="R647" t="b">
        <f t="shared" si="20"/>
        <v>1</v>
      </c>
      <c r="S647" s="18">
        <f t="shared" si="21"/>
        <v>45505</v>
      </c>
    </row>
    <row r="648" spans="1:19" x14ac:dyDescent="0.25">
      <c r="A648" s="3" t="s">
        <v>1768</v>
      </c>
      <c r="B648" s="4" t="s">
        <v>287</v>
      </c>
      <c r="C648" s="14">
        <v>45164</v>
      </c>
      <c r="D648" s="4" t="s">
        <v>653</v>
      </c>
      <c r="E648" s="4" t="s">
        <v>654</v>
      </c>
      <c r="F648" s="4">
        <v>39.99</v>
      </c>
      <c r="G648" s="4">
        <v>2</v>
      </c>
      <c r="H648" s="4">
        <v>0</v>
      </c>
      <c r="I648" s="4">
        <v>39.99</v>
      </c>
      <c r="J648" s="4">
        <v>79.98</v>
      </c>
      <c r="K648" s="4" t="s">
        <v>682</v>
      </c>
      <c r="L648" s="4" t="s">
        <v>656</v>
      </c>
      <c r="M648" s="5">
        <v>5</v>
      </c>
      <c r="N648">
        <f>VLOOKUP(B648,Customers!A:J,7,0)</f>
        <v>40</v>
      </c>
      <c r="O648" t="str">
        <f>VLOOKUP(B648,Customers!A:J,5,0)</f>
        <v>Chicago</v>
      </c>
      <c r="P648" t="str">
        <f>VLOOKUP(B648,Customers!A:J,10,0)</f>
        <v>Free</v>
      </c>
      <c r="Q648" t="str">
        <f>VLOOKUP(B648,Customers!A:J,8,0)</f>
        <v>Male</v>
      </c>
      <c r="R648" t="b">
        <f t="shared" si="20"/>
        <v>1</v>
      </c>
      <c r="S648" s="18">
        <f t="shared" si="21"/>
        <v>45139</v>
      </c>
    </row>
    <row r="649" spans="1:19" x14ac:dyDescent="0.25">
      <c r="A649" s="6" t="s">
        <v>1770</v>
      </c>
      <c r="B649" s="7" t="s">
        <v>287</v>
      </c>
      <c r="C649" s="15">
        <v>44770</v>
      </c>
      <c r="D649" s="7" t="s">
        <v>659</v>
      </c>
      <c r="E649" s="7" t="s">
        <v>664</v>
      </c>
      <c r="F649" s="7">
        <v>24.99</v>
      </c>
      <c r="G649" s="7">
        <v>4</v>
      </c>
      <c r="H649" s="7">
        <v>20</v>
      </c>
      <c r="I649" s="7">
        <v>19.989999999999998</v>
      </c>
      <c r="J649" s="7">
        <v>79.959999999999994</v>
      </c>
      <c r="K649" s="7" t="s">
        <v>682</v>
      </c>
      <c r="L649" s="7" t="s">
        <v>656</v>
      </c>
      <c r="M649" s="8">
        <v>3</v>
      </c>
      <c r="N649">
        <f>VLOOKUP(B649,Customers!A:J,7,0)</f>
        <v>40</v>
      </c>
      <c r="O649" t="str">
        <f>VLOOKUP(B649,Customers!A:J,5,0)</f>
        <v>Chicago</v>
      </c>
      <c r="P649" t="str">
        <f>VLOOKUP(B649,Customers!A:J,10,0)</f>
        <v>Free</v>
      </c>
      <c r="Q649" t="str">
        <f>VLOOKUP(B649,Customers!A:J,8,0)</f>
        <v>Male</v>
      </c>
      <c r="R649" t="b">
        <f t="shared" si="20"/>
        <v>1</v>
      </c>
      <c r="S649" s="18">
        <f t="shared" si="21"/>
        <v>44743</v>
      </c>
    </row>
    <row r="650" spans="1:19" x14ac:dyDescent="0.25">
      <c r="A650" s="3" t="s">
        <v>1771</v>
      </c>
      <c r="B650" s="4" t="s">
        <v>287</v>
      </c>
      <c r="C650" s="14">
        <v>44961</v>
      </c>
      <c r="D650" s="4" t="s">
        <v>680</v>
      </c>
      <c r="E650" s="4" t="s">
        <v>749</v>
      </c>
      <c r="F650" s="4">
        <v>14.99</v>
      </c>
      <c r="G650" s="4">
        <v>4</v>
      </c>
      <c r="H650" s="4">
        <v>0</v>
      </c>
      <c r="I650" s="4">
        <v>14.99</v>
      </c>
      <c r="J650" s="4">
        <v>59.96</v>
      </c>
      <c r="K650" s="4" t="s">
        <v>669</v>
      </c>
      <c r="L650" s="4" t="s">
        <v>656</v>
      </c>
      <c r="M650" s="5">
        <v>5</v>
      </c>
      <c r="N650">
        <f>VLOOKUP(B650,Customers!A:J,7,0)</f>
        <v>40</v>
      </c>
      <c r="O650" t="str">
        <f>VLOOKUP(B650,Customers!A:J,5,0)</f>
        <v>Chicago</v>
      </c>
      <c r="P650" t="str">
        <f>VLOOKUP(B650,Customers!A:J,10,0)</f>
        <v>Free</v>
      </c>
      <c r="Q650" t="str">
        <f>VLOOKUP(B650,Customers!A:J,8,0)</f>
        <v>Male</v>
      </c>
      <c r="R650" t="b">
        <f t="shared" si="20"/>
        <v>1</v>
      </c>
      <c r="S650" s="18">
        <f t="shared" si="21"/>
        <v>44958</v>
      </c>
    </row>
    <row r="651" spans="1:19" x14ac:dyDescent="0.25">
      <c r="A651" s="6" t="s">
        <v>1773</v>
      </c>
      <c r="B651" s="7" t="s">
        <v>287</v>
      </c>
      <c r="C651" s="15">
        <v>44585</v>
      </c>
      <c r="D651" s="7" t="s">
        <v>672</v>
      </c>
      <c r="E651" s="7" t="s">
        <v>803</v>
      </c>
      <c r="F651" s="7">
        <v>69.989999999999995</v>
      </c>
      <c r="G651" s="7">
        <v>2</v>
      </c>
      <c r="H651" s="7">
        <v>0</v>
      </c>
      <c r="I651" s="7">
        <v>69.989999999999995</v>
      </c>
      <c r="J651" s="7">
        <v>139.97999999999999</v>
      </c>
      <c r="K651" s="7" t="s">
        <v>661</v>
      </c>
      <c r="L651" s="7" t="s">
        <v>656</v>
      </c>
      <c r="M651" s="8"/>
      <c r="N651">
        <f>VLOOKUP(B651,Customers!A:J,7,0)</f>
        <v>40</v>
      </c>
      <c r="O651" t="str">
        <f>VLOOKUP(B651,Customers!A:J,5,0)</f>
        <v>Chicago</v>
      </c>
      <c r="P651" t="str">
        <f>VLOOKUP(B651,Customers!A:J,10,0)</f>
        <v>Free</v>
      </c>
      <c r="Q651" t="str">
        <f>VLOOKUP(B651,Customers!A:J,8,0)</f>
        <v>Male</v>
      </c>
      <c r="R651" t="b">
        <f t="shared" si="20"/>
        <v>1</v>
      </c>
      <c r="S651" s="18">
        <f t="shared" si="21"/>
        <v>44562</v>
      </c>
    </row>
    <row r="652" spans="1:19" x14ac:dyDescent="0.25">
      <c r="A652" s="3" t="s">
        <v>1775</v>
      </c>
      <c r="B652" s="4" t="s">
        <v>287</v>
      </c>
      <c r="C652" s="14">
        <v>45638</v>
      </c>
      <c r="D652" s="4" t="s">
        <v>667</v>
      </c>
      <c r="E652" s="4" t="s">
        <v>696</v>
      </c>
      <c r="F652" s="4">
        <v>59.99</v>
      </c>
      <c r="G652" s="4">
        <v>4</v>
      </c>
      <c r="H652" s="4">
        <v>0</v>
      </c>
      <c r="I652" s="4">
        <v>59.99</v>
      </c>
      <c r="J652" s="4">
        <v>239.96</v>
      </c>
      <c r="K652" s="4" t="s">
        <v>661</v>
      </c>
      <c r="L652" s="4" t="s">
        <v>656</v>
      </c>
      <c r="M652" s="5">
        <v>4</v>
      </c>
      <c r="N652">
        <f>VLOOKUP(B652,Customers!A:J,7,0)</f>
        <v>40</v>
      </c>
      <c r="O652" t="str">
        <f>VLOOKUP(B652,Customers!A:J,5,0)</f>
        <v>Chicago</v>
      </c>
      <c r="P652" t="str">
        <f>VLOOKUP(B652,Customers!A:J,10,0)</f>
        <v>Free</v>
      </c>
      <c r="Q652" t="str">
        <f>VLOOKUP(B652,Customers!A:J,8,0)</f>
        <v>Male</v>
      </c>
      <c r="R652" t="b">
        <f t="shared" si="20"/>
        <v>1</v>
      </c>
      <c r="S652" s="18">
        <f t="shared" si="21"/>
        <v>45627</v>
      </c>
    </row>
    <row r="653" spans="1:19" x14ac:dyDescent="0.25">
      <c r="A653" s="6" t="s">
        <v>1777</v>
      </c>
      <c r="B653" s="7" t="s">
        <v>287</v>
      </c>
      <c r="C653" s="15">
        <v>45141</v>
      </c>
      <c r="D653" s="7" t="s">
        <v>672</v>
      </c>
      <c r="E653" s="7" t="s">
        <v>803</v>
      </c>
      <c r="F653" s="7">
        <v>69.989999999999995</v>
      </c>
      <c r="G653" s="7">
        <v>2</v>
      </c>
      <c r="H653" s="7">
        <v>5</v>
      </c>
      <c r="I653" s="7">
        <v>66.489999999999995</v>
      </c>
      <c r="J653" s="7">
        <v>132.97999999999999</v>
      </c>
      <c r="K653" s="7" t="s">
        <v>655</v>
      </c>
      <c r="L653" s="7" t="s">
        <v>656</v>
      </c>
      <c r="M653" s="8"/>
      <c r="N653">
        <f>VLOOKUP(B653,Customers!A:J,7,0)</f>
        <v>40</v>
      </c>
      <c r="O653" t="str">
        <f>VLOOKUP(B653,Customers!A:J,5,0)</f>
        <v>Chicago</v>
      </c>
      <c r="P653" t="str">
        <f>VLOOKUP(B653,Customers!A:J,10,0)</f>
        <v>Free</v>
      </c>
      <c r="Q653" t="str">
        <f>VLOOKUP(B653,Customers!A:J,8,0)</f>
        <v>Male</v>
      </c>
      <c r="R653" t="b">
        <f t="shared" si="20"/>
        <v>1</v>
      </c>
      <c r="S653" s="18">
        <f t="shared" si="21"/>
        <v>45139</v>
      </c>
    </row>
    <row r="654" spans="1:19" x14ac:dyDescent="0.25">
      <c r="A654" s="3" t="s">
        <v>1779</v>
      </c>
      <c r="B654" s="4" t="s">
        <v>287</v>
      </c>
      <c r="C654" s="14">
        <v>45597</v>
      </c>
      <c r="D654" s="4" t="s">
        <v>680</v>
      </c>
      <c r="E654" s="4" t="s">
        <v>708</v>
      </c>
      <c r="F654" s="4">
        <v>24.99</v>
      </c>
      <c r="G654" s="4">
        <v>3</v>
      </c>
      <c r="H654" s="4">
        <v>10</v>
      </c>
      <c r="I654" s="4">
        <v>22.49</v>
      </c>
      <c r="J654" s="4">
        <v>67.47</v>
      </c>
      <c r="K654" s="4" t="s">
        <v>675</v>
      </c>
      <c r="L654" s="4" t="s">
        <v>656</v>
      </c>
      <c r="M654" s="5">
        <v>4</v>
      </c>
      <c r="N654">
        <f>VLOOKUP(B654,Customers!A:J,7,0)</f>
        <v>40</v>
      </c>
      <c r="O654" t="str">
        <f>VLOOKUP(B654,Customers!A:J,5,0)</f>
        <v>Chicago</v>
      </c>
      <c r="P654" t="str">
        <f>VLOOKUP(B654,Customers!A:J,10,0)</f>
        <v>Free</v>
      </c>
      <c r="Q654" t="str">
        <f>VLOOKUP(B654,Customers!A:J,8,0)</f>
        <v>Male</v>
      </c>
      <c r="R654" t="b">
        <f t="shared" si="20"/>
        <v>1</v>
      </c>
      <c r="S654" s="18">
        <f t="shared" si="21"/>
        <v>45597</v>
      </c>
    </row>
    <row r="655" spans="1:19" x14ac:dyDescent="0.25">
      <c r="A655" s="6" t="s">
        <v>1781</v>
      </c>
      <c r="B655" s="7" t="s">
        <v>290</v>
      </c>
      <c r="C655" s="15">
        <v>44672</v>
      </c>
      <c r="D655" s="7" t="s">
        <v>710</v>
      </c>
      <c r="E655" s="7" t="s">
        <v>711</v>
      </c>
      <c r="F655" s="7">
        <v>14.99</v>
      </c>
      <c r="G655" s="7">
        <v>4</v>
      </c>
      <c r="H655" s="7">
        <v>10</v>
      </c>
      <c r="I655" s="7">
        <v>13.49</v>
      </c>
      <c r="J655" s="7">
        <v>53.96</v>
      </c>
      <c r="K655" s="7" t="s">
        <v>675</v>
      </c>
      <c r="L655" s="7" t="s">
        <v>656</v>
      </c>
      <c r="M655" s="8"/>
      <c r="N655">
        <f>VLOOKUP(B655,Customers!A:J,7,0)</f>
        <v>55</v>
      </c>
      <c r="O655" t="str">
        <f>VLOOKUP(B655,Customers!A:J,5,0)</f>
        <v>San Antonio</v>
      </c>
      <c r="P655" t="str">
        <f>VLOOKUP(B655,Customers!A:J,10,0)</f>
        <v>Gold</v>
      </c>
      <c r="Q655" t="str">
        <f>VLOOKUP(B655,Customers!A:J,8,0)</f>
        <v>Male</v>
      </c>
      <c r="R655" t="b">
        <f t="shared" si="20"/>
        <v>1</v>
      </c>
      <c r="S655" s="18">
        <f t="shared" si="21"/>
        <v>44652</v>
      </c>
    </row>
    <row r="656" spans="1:19" x14ac:dyDescent="0.25">
      <c r="A656" s="3" t="s">
        <v>1782</v>
      </c>
      <c r="B656" s="4" t="s">
        <v>290</v>
      </c>
      <c r="C656" s="14">
        <v>44901</v>
      </c>
      <c r="D656" s="4" t="s">
        <v>672</v>
      </c>
      <c r="E656" s="4" t="s">
        <v>735</v>
      </c>
      <c r="F656" s="4">
        <v>44.99</v>
      </c>
      <c r="G656" s="4">
        <v>2</v>
      </c>
      <c r="H656" s="4">
        <v>5</v>
      </c>
      <c r="I656" s="4">
        <v>42.74</v>
      </c>
      <c r="J656" s="4">
        <v>85.48</v>
      </c>
      <c r="K656" s="4" t="s">
        <v>661</v>
      </c>
      <c r="L656" s="4" t="s">
        <v>739</v>
      </c>
      <c r="M656" s="5">
        <v>4</v>
      </c>
      <c r="N656">
        <f>VLOOKUP(B656,Customers!A:J,7,0)</f>
        <v>55</v>
      </c>
      <c r="O656" t="str">
        <f>VLOOKUP(B656,Customers!A:J,5,0)</f>
        <v>San Antonio</v>
      </c>
      <c r="P656" t="str">
        <f>VLOOKUP(B656,Customers!A:J,10,0)</f>
        <v>Gold</v>
      </c>
      <c r="Q656" t="str">
        <f>VLOOKUP(B656,Customers!A:J,8,0)</f>
        <v>Male</v>
      </c>
      <c r="R656" t="b">
        <f t="shared" si="20"/>
        <v>1</v>
      </c>
      <c r="S656" s="18">
        <f t="shared" si="21"/>
        <v>44896</v>
      </c>
    </row>
    <row r="657" spans="1:19" x14ac:dyDescent="0.25">
      <c r="A657" s="6" t="s">
        <v>1783</v>
      </c>
      <c r="B657" s="7" t="s">
        <v>290</v>
      </c>
      <c r="C657" s="15">
        <v>45570</v>
      </c>
      <c r="D657" s="7" t="s">
        <v>667</v>
      </c>
      <c r="E657" s="7" t="s">
        <v>699</v>
      </c>
      <c r="F657" s="7">
        <v>89.99</v>
      </c>
      <c r="G657" s="7">
        <v>3</v>
      </c>
      <c r="H657" s="7">
        <v>20</v>
      </c>
      <c r="I657" s="7">
        <v>71.989999999999995</v>
      </c>
      <c r="J657" s="7">
        <v>215.97</v>
      </c>
      <c r="K657" s="7" t="s">
        <v>675</v>
      </c>
      <c r="L657" s="7" t="s">
        <v>656</v>
      </c>
      <c r="M657" s="8">
        <v>3</v>
      </c>
      <c r="N657">
        <f>VLOOKUP(B657,Customers!A:J,7,0)</f>
        <v>55</v>
      </c>
      <c r="O657" t="str">
        <f>VLOOKUP(B657,Customers!A:J,5,0)</f>
        <v>San Antonio</v>
      </c>
      <c r="P657" t="str">
        <f>VLOOKUP(B657,Customers!A:J,10,0)</f>
        <v>Gold</v>
      </c>
      <c r="Q657" t="str">
        <f>VLOOKUP(B657,Customers!A:J,8,0)</f>
        <v>Male</v>
      </c>
      <c r="R657" t="b">
        <f t="shared" si="20"/>
        <v>1</v>
      </c>
      <c r="S657" s="18">
        <f t="shared" si="21"/>
        <v>45566</v>
      </c>
    </row>
    <row r="658" spans="1:19" x14ac:dyDescent="0.25">
      <c r="A658" s="3" t="s">
        <v>1785</v>
      </c>
      <c r="B658" s="4" t="s">
        <v>290</v>
      </c>
      <c r="C658" s="14">
        <v>45104</v>
      </c>
      <c r="D658" s="4" t="s">
        <v>710</v>
      </c>
      <c r="E658" s="4" t="s">
        <v>744</v>
      </c>
      <c r="F658" s="4">
        <v>29.99</v>
      </c>
      <c r="G658" s="4">
        <v>1</v>
      </c>
      <c r="H658" s="4">
        <v>10</v>
      </c>
      <c r="I658" s="4">
        <v>26.99</v>
      </c>
      <c r="J658" s="4">
        <v>26.99</v>
      </c>
      <c r="K658" s="4" t="s">
        <v>682</v>
      </c>
      <c r="L658" s="4" t="s">
        <v>656</v>
      </c>
      <c r="M658" s="5">
        <v>4</v>
      </c>
      <c r="N658">
        <f>VLOOKUP(B658,Customers!A:J,7,0)</f>
        <v>55</v>
      </c>
      <c r="O658" t="str">
        <f>VLOOKUP(B658,Customers!A:J,5,0)</f>
        <v>San Antonio</v>
      </c>
      <c r="P658" t="str">
        <f>VLOOKUP(B658,Customers!A:J,10,0)</f>
        <v>Gold</v>
      </c>
      <c r="Q658" t="str">
        <f>VLOOKUP(B658,Customers!A:J,8,0)</f>
        <v>Male</v>
      </c>
      <c r="R658" t="b">
        <f t="shared" si="20"/>
        <v>1</v>
      </c>
      <c r="S658" s="18">
        <f t="shared" si="21"/>
        <v>45078</v>
      </c>
    </row>
    <row r="659" spans="1:19" x14ac:dyDescent="0.25">
      <c r="A659" s="6" t="s">
        <v>1786</v>
      </c>
      <c r="B659" s="7" t="s">
        <v>290</v>
      </c>
      <c r="C659" s="15">
        <v>44825</v>
      </c>
      <c r="D659" s="7" t="s">
        <v>672</v>
      </c>
      <c r="E659" s="7" t="s">
        <v>673</v>
      </c>
      <c r="F659" s="7">
        <v>24.99</v>
      </c>
      <c r="G659" s="7">
        <v>1</v>
      </c>
      <c r="H659" s="7">
        <v>20</v>
      </c>
      <c r="I659" s="7">
        <v>19.989999999999998</v>
      </c>
      <c r="J659" s="7">
        <v>19.989999999999998</v>
      </c>
      <c r="K659" s="7" t="s">
        <v>655</v>
      </c>
      <c r="L659" s="7" t="s">
        <v>656</v>
      </c>
      <c r="M659" s="8">
        <v>5</v>
      </c>
      <c r="N659">
        <f>VLOOKUP(B659,Customers!A:J,7,0)</f>
        <v>55</v>
      </c>
      <c r="O659" t="str">
        <f>VLOOKUP(B659,Customers!A:J,5,0)</f>
        <v>San Antonio</v>
      </c>
      <c r="P659" t="str">
        <f>VLOOKUP(B659,Customers!A:J,10,0)</f>
        <v>Gold</v>
      </c>
      <c r="Q659" t="str">
        <f>VLOOKUP(B659,Customers!A:J,8,0)</f>
        <v>Male</v>
      </c>
      <c r="R659" t="b">
        <f t="shared" si="20"/>
        <v>1</v>
      </c>
      <c r="S659" s="18">
        <f t="shared" si="21"/>
        <v>44805</v>
      </c>
    </row>
    <row r="660" spans="1:19" x14ac:dyDescent="0.25">
      <c r="A660" s="3" t="s">
        <v>1787</v>
      </c>
      <c r="B660" s="4" t="s">
        <v>293</v>
      </c>
      <c r="C660" s="14">
        <v>45006</v>
      </c>
      <c r="D660" s="4" t="s">
        <v>680</v>
      </c>
      <c r="E660" s="4" t="s">
        <v>708</v>
      </c>
      <c r="F660" s="4">
        <v>24.99</v>
      </c>
      <c r="G660" s="4">
        <v>2</v>
      </c>
      <c r="H660" s="4">
        <v>20</v>
      </c>
      <c r="I660" s="4">
        <v>19.989999999999998</v>
      </c>
      <c r="J660" s="4">
        <v>39.979999999999997</v>
      </c>
      <c r="K660" s="4" t="s">
        <v>661</v>
      </c>
      <c r="L660" s="4" t="s">
        <v>656</v>
      </c>
      <c r="M660" s="5">
        <v>5</v>
      </c>
      <c r="N660">
        <f>VLOOKUP(B660,Customers!A:J,7,0)</f>
        <v>28</v>
      </c>
      <c r="O660" t="str">
        <f>VLOOKUP(B660,Customers!A:J,5,0)</f>
        <v>Dallas</v>
      </c>
      <c r="P660" t="str">
        <f>VLOOKUP(B660,Customers!A:J,10,0)</f>
        <v>Free</v>
      </c>
      <c r="Q660" t="str">
        <f>VLOOKUP(B660,Customers!A:J,8,0)</f>
        <v>Male</v>
      </c>
      <c r="R660" t="b">
        <f t="shared" si="20"/>
        <v>1</v>
      </c>
      <c r="S660" s="18">
        <f t="shared" si="21"/>
        <v>44986</v>
      </c>
    </row>
    <row r="661" spans="1:19" x14ac:dyDescent="0.25">
      <c r="A661" s="6" t="s">
        <v>1788</v>
      </c>
      <c r="B661" s="7" t="s">
        <v>293</v>
      </c>
      <c r="C661" s="15">
        <v>45646</v>
      </c>
      <c r="D661" s="7" t="s">
        <v>672</v>
      </c>
      <c r="E661" s="7" t="s">
        <v>735</v>
      </c>
      <c r="F661" s="7">
        <v>44.99</v>
      </c>
      <c r="G661" s="7">
        <v>2</v>
      </c>
      <c r="H661" s="7">
        <v>0</v>
      </c>
      <c r="I661" s="7">
        <v>44.99</v>
      </c>
      <c r="J661" s="7">
        <v>89.98</v>
      </c>
      <c r="K661" s="7" t="s">
        <v>675</v>
      </c>
      <c r="L661" s="7" t="s">
        <v>656</v>
      </c>
      <c r="M661" s="8">
        <v>5</v>
      </c>
      <c r="N661">
        <f>VLOOKUP(B661,Customers!A:J,7,0)</f>
        <v>28</v>
      </c>
      <c r="O661" t="str">
        <f>VLOOKUP(B661,Customers!A:J,5,0)</f>
        <v>Dallas</v>
      </c>
      <c r="P661" t="str">
        <f>VLOOKUP(B661,Customers!A:J,10,0)</f>
        <v>Free</v>
      </c>
      <c r="Q661" t="str">
        <f>VLOOKUP(B661,Customers!A:J,8,0)</f>
        <v>Male</v>
      </c>
      <c r="R661" t="b">
        <f t="shared" si="20"/>
        <v>1</v>
      </c>
      <c r="S661" s="18">
        <f t="shared" si="21"/>
        <v>45627</v>
      </c>
    </row>
    <row r="662" spans="1:19" x14ac:dyDescent="0.25">
      <c r="A662" s="3" t="s">
        <v>1790</v>
      </c>
      <c r="B662" s="4" t="s">
        <v>293</v>
      </c>
      <c r="C662" s="14">
        <v>45418</v>
      </c>
      <c r="D662" s="4" t="s">
        <v>684</v>
      </c>
      <c r="E662" s="4" t="s">
        <v>702</v>
      </c>
      <c r="F662" s="4">
        <v>199.99</v>
      </c>
      <c r="G662" s="4">
        <v>4</v>
      </c>
      <c r="H662" s="4">
        <v>0</v>
      </c>
      <c r="I662" s="4">
        <v>199.99</v>
      </c>
      <c r="J662" s="4">
        <v>799.96</v>
      </c>
      <c r="K662" s="4" t="s">
        <v>675</v>
      </c>
      <c r="L662" s="4" t="s">
        <v>656</v>
      </c>
      <c r="M662" s="5">
        <v>5</v>
      </c>
      <c r="N662">
        <f>VLOOKUP(B662,Customers!A:J,7,0)</f>
        <v>28</v>
      </c>
      <c r="O662" t="str">
        <f>VLOOKUP(B662,Customers!A:J,5,0)</f>
        <v>Dallas</v>
      </c>
      <c r="P662" t="str">
        <f>VLOOKUP(B662,Customers!A:J,10,0)</f>
        <v>Free</v>
      </c>
      <c r="Q662" t="str">
        <f>VLOOKUP(B662,Customers!A:J,8,0)</f>
        <v>Male</v>
      </c>
      <c r="R662" t="b">
        <f t="shared" si="20"/>
        <v>1</v>
      </c>
      <c r="S662" s="18">
        <f t="shared" si="21"/>
        <v>45413</v>
      </c>
    </row>
    <row r="663" spans="1:19" x14ac:dyDescent="0.25">
      <c r="A663" s="6" t="s">
        <v>1791</v>
      </c>
      <c r="B663" s="7" t="s">
        <v>293</v>
      </c>
      <c r="C663" s="15">
        <v>45130</v>
      </c>
      <c r="D663" s="7" t="s">
        <v>659</v>
      </c>
      <c r="E663" s="7" t="s">
        <v>660</v>
      </c>
      <c r="F663" s="7">
        <v>19.989999999999998</v>
      </c>
      <c r="G663" s="7">
        <v>2</v>
      </c>
      <c r="H663" s="7">
        <v>0</v>
      </c>
      <c r="I663" s="7">
        <v>19.989999999999998</v>
      </c>
      <c r="J663" s="7">
        <v>39.979999999999997</v>
      </c>
      <c r="K663" s="7" t="s">
        <v>655</v>
      </c>
      <c r="L663" s="7" t="s">
        <v>788</v>
      </c>
      <c r="M663" s="8">
        <v>5</v>
      </c>
      <c r="N663">
        <f>VLOOKUP(B663,Customers!A:J,7,0)</f>
        <v>28</v>
      </c>
      <c r="O663" t="str">
        <f>VLOOKUP(B663,Customers!A:J,5,0)</f>
        <v>Dallas</v>
      </c>
      <c r="P663" t="str">
        <f>VLOOKUP(B663,Customers!A:J,10,0)</f>
        <v>Free</v>
      </c>
      <c r="Q663" t="str">
        <f>VLOOKUP(B663,Customers!A:J,8,0)</f>
        <v>Male</v>
      </c>
      <c r="R663" t="b">
        <f t="shared" si="20"/>
        <v>1</v>
      </c>
      <c r="S663" s="18">
        <f t="shared" si="21"/>
        <v>45108</v>
      </c>
    </row>
    <row r="664" spans="1:19" x14ac:dyDescent="0.25">
      <c r="A664" s="3" t="s">
        <v>1793</v>
      </c>
      <c r="B664" s="4" t="s">
        <v>293</v>
      </c>
      <c r="C664" s="14">
        <v>44685</v>
      </c>
      <c r="D664" s="4" t="s">
        <v>667</v>
      </c>
      <c r="E664" s="4" t="s">
        <v>668</v>
      </c>
      <c r="F664" s="4">
        <v>64.989999999999995</v>
      </c>
      <c r="G664" s="4">
        <v>2</v>
      </c>
      <c r="H664" s="4">
        <v>15</v>
      </c>
      <c r="I664" s="4">
        <v>55.24</v>
      </c>
      <c r="J664" s="4">
        <v>110.48</v>
      </c>
      <c r="K664" s="4" t="s">
        <v>675</v>
      </c>
      <c r="L664" s="4" t="s">
        <v>656</v>
      </c>
      <c r="M664" s="5">
        <v>4</v>
      </c>
      <c r="N664">
        <f>VLOOKUP(B664,Customers!A:J,7,0)</f>
        <v>28</v>
      </c>
      <c r="O664" t="str">
        <f>VLOOKUP(B664,Customers!A:J,5,0)</f>
        <v>Dallas</v>
      </c>
      <c r="P664" t="str">
        <f>VLOOKUP(B664,Customers!A:J,10,0)</f>
        <v>Free</v>
      </c>
      <c r="Q664" t="str">
        <f>VLOOKUP(B664,Customers!A:J,8,0)</f>
        <v>Male</v>
      </c>
      <c r="R664" t="b">
        <f t="shared" si="20"/>
        <v>1</v>
      </c>
      <c r="S664" s="18">
        <f t="shared" si="21"/>
        <v>44682</v>
      </c>
    </row>
    <row r="665" spans="1:19" x14ac:dyDescent="0.25">
      <c r="A665" s="6" t="s">
        <v>1794</v>
      </c>
      <c r="B665" s="7" t="s">
        <v>293</v>
      </c>
      <c r="C665" s="15">
        <v>44704</v>
      </c>
      <c r="D665" s="7" t="s">
        <v>667</v>
      </c>
      <c r="E665" s="7" t="s">
        <v>696</v>
      </c>
      <c r="F665" s="7">
        <v>59.99</v>
      </c>
      <c r="G665" s="7">
        <v>1</v>
      </c>
      <c r="H665" s="7">
        <v>20</v>
      </c>
      <c r="I665" s="7">
        <v>47.99</v>
      </c>
      <c r="J665" s="7">
        <v>47.99</v>
      </c>
      <c r="K665" s="7" t="s">
        <v>669</v>
      </c>
      <c r="L665" s="7" t="s">
        <v>656</v>
      </c>
      <c r="M665" s="8">
        <v>2</v>
      </c>
      <c r="N665">
        <f>VLOOKUP(B665,Customers!A:J,7,0)</f>
        <v>28</v>
      </c>
      <c r="O665" t="str">
        <f>VLOOKUP(B665,Customers!A:J,5,0)</f>
        <v>Dallas</v>
      </c>
      <c r="P665" t="str">
        <f>VLOOKUP(B665,Customers!A:J,10,0)</f>
        <v>Free</v>
      </c>
      <c r="Q665" t="str">
        <f>VLOOKUP(B665,Customers!A:J,8,0)</f>
        <v>Male</v>
      </c>
      <c r="R665" t="b">
        <f t="shared" si="20"/>
        <v>1</v>
      </c>
      <c r="S665" s="18">
        <f t="shared" si="21"/>
        <v>44682</v>
      </c>
    </row>
    <row r="666" spans="1:19" x14ac:dyDescent="0.25">
      <c r="A666" s="3" t="s">
        <v>1796</v>
      </c>
      <c r="B666" s="4" t="s">
        <v>293</v>
      </c>
      <c r="C666" s="14">
        <v>45345</v>
      </c>
      <c r="D666" s="4" t="s">
        <v>653</v>
      </c>
      <c r="E666" s="4" t="s">
        <v>827</v>
      </c>
      <c r="F666" s="4">
        <v>29.99</v>
      </c>
      <c r="G666" s="4">
        <v>3</v>
      </c>
      <c r="H666" s="4">
        <v>0</v>
      </c>
      <c r="I666" s="4">
        <v>29.99</v>
      </c>
      <c r="J666" s="4">
        <v>89.97</v>
      </c>
      <c r="K666" s="4" t="s">
        <v>655</v>
      </c>
      <c r="L666" s="4" t="s">
        <v>656</v>
      </c>
      <c r="M666" s="5"/>
      <c r="N666">
        <f>VLOOKUP(B666,Customers!A:J,7,0)</f>
        <v>28</v>
      </c>
      <c r="O666" t="str">
        <f>VLOOKUP(B666,Customers!A:J,5,0)</f>
        <v>Dallas</v>
      </c>
      <c r="P666" t="str">
        <f>VLOOKUP(B666,Customers!A:J,10,0)</f>
        <v>Free</v>
      </c>
      <c r="Q666" t="str">
        <f>VLOOKUP(B666,Customers!A:J,8,0)</f>
        <v>Male</v>
      </c>
      <c r="R666" t="b">
        <f t="shared" si="20"/>
        <v>1</v>
      </c>
      <c r="S666" s="18">
        <f t="shared" si="21"/>
        <v>45323</v>
      </c>
    </row>
    <row r="667" spans="1:19" x14ac:dyDescent="0.25">
      <c r="A667" s="6" t="s">
        <v>1798</v>
      </c>
      <c r="B667" s="7" t="s">
        <v>293</v>
      </c>
      <c r="C667" s="15">
        <v>44739</v>
      </c>
      <c r="D667" s="7" t="s">
        <v>667</v>
      </c>
      <c r="E667" s="7" t="s">
        <v>668</v>
      </c>
      <c r="F667" s="7">
        <v>64.989999999999995</v>
      </c>
      <c r="G667" s="7">
        <v>2</v>
      </c>
      <c r="H667" s="7">
        <v>0</v>
      </c>
      <c r="I667" s="7">
        <v>64.989999999999995</v>
      </c>
      <c r="J667" s="7">
        <v>129.97999999999999</v>
      </c>
      <c r="K667" s="7" t="s">
        <v>675</v>
      </c>
      <c r="L667" s="7" t="s">
        <v>656</v>
      </c>
      <c r="M667" s="8"/>
      <c r="N667">
        <f>VLOOKUP(B667,Customers!A:J,7,0)</f>
        <v>28</v>
      </c>
      <c r="O667" t="str">
        <f>VLOOKUP(B667,Customers!A:J,5,0)</f>
        <v>Dallas</v>
      </c>
      <c r="P667" t="str">
        <f>VLOOKUP(B667,Customers!A:J,10,0)</f>
        <v>Free</v>
      </c>
      <c r="Q667" t="str">
        <f>VLOOKUP(B667,Customers!A:J,8,0)</f>
        <v>Male</v>
      </c>
      <c r="R667" t="b">
        <f t="shared" si="20"/>
        <v>1</v>
      </c>
      <c r="S667" s="18">
        <f t="shared" si="21"/>
        <v>44713</v>
      </c>
    </row>
    <row r="668" spans="1:19" x14ac:dyDescent="0.25">
      <c r="A668" s="3" t="s">
        <v>1799</v>
      </c>
      <c r="B668" s="4" t="s">
        <v>293</v>
      </c>
      <c r="C668" s="14">
        <v>45378</v>
      </c>
      <c r="D668" s="4" t="s">
        <v>710</v>
      </c>
      <c r="E668" s="4" t="s">
        <v>711</v>
      </c>
      <c r="F668" s="4">
        <v>14.99</v>
      </c>
      <c r="G668" s="4">
        <v>2</v>
      </c>
      <c r="H668" s="4">
        <v>0</v>
      </c>
      <c r="I668" s="4">
        <v>14.99</v>
      </c>
      <c r="J668" s="4">
        <v>29.98</v>
      </c>
      <c r="K668" s="4" t="s">
        <v>682</v>
      </c>
      <c r="L668" s="4" t="s">
        <v>656</v>
      </c>
      <c r="M668" s="5">
        <v>3</v>
      </c>
      <c r="N668">
        <f>VLOOKUP(B668,Customers!A:J,7,0)</f>
        <v>28</v>
      </c>
      <c r="O668" t="str">
        <f>VLOOKUP(B668,Customers!A:J,5,0)</f>
        <v>Dallas</v>
      </c>
      <c r="P668" t="str">
        <f>VLOOKUP(B668,Customers!A:J,10,0)</f>
        <v>Free</v>
      </c>
      <c r="Q668" t="str">
        <f>VLOOKUP(B668,Customers!A:J,8,0)</f>
        <v>Male</v>
      </c>
      <c r="R668" t="b">
        <f t="shared" si="20"/>
        <v>1</v>
      </c>
      <c r="S668" s="18">
        <f t="shared" si="21"/>
        <v>45352</v>
      </c>
    </row>
    <row r="669" spans="1:19" x14ac:dyDescent="0.25">
      <c r="A669" s="6" t="s">
        <v>1800</v>
      </c>
      <c r="B669" s="7" t="s">
        <v>293</v>
      </c>
      <c r="C669" s="15">
        <v>45121</v>
      </c>
      <c r="D669" s="7" t="s">
        <v>659</v>
      </c>
      <c r="E669" s="7" t="s">
        <v>820</v>
      </c>
      <c r="F669" s="7">
        <v>39.99</v>
      </c>
      <c r="G669" s="7">
        <v>4</v>
      </c>
      <c r="H669" s="7">
        <v>0</v>
      </c>
      <c r="I669" s="7">
        <v>39.99</v>
      </c>
      <c r="J669" s="7">
        <v>159.96</v>
      </c>
      <c r="K669" s="7" t="s">
        <v>682</v>
      </c>
      <c r="L669" s="7" t="s">
        <v>656</v>
      </c>
      <c r="M669" s="8">
        <v>5</v>
      </c>
      <c r="N669">
        <f>VLOOKUP(B669,Customers!A:J,7,0)</f>
        <v>28</v>
      </c>
      <c r="O669" t="str">
        <f>VLOOKUP(B669,Customers!A:J,5,0)</f>
        <v>Dallas</v>
      </c>
      <c r="P669" t="str">
        <f>VLOOKUP(B669,Customers!A:J,10,0)</f>
        <v>Free</v>
      </c>
      <c r="Q669" t="str">
        <f>VLOOKUP(B669,Customers!A:J,8,0)</f>
        <v>Male</v>
      </c>
      <c r="R669" t="b">
        <f t="shared" si="20"/>
        <v>1</v>
      </c>
      <c r="S669" s="18">
        <f t="shared" si="21"/>
        <v>45108</v>
      </c>
    </row>
    <row r="670" spans="1:19" x14ac:dyDescent="0.25">
      <c r="A670" s="3" t="s">
        <v>1801</v>
      </c>
      <c r="B670" s="4" t="s">
        <v>293</v>
      </c>
      <c r="C670" s="14">
        <v>44991</v>
      </c>
      <c r="D670" s="4" t="s">
        <v>680</v>
      </c>
      <c r="E670" s="4" t="s">
        <v>681</v>
      </c>
      <c r="F670" s="4">
        <v>19.989999999999998</v>
      </c>
      <c r="G670" s="4">
        <v>2</v>
      </c>
      <c r="H670" s="4">
        <v>20</v>
      </c>
      <c r="I670" s="4">
        <v>15.99</v>
      </c>
      <c r="J670" s="4">
        <v>31.98</v>
      </c>
      <c r="K670" s="4" t="s">
        <v>661</v>
      </c>
      <c r="L670" s="4" t="s">
        <v>656</v>
      </c>
      <c r="M670" s="5"/>
      <c r="N670">
        <f>VLOOKUP(B670,Customers!A:J,7,0)</f>
        <v>28</v>
      </c>
      <c r="O670" t="str">
        <f>VLOOKUP(B670,Customers!A:J,5,0)</f>
        <v>Dallas</v>
      </c>
      <c r="P670" t="str">
        <f>VLOOKUP(B670,Customers!A:J,10,0)</f>
        <v>Free</v>
      </c>
      <c r="Q670" t="str">
        <f>VLOOKUP(B670,Customers!A:J,8,0)</f>
        <v>Male</v>
      </c>
      <c r="R670" t="b">
        <f t="shared" si="20"/>
        <v>1</v>
      </c>
      <c r="S670" s="18">
        <f t="shared" si="21"/>
        <v>44986</v>
      </c>
    </row>
    <row r="671" spans="1:19" x14ac:dyDescent="0.25">
      <c r="A671" s="6" t="s">
        <v>1802</v>
      </c>
      <c r="B671" s="7" t="s">
        <v>293</v>
      </c>
      <c r="C671" s="15">
        <v>44656</v>
      </c>
      <c r="D671" s="7" t="s">
        <v>653</v>
      </c>
      <c r="E671" s="7" t="s">
        <v>827</v>
      </c>
      <c r="F671" s="7">
        <v>29.99</v>
      </c>
      <c r="G671" s="7">
        <v>2</v>
      </c>
      <c r="H671" s="7">
        <v>10</v>
      </c>
      <c r="I671" s="7">
        <v>26.99</v>
      </c>
      <c r="J671" s="7">
        <v>53.98</v>
      </c>
      <c r="K671" s="7" t="s">
        <v>682</v>
      </c>
      <c r="L671" s="7" t="s">
        <v>656</v>
      </c>
      <c r="M671" s="8"/>
      <c r="N671">
        <f>VLOOKUP(B671,Customers!A:J,7,0)</f>
        <v>28</v>
      </c>
      <c r="O671" t="str">
        <f>VLOOKUP(B671,Customers!A:J,5,0)</f>
        <v>Dallas</v>
      </c>
      <c r="P671" t="str">
        <f>VLOOKUP(B671,Customers!A:J,10,0)</f>
        <v>Free</v>
      </c>
      <c r="Q671" t="str">
        <f>VLOOKUP(B671,Customers!A:J,8,0)</f>
        <v>Male</v>
      </c>
      <c r="R671" t="b">
        <f t="shared" si="20"/>
        <v>1</v>
      </c>
      <c r="S671" s="18">
        <f t="shared" si="21"/>
        <v>44652</v>
      </c>
    </row>
    <row r="672" spans="1:19" x14ac:dyDescent="0.25">
      <c r="A672" s="3" t="s">
        <v>1803</v>
      </c>
      <c r="B672" s="4" t="s">
        <v>293</v>
      </c>
      <c r="C672" s="14">
        <v>45087</v>
      </c>
      <c r="D672" s="4" t="s">
        <v>667</v>
      </c>
      <c r="E672" s="4" t="s">
        <v>714</v>
      </c>
      <c r="F672" s="4">
        <v>44.99</v>
      </c>
      <c r="G672" s="4">
        <v>2</v>
      </c>
      <c r="H672" s="4">
        <v>5</v>
      </c>
      <c r="I672" s="4">
        <v>42.74</v>
      </c>
      <c r="J672" s="4">
        <v>85.48</v>
      </c>
      <c r="K672" s="4" t="s">
        <v>655</v>
      </c>
      <c r="L672" s="4" t="s">
        <v>656</v>
      </c>
      <c r="M672" s="5">
        <v>3</v>
      </c>
      <c r="N672">
        <f>VLOOKUP(B672,Customers!A:J,7,0)</f>
        <v>28</v>
      </c>
      <c r="O672" t="str">
        <f>VLOOKUP(B672,Customers!A:J,5,0)</f>
        <v>Dallas</v>
      </c>
      <c r="P672" t="str">
        <f>VLOOKUP(B672,Customers!A:J,10,0)</f>
        <v>Free</v>
      </c>
      <c r="Q672" t="str">
        <f>VLOOKUP(B672,Customers!A:J,8,0)</f>
        <v>Male</v>
      </c>
      <c r="R672" t="b">
        <f t="shared" si="20"/>
        <v>1</v>
      </c>
      <c r="S672" s="18">
        <f t="shared" si="21"/>
        <v>45078</v>
      </c>
    </row>
    <row r="673" spans="1:19" x14ac:dyDescent="0.25">
      <c r="A673" s="6" t="s">
        <v>1804</v>
      </c>
      <c r="B673" s="7" t="s">
        <v>293</v>
      </c>
      <c r="C673" s="15">
        <v>45344</v>
      </c>
      <c r="D673" s="7" t="s">
        <v>672</v>
      </c>
      <c r="E673" s="7" t="s">
        <v>673</v>
      </c>
      <c r="F673" s="7">
        <v>24.99</v>
      </c>
      <c r="G673" s="7">
        <v>4</v>
      </c>
      <c r="H673" s="7">
        <v>5</v>
      </c>
      <c r="I673" s="7">
        <v>23.74</v>
      </c>
      <c r="J673" s="7">
        <v>94.96</v>
      </c>
      <c r="K673" s="7" t="s">
        <v>682</v>
      </c>
      <c r="L673" s="7" t="s">
        <v>656</v>
      </c>
      <c r="M673" s="8"/>
      <c r="N673">
        <f>VLOOKUP(B673,Customers!A:J,7,0)</f>
        <v>28</v>
      </c>
      <c r="O673" t="str">
        <f>VLOOKUP(B673,Customers!A:J,5,0)</f>
        <v>Dallas</v>
      </c>
      <c r="P673" t="str">
        <f>VLOOKUP(B673,Customers!A:J,10,0)</f>
        <v>Free</v>
      </c>
      <c r="Q673" t="str">
        <f>VLOOKUP(B673,Customers!A:J,8,0)</f>
        <v>Male</v>
      </c>
      <c r="R673" t="b">
        <f t="shared" si="20"/>
        <v>1</v>
      </c>
      <c r="S673" s="18">
        <f t="shared" si="21"/>
        <v>45323</v>
      </c>
    </row>
    <row r="674" spans="1:19" x14ac:dyDescent="0.25">
      <c r="A674" s="3" t="s">
        <v>1806</v>
      </c>
      <c r="B674" s="4" t="s">
        <v>296</v>
      </c>
      <c r="C674" s="14">
        <v>45341</v>
      </c>
      <c r="D674" s="4" t="s">
        <v>680</v>
      </c>
      <c r="E674" s="4" t="s">
        <v>681</v>
      </c>
      <c r="F674" s="4">
        <v>19.989999999999998</v>
      </c>
      <c r="G674" s="4">
        <v>4</v>
      </c>
      <c r="H674" s="4">
        <v>5</v>
      </c>
      <c r="I674" s="4">
        <v>18.989999999999998</v>
      </c>
      <c r="J674" s="4">
        <v>75.959999999999994</v>
      </c>
      <c r="K674" s="4" t="s">
        <v>669</v>
      </c>
      <c r="L674" s="4" t="s">
        <v>656</v>
      </c>
      <c r="M674" s="5">
        <v>3</v>
      </c>
      <c r="N674">
        <f>VLOOKUP(B674,Customers!A:J,7,0)</f>
        <v>58</v>
      </c>
      <c r="O674" t="str">
        <f>VLOOKUP(B674,Customers!A:J,5,0)</f>
        <v>Chicago</v>
      </c>
      <c r="P674" t="str">
        <f>VLOOKUP(B674,Customers!A:J,10,0)</f>
        <v>Free</v>
      </c>
      <c r="Q674" t="str">
        <f>VLOOKUP(B674,Customers!A:J,8,0)</f>
        <v>Male</v>
      </c>
      <c r="R674" t="b">
        <f t="shared" si="20"/>
        <v>1</v>
      </c>
      <c r="S674" s="18">
        <f t="shared" si="21"/>
        <v>45323</v>
      </c>
    </row>
    <row r="675" spans="1:19" x14ac:dyDescent="0.25">
      <c r="A675" s="6" t="s">
        <v>1807</v>
      </c>
      <c r="B675" s="7" t="s">
        <v>296</v>
      </c>
      <c r="C675" s="15">
        <v>45333</v>
      </c>
      <c r="D675" s="7" t="s">
        <v>710</v>
      </c>
      <c r="E675" s="7" t="s">
        <v>730</v>
      </c>
      <c r="F675" s="7">
        <v>39.99</v>
      </c>
      <c r="G675" s="7">
        <v>1</v>
      </c>
      <c r="H675" s="7">
        <v>20</v>
      </c>
      <c r="I675" s="7">
        <v>31.99</v>
      </c>
      <c r="J675" s="7">
        <v>31.99</v>
      </c>
      <c r="K675" s="7" t="s">
        <v>682</v>
      </c>
      <c r="L675" s="7" t="s">
        <v>656</v>
      </c>
      <c r="M675" s="8"/>
      <c r="N675">
        <f>VLOOKUP(B675,Customers!A:J,7,0)</f>
        <v>58</v>
      </c>
      <c r="O675" t="str">
        <f>VLOOKUP(B675,Customers!A:J,5,0)</f>
        <v>Chicago</v>
      </c>
      <c r="P675" t="str">
        <f>VLOOKUP(B675,Customers!A:J,10,0)</f>
        <v>Free</v>
      </c>
      <c r="Q675" t="str">
        <f>VLOOKUP(B675,Customers!A:J,8,0)</f>
        <v>Male</v>
      </c>
      <c r="R675" t="b">
        <f t="shared" si="20"/>
        <v>1</v>
      </c>
      <c r="S675" s="18">
        <f t="shared" si="21"/>
        <v>45323</v>
      </c>
    </row>
    <row r="676" spans="1:19" x14ac:dyDescent="0.25">
      <c r="A676" s="3" t="s">
        <v>1808</v>
      </c>
      <c r="B676" s="4" t="s">
        <v>296</v>
      </c>
      <c r="C676" s="14">
        <v>44747</v>
      </c>
      <c r="D676" s="4" t="s">
        <v>659</v>
      </c>
      <c r="E676" s="4" t="s">
        <v>664</v>
      </c>
      <c r="F676" s="4">
        <v>24.99</v>
      </c>
      <c r="G676" s="4">
        <v>4</v>
      </c>
      <c r="H676" s="4">
        <v>0</v>
      </c>
      <c r="I676" s="4">
        <v>24.99</v>
      </c>
      <c r="J676" s="4">
        <v>99.96</v>
      </c>
      <c r="K676" s="4" t="s">
        <v>669</v>
      </c>
      <c r="L676" s="4" t="s">
        <v>788</v>
      </c>
      <c r="M676" s="5">
        <v>4</v>
      </c>
      <c r="N676">
        <f>VLOOKUP(B676,Customers!A:J,7,0)</f>
        <v>58</v>
      </c>
      <c r="O676" t="str">
        <f>VLOOKUP(B676,Customers!A:J,5,0)</f>
        <v>Chicago</v>
      </c>
      <c r="P676" t="str">
        <f>VLOOKUP(B676,Customers!A:J,10,0)</f>
        <v>Free</v>
      </c>
      <c r="Q676" t="str">
        <f>VLOOKUP(B676,Customers!A:J,8,0)</f>
        <v>Male</v>
      </c>
      <c r="R676" t="b">
        <f t="shared" si="20"/>
        <v>1</v>
      </c>
      <c r="S676" s="18">
        <f t="shared" si="21"/>
        <v>44743</v>
      </c>
    </row>
    <row r="677" spans="1:19" x14ac:dyDescent="0.25">
      <c r="A677" s="6" t="s">
        <v>1810</v>
      </c>
      <c r="B677" s="7" t="s">
        <v>299</v>
      </c>
      <c r="C677" s="15">
        <v>45218</v>
      </c>
      <c r="D677" s="7" t="s">
        <v>710</v>
      </c>
      <c r="E677" s="7" t="s">
        <v>730</v>
      </c>
      <c r="F677" s="7">
        <v>39.99</v>
      </c>
      <c r="G677" s="7">
        <v>1</v>
      </c>
      <c r="H677" s="7">
        <v>0</v>
      </c>
      <c r="I677" s="7">
        <v>39.99</v>
      </c>
      <c r="J677" s="7">
        <v>39.99</v>
      </c>
      <c r="K677" s="7" t="s">
        <v>675</v>
      </c>
      <c r="L677" s="7" t="s">
        <v>785</v>
      </c>
      <c r="M677" s="8"/>
      <c r="N677">
        <f>VLOOKUP(B677,Customers!A:J,7,0)</f>
        <v>48</v>
      </c>
      <c r="O677" t="str">
        <f>VLOOKUP(B677,Customers!A:J,5,0)</f>
        <v>New York</v>
      </c>
      <c r="P677" t="str">
        <f>VLOOKUP(B677,Customers!A:J,10,0)</f>
        <v>Silver</v>
      </c>
      <c r="Q677" t="str">
        <f>VLOOKUP(B677,Customers!A:J,8,0)</f>
        <v>Male</v>
      </c>
      <c r="R677" t="b">
        <f t="shared" si="20"/>
        <v>1</v>
      </c>
      <c r="S677" s="18">
        <f t="shared" si="21"/>
        <v>45200</v>
      </c>
    </row>
    <row r="678" spans="1:19" x14ac:dyDescent="0.25">
      <c r="A678" s="3" t="s">
        <v>1811</v>
      </c>
      <c r="B678" s="4" t="s">
        <v>299</v>
      </c>
      <c r="C678" s="14">
        <v>45153</v>
      </c>
      <c r="D678" s="4" t="s">
        <v>653</v>
      </c>
      <c r="E678" s="4" t="s">
        <v>727</v>
      </c>
      <c r="F678" s="4">
        <v>14.99</v>
      </c>
      <c r="G678" s="4">
        <v>2</v>
      </c>
      <c r="H678" s="4">
        <v>5</v>
      </c>
      <c r="I678" s="4">
        <v>14.24</v>
      </c>
      <c r="J678" s="4">
        <v>28.48</v>
      </c>
      <c r="K678" s="4" t="s">
        <v>675</v>
      </c>
      <c r="L678" s="4" t="s">
        <v>656</v>
      </c>
      <c r="M678" s="5"/>
      <c r="N678">
        <f>VLOOKUP(B678,Customers!A:J,7,0)</f>
        <v>48</v>
      </c>
      <c r="O678" t="str">
        <f>VLOOKUP(B678,Customers!A:J,5,0)</f>
        <v>New York</v>
      </c>
      <c r="P678" t="str">
        <f>VLOOKUP(B678,Customers!A:J,10,0)</f>
        <v>Silver</v>
      </c>
      <c r="Q678" t="str">
        <f>VLOOKUP(B678,Customers!A:J,8,0)</f>
        <v>Male</v>
      </c>
      <c r="R678" t="b">
        <f t="shared" si="20"/>
        <v>1</v>
      </c>
      <c r="S678" s="18">
        <f t="shared" si="21"/>
        <v>45139</v>
      </c>
    </row>
    <row r="679" spans="1:19" x14ac:dyDescent="0.25">
      <c r="A679" s="6" t="s">
        <v>1813</v>
      </c>
      <c r="B679" s="7" t="s">
        <v>299</v>
      </c>
      <c r="C679" s="15">
        <v>44941</v>
      </c>
      <c r="D679" s="7" t="s">
        <v>672</v>
      </c>
      <c r="E679" s="7" t="s">
        <v>803</v>
      </c>
      <c r="F679" s="7">
        <v>69.989999999999995</v>
      </c>
      <c r="G679" s="7">
        <v>4</v>
      </c>
      <c r="H679" s="7">
        <v>0</v>
      </c>
      <c r="I679" s="7">
        <v>69.989999999999995</v>
      </c>
      <c r="J679" s="7">
        <v>279.95999999999998</v>
      </c>
      <c r="K679" s="7" t="s">
        <v>682</v>
      </c>
      <c r="L679" s="7" t="s">
        <v>656</v>
      </c>
      <c r="M679" s="8">
        <v>5</v>
      </c>
      <c r="N679">
        <f>VLOOKUP(B679,Customers!A:J,7,0)</f>
        <v>48</v>
      </c>
      <c r="O679" t="str">
        <f>VLOOKUP(B679,Customers!A:J,5,0)</f>
        <v>New York</v>
      </c>
      <c r="P679" t="str">
        <f>VLOOKUP(B679,Customers!A:J,10,0)</f>
        <v>Silver</v>
      </c>
      <c r="Q679" t="str">
        <f>VLOOKUP(B679,Customers!A:J,8,0)</f>
        <v>Male</v>
      </c>
      <c r="R679" t="b">
        <f t="shared" si="20"/>
        <v>1</v>
      </c>
      <c r="S679" s="18">
        <f t="shared" si="21"/>
        <v>44927</v>
      </c>
    </row>
    <row r="680" spans="1:19" x14ac:dyDescent="0.25">
      <c r="A680" s="3" t="s">
        <v>1814</v>
      </c>
      <c r="B680" s="4" t="s">
        <v>302</v>
      </c>
      <c r="C680" s="14">
        <v>45164</v>
      </c>
      <c r="D680" s="4" t="s">
        <v>684</v>
      </c>
      <c r="E680" s="4" t="s">
        <v>702</v>
      </c>
      <c r="F680" s="4">
        <v>199.99</v>
      </c>
      <c r="G680" s="4">
        <v>3</v>
      </c>
      <c r="H680" s="4">
        <v>20</v>
      </c>
      <c r="I680" s="4">
        <v>159.99</v>
      </c>
      <c r="J680" s="4">
        <v>479.97</v>
      </c>
      <c r="K680" s="4" t="s">
        <v>661</v>
      </c>
      <c r="L680" s="4" t="s">
        <v>656</v>
      </c>
      <c r="M680" s="5">
        <v>5</v>
      </c>
      <c r="N680">
        <f>VLOOKUP(B680,Customers!A:J,7,0)</f>
        <v>24</v>
      </c>
      <c r="O680" t="str">
        <f>VLOOKUP(B680,Customers!A:J,5,0)</f>
        <v>Chicago</v>
      </c>
      <c r="P680" t="str">
        <f>VLOOKUP(B680,Customers!A:J,10,0)</f>
        <v>Platinum</v>
      </c>
      <c r="Q680" t="str">
        <f>VLOOKUP(B680,Customers!A:J,8,0)</f>
        <v>Male</v>
      </c>
      <c r="R680" t="b">
        <f t="shared" si="20"/>
        <v>1</v>
      </c>
      <c r="S680" s="18">
        <f t="shared" si="21"/>
        <v>45139</v>
      </c>
    </row>
    <row r="681" spans="1:19" x14ac:dyDescent="0.25">
      <c r="A681" s="6" t="s">
        <v>1815</v>
      </c>
      <c r="B681" s="7" t="s">
        <v>302</v>
      </c>
      <c r="C681" s="15">
        <v>45495</v>
      </c>
      <c r="D681" s="7" t="s">
        <v>667</v>
      </c>
      <c r="E681" s="7" t="s">
        <v>668</v>
      </c>
      <c r="F681" s="7">
        <v>64.989999999999995</v>
      </c>
      <c r="G681" s="7">
        <v>2</v>
      </c>
      <c r="H681" s="7">
        <v>0</v>
      </c>
      <c r="I681" s="7">
        <v>64.989999999999995</v>
      </c>
      <c r="J681" s="7">
        <v>129.97999999999999</v>
      </c>
      <c r="K681" s="7" t="s">
        <v>682</v>
      </c>
      <c r="L681" s="7" t="s">
        <v>656</v>
      </c>
      <c r="M681" s="8"/>
      <c r="N681">
        <f>VLOOKUP(B681,Customers!A:J,7,0)</f>
        <v>24</v>
      </c>
      <c r="O681" t="str">
        <f>VLOOKUP(B681,Customers!A:J,5,0)</f>
        <v>Chicago</v>
      </c>
      <c r="P681" t="str">
        <f>VLOOKUP(B681,Customers!A:J,10,0)</f>
        <v>Platinum</v>
      </c>
      <c r="Q681" t="str">
        <f>VLOOKUP(B681,Customers!A:J,8,0)</f>
        <v>Male</v>
      </c>
      <c r="R681" t="b">
        <f t="shared" si="20"/>
        <v>1</v>
      </c>
      <c r="S681" s="18">
        <f t="shared" si="21"/>
        <v>45474</v>
      </c>
    </row>
    <row r="682" spans="1:19" x14ac:dyDescent="0.25">
      <c r="A682" s="3" t="s">
        <v>1817</v>
      </c>
      <c r="B682" s="4" t="s">
        <v>302</v>
      </c>
      <c r="C682" s="14">
        <v>45192</v>
      </c>
      <c r="D682" s="4" t="s">
        <v>680</v>
      </c>
      <c r="E682" s="4" t="s">
        <v>681</v>
      </c>
      <c r="F682" s="4">
        <v>19.989999999999998</v>
      </c>
      <c r="G682" s="4">
        <v>3</v>
      </c>
      <c r="H682" s="4">
        <v>0</v>
      </c>
      <c r="I682" s="4">
        <v>19.989999999999998</v>
      </c>
      <c r="J682" s="4">
        <v>59.97</v>
      </c>
      <c r="K682" s="4" t="s">
        <v>655</v>
      </c>
      <c r="L682" s="4" t="s">
        <v>656</v>
      </c>
      <c r="M682" s="5"/>
      <c r="N682">
        <f>VLOOKUP(B682,Customers!A:J,7,0)</f>
        <v>24</v>
      </c>
      <c r="O682" t="str">
        <f>VLOOKUP(B682,Customers!A:J,5,0)</f>
        <v>Chicago</v>
      </c>
      <c r="P682" t="str">
        <f>VLOOKUP(B682,Customers!A:J,10,0)</f>
        <v>Platinum</v>
      </c>
      <c r="Q682" t="str">
        <f>VLOOKUP(B682,Customers!A:J,8,0)</f>
        <v>Male</v>
      </c>
      <c r="R682" t="b">
        <f t="shared" si="20"/>
        <v>1</v>
      </c>
      <c r="S682" s="18">
        <f t="shared" si="21"/>
        <v>45170</v>
      </c>
    </row>
    <row r="683" spans="1:19" x14ac:dyDescent="0.25">
      <c r="A683" s="6" t="s">
        <v>1818</v>
      </c>
      <c r="B683" s="7" t="s">
        <v>302</v>
      </c>
      <c r="C683" s="15">
        <v>45293</v>
      </c>
      <c r="D683" s="7" t="s">
        <v>653</v>
      </c>
      <c r="E683" s="7" t="s">
        <v>654</v>
      </c>
      <c r="F683" s="7">
        <v>39.99</v>
      </c>
      <c r="G683" s="7">
        <v>4</v>
      </c>
      <c r="H683" s="7">
        <v>15</v>
      </c>
      <c r="I683" s="7">
        <v>33.99</v>
      </c>
      <c r="J683" s="7">
        <v>135.96</v>
      </c>
      <c r="K683" s="7" t="s">
        <v>655</v>
      </c>
      <c r="L683" s="7" t="s">
        <v>656</v>
      </c>
      <c r="M683" s="8">
        <v>3</v>
      </c>
      <c r="N683">
        <f>VLOOKUP(B683,Customers!A:J,7,0)</f>
        <v>24</v>
      </c>
      <c r="O683" t="str">
        <f>VLOOKUP(B683,Customers!A:J,5,0)</f>
        <v>Chicago</v>
      </c>
      <c r="P683" t="str">
        <f>VLOOKUP(B683,Customers!A:J,10,0)</f>
        <v>Platinum</v>
      </c>
      <c r="Q683" t="str">
        <f>VLOOKUP(B683,Customers!A:J,8,0)</f>
        <v>Male</v>
      </c>
      <c r="R683" t="b">
        <f t="shared" si="20"/>
        <v>1</v>
      </c>
      <c r="S683" s="18">
        <f t="shared" si="21"/>
        <v>45292</v>
      </c>
    </row>
    <row r="684" spans="1:19" x14ac:dyDescent="0.25">
      <c r="A684" s="3" t="s">
        <v>1820</v>
      </c>
      <c r="B684" s="4" t="s">
        <v>302</v>
      </c>
      <c r="C684" s="14">
        <v>45312</v>
      </c>
      <c r="D684" s="4" t="s">
        <v>680</v>
      </c>
      <c r="E684" s="4" t="s">
        <v>708</v>
      </c>
      <c r="F684" s="4">
        <v>24.99</v>
      </c>
      <c r="G684" s="4">
        <v>4</v>
      </c>
      <c r="H684" s="4">
        <v>20</v>
      </c>
      <c r="I684" s="4">
        <v>19.989999999999998</v>
      </c>
      <c r="J684" s="4">
        <v>79.959999999999994</v>
      </c>
      <c r="K684" s="4" t="s">
        <v>682</v>
      </c>
      <c r="L684" s="4" t="s">
        <v>656</v>
      </c>
      <c r="M684" s="5">
        <v>5</v>
      </c>
      <c r="N684">
        <f>VLOOKUP(B684,Customers!A:J,7,0)</f>
        <v>24</v>
      </c>
      <c r="O684" t="str">
        <f>VLOOKUP(B684,Customers!A:J,5,0)</f>
        <v>Chicago</v>
      </c>
      <c r="P684" t="str">
        <f>VLOOKUP(B684,Customers!A:J,10,0)</f>
        <v>Platinum</v>
      </c>
      <c r="Q684" t="str">
        <f>VLOOKUP(B684,Customers!A:J,8,0)</f>
        <v>Male</v>
      </c>
      <c r="R684" t="b">
        <f t="shared" si="20"/>
        <v>1</v>
      </c>
      <c r="S684" s="18">
        <f t="shared" si="21"/>
        <v>45292</v>
      </c>
    </row>
    <row r="685" spans="1:19" x14ac:dyDescent="0.25">
      <c r="A685" s="6" t="s">
        <v>1821</v>
      </c>
      <c r="B685" s="7" t="s">
        <v>302</v>
      </c>
      <c r="C685" s="15">
        <v>44643</v>
      </c>
      <c r="D685" s="7" t="s">
        <v>684</v>
      </c>
      <c r="E685" s="7" t="s">
        <v>685</v>
      </c>
      <c r="F685" s="7">
        <v>49.99</v>
      </c>
      <c r="G685" s="7">
        <v>3</v>
      </c>
      <c r="H685" s="7">
        <v>5</v>
      </c>
      <c r="I685" s="7">
        <v>47.49</v>
      </c>
      <c r="J685" s="7">
        <v>142.47</v>
      </c>
      <c r="K685" s="7" t="s">
        <v>655</v>
      </c>
      <c r="L685" s="7" t="s">
        <v>656</v>
      </c>
      <c r="M685" s="8"/>
      <c r="N685">
        <f>VLOOKUP(B685,Customers!A:J,7,0)</f>
        <v>24</v>
      </c>
      <c r="O685" t="str">
        <f>VLOOKUP(B685,Customers!A:J,5,0)</f>
        <v>Chicago</v>
      </c>
      <c r="P685" t="str">
        <f>VLOOKUP(B685,Customers!A:J,10,0)</f>
        <v>Platinum</v>
      </c>
      <c r="Q685" t="str">
        <f>VLOOKUP(B685,Customers!A:J,8,0)</f>
        <v>Male</v>
      </c>
      <c r="R685" t="b">
        <f t="shared" si="20"/>
        <v>1</v>
      </c>
      <c r="S685" s="18">
        <f t="shared" si="21"/>
        <v>44621</v>
      </c>
    </row>
    <row r="686" spans="1:19" x14ac:dyDescent="0.25">
      <c r="A686" s="3" t="s">
        <v>1822</v>
      </c>
      <c r="B686" s="4" t="s">
        <v>302</v>
      </c>
      <c r="C686" s="14">
        <v>45109</v>
      </c>
      <c r="D686" s="4" t="s">
        <v>672</v>
      </c>
      <c r="E686" s="4" t="s">
        <v>735</v>
      </c>
      <c r="F686" s="4">
        <v>44.99</v>
      </c>
      <c r="G686" s="4">
        <v>1</v>
      </c>
      <c r="H686" s="4">
        <v>20</v>
      </c>
      <c r="I686" s="4">
        <v>35.99</v>
      </c>
      <c r="J686" s="4">
        <v>35.99</v>
      </c>
      <c r="K686" s="4" t="s">
        <v>669</v>
      </c>
      <c r="L686" s="4" t="s">
        <v>656</v>
      </c>
      <c r="M686" s="5"/>
      <c r="N686">
        <f>VLOOKUP(B686,Customers!A:J,7,0)</f>
        <v>24</v>
      </c>
      <c r="O686" t="str">
        <f>VLOOKUP(B686,Customers!A:J,5,0)</f>
        <v>Chicago</v>
      </c>
      <c r="P686" t="str">
        <f>VLOOKUP(B686,Customers!A:J,10,0)</f>
        <v>Platinum</v>
      </c>
      <c r="Q686" t="str">
        <f>VLOOKUP(B686,Customers!A:J,8,0)</f>
        <v>Male</v>
      </c>
      <c r="R686" t="b">
        <f t="shared" si="20"/>
        <v>1</v>
      </c>
      <c r="S686" s="18">
        <f t="shared" si="21"/>
        <v>45108</v>
      </c>
    </row>
    <row r="687" spans="1:19" x14ac:dyDescent="0.25">
      <c r="A687" s="6" t="s">
        <v>1824</v>
      </c>
      <c r="B687" s="7" t="s">
        <v>302</v>
      </c>
      <c r="C687" s="15">
        <v>44809</v>
      </c>
      <c r="D687" s="7" t="s">
        <v>680</v>
      </c>
      <c r="E687" s="7" t="s">
        <v>688</v>
      </c>
      <c r="F687" s="7">
        <v>29.99</v>
      </c>
      <c r="G687" s="7">
        <v>1</v>
      </c>
      <c r="H687" s="7">
        <v>5</v>
      </c>
      <c r="I687" s="7">
        <v>28.49</v>
      </c>
      <c r="J687" s="7">
        <v>28.49</v>
      </c>
      <c r="K687" s="7" t="s">
        <v>655</v>
      </c>
      <c r="L687" s="7" t="s">
        <v>693</v>
      </c>
      <c r="M687" s="8">
        <v>4</v>
      </c>
      <c r="N687">
        <f>VLOOKUP(B687,Customers!A:J,7,0)</f>
        <v>24</v>
      </c>
      <c r="O687" t="str">
        <f>VLOOKUP(B687,Customers!A:J,5,0)</f>
        <v>Chicago</v>
      </c>
      <c r="P687" t="str">
        <f>VLOOKUP(B687,Customers!A:J,10,0)</f>
        <v>Platinum</v>
      </c>
      <c r="Q687" t="str">
        <f>VLOOKUP(B687,Customers!A:J,8,0)</f>
        <v>Male</v>
      </c>
      <c r="R687" t="b">
        <f t="shared" si="20"/>
        <v>1</v>
      </c>
      <c r="S687" s="18">
        <f t="shared" si="21"/>
        <v>44805</v>
      </c>
    </row>
    <row r="688" spans="1:19" x14ac:dyDescent="0.25">
      <c r="A688" s="3" t="s">
        <v>1825</v>
      </c>
      <c r="B688" s="4" t="s">
        <v>302</v>
      </c>
      <c r="C688" s="14">
        <v>44779</v>
      </c>
      <c r="D688" s="4" t="s">
        <v>710</v>
      </c>
      <c r="E688" s="4" t="s">
        <v>744</v>
      </c>
      <c r="F688" s="4">
        <v>29.99</v>
      </c>
      <c r="G688" s="4">
        <v>2</v>
      </c>
      <c r="H688" s="4">
        <v>15</v>
      </c>
      <c r="I688" s="4">
        <v>25.49</v>
      </c>
      <c r="J688" s="4">
        <v>50.98</v>
      </c>
      <c r="K688" s="4" t="s">
        <v>669</v>
      </c>
      <c r="L688" s="4" t="s">
        <v>656</v>
      </c>
      <c r="M688" s="5">
        <v>2</v>
      </c>
      <c r="N688">
        <f>VLOOKUP(B688,Customers!A:J,7,0)</f>
        <v>24</v>
      </c>
      <c r="O688" t="str">
        <f>VLOOKUP(B688,Customers!A:J,5,0)</f>
        <v>Chicago</v>
      </c>
      <c r="P688" t="str">
        <f>VLOOKUP(B688,Customers!A:J,10,0)</f>
        <v>Platinum</v>
      </c>
      <c r="Q688" t="str">
        <f>VLOOKUP(B688,Customers!A:J,8,0)</f>
        <v>Male</v>
      </c>
      <c r="R688" t="b">
        <f t="shared" si="20"/>
        <v>1</v>
      </c>
      <c r="S688" s="18">
        <f t="shared" si="21"/>
        <v>44774</v>
      </c>
    </row>
    <row r="689" spans="1:19" x14ac:dyDescent="0.25">
      <c r="A689" s="6" t="s">
        <v>1826</v>
      </c>
      <c r="B689" s="7" t="s">
        <v>302</v>
      </c>
      <c r="C689" s="15">
        <v>45139</v>
      </c>
      <c r="D689" s="7" t="s">
        <v>680</v>
      </c>
      <c r="E689" s="7" t="s">
        <v>749</v>
      </c>
      <c r="F689" s="7">
        <v>14.99</v>
      </c>
      <c r="G689" s="7">
        <v>2</v>
      </c>
      <c r="H689" s="7">
        <v>0</v>
      </c>
      <c r="I689" s="7">
        <v>14.99</v>
      </c>
      <c r="J689" s="7">
        <v>29.98</v>
      </c>
      <c r="K689" s="7" t="s">
        <v>675</v>
      </c>
      <c r="L689" s="7" t="s">
        <v>656</v>
      </c>
      <c r="M689" s="8"/>
      <c r="N689">
        <f>VLOOKUP(B689,Customers!A:J,7,0)</f>
        <v>24</v>
      </c>
      <c r="O689" t="str">
        <f>VLOOKUP(B689,Customers!A:J,5,0)</f>
        <v>Chicago</v>
      </c>
      <c r="P689" t="str">
        <f>VLOOKUP(B689,Customers!A:J,10,0)</f>
        <v>Platinum</v>
      </c>
      <c r="Q689" t="str">
        <f>VLOOKUP(B689,Customers!A:J,8,0)</f>
        <v>Male</v>
      </c>
      <c r="R689" t="b">
        <f t="shared" si="20"/>
        <v>1</v>
      </c>
      <c r="S689" s="18">
        <f t="shared" si="21"/>
        <v>45139</v>
      </c>
    </row>
    <row r="690" spans="1:19" x14ac:dyDescent="0.25">
      <c r="A690" s="3" t="s">
        <v>1827</v>
      </c>
      <c r="B690" s="4" t="s">
        <v>302</v>
      </c>
      <c r="C690" s="14">
        <v>44973</v>
      </c>
      <c r="D690" s="4" t="s">
        <v>653</v>
      </c>
      <c r="E690" s="4" t="s">
        <v>827</v>
      </c>
      <c r="F690" s="4">
        <v>29.99</v>
      </c>
      <c r="G690" s="4">
        <v>2</v>
      </c>
      <c r="H690" s="4">
        <v>0</v>
      </c>
      <c r="I690" s="4">
        <v>29.99</v>
      </c>
      <c r="J690" s="4">
        <v>59.98</v>
      </c>
      <c r="K690" s="4" t="s">
        <v>661</v>
      </c>
      <c r="L690" s="4" t="s">
        <v>656</v>
      </c>
      <c r="M690" s="5">
        <v>4</v>
      </c>
      <c r="N690">
        <f>VLOOKUP(B690,Customers!A:J,7,0)</f>
        <v>24</v>
      </c>
      <c r="O690" t="str">
        <f>VLOOKUP(B690,Customers!A:J,5,0)</f>
        <v>Chicago</v>
      </c>
      <c r="P690" t="str">
        <f>VLOOKUP(B690,Customers!A:J,10,0)</f>
        <v>Platinum</v>
      </c>
      <c r="Q690" t="str">
        <f>VLOOKUP(B690,Customers!A:J,8,0)</f>
        <v>Male</v>
      </c>
      <c r="R690" t="b">
        <f t="shared" si="20"/>
        <v>1</v>
      </c>
      <c r="S690" s="18">
        <f t="shared" si="21"/>
        <v>44958</v>
      </c>
    </row>
    <row r="691" spans="1:19" x14ac:dyDescent="0.25">
      <c r="A691" s="6" t="s">
        <v>1829</v>
      </c>
      <c r="B691" s="7" t="s">
        <v>304</v>
      </c>
      <c r="C691" s="15">
        <v>44687</v>
      </c>
      <c r="D691" s="7" t="s">
        <v>653</v>
      </c>
      <c r="E691" s="7" t="s">
        <v>654</v>
      </c>
      <c r="F691" s="7">
        <v>39.99</v>
      </c>
      <c r="G691" s="7">
        <v>2</v>
      </c>
      <c r="H691" s="7">
        <v>10</v>
      </c>
      <c r="I691" s="7">
        <v>35.99</v>
      </c>
      <c r="J691" s="7">
        <v>71.98</v>
      </c>
      <c r="K691" s="7" t="s">
        <v>655</v>
      </c>
      <c r="L691" s="7" t="s">
        <v>656</v>
      </c>
      <c r="M691" s="8"/>
      <c r="N691">
        <f>VLOOKUP(B691,Customers!A:J,7,0)</f>
        <v>18</v>
      </c>
      <c r="O691" t="str">
        <f>VLOOKUP(B691,Customers!A:J,5,0)</f>
        <v>Los Angeles</v>
      </c>
      <c r="P691" t="str">
        <f>VLOOKUP(B691,Customers!A:J,10,0)</f>
        <v>Free</v>
      </c>
      <c r="Q691" t="str">
        <f>VLOOKUP(B691,Customers!A:J,8,0)</f>
        <v>Male</v>
      </c>
      <c r="R691" t="b">
        <f t="shared" si="20"/>
        <v>1</v>
      </c>
      <c r="S691" s="18">
        <f t="shared" si="21"/>
        <v>44682</v>
      </c>
    </row>
    <row r="692" spans="1:19" x14ac:dyDescent="0.25">
      <c r="A692" s="3" t="s">
        <v>1831</v>
      </c>
      <c r="B692" s="4" t="s">
        <v>304</v>
      </c>
      <c r="C692" s="14">
        <v>45011</v>
      </c>
      <c r="D692" s="4" t="s">
        <v>653</v>
      </c>
      <c r="E692" s="4" t="s">
        <v>769</v>
      </c>
      <c r="F692" s="4">
        <v>49.99</v>
      </c>
      <c r="G692" s="4">
        <v>4</v>
      </c>
      <c r="H692" s="4">
        <v>0</v>
      </c>
      <c r="I692" s="4">
        <v>49.99</v>
      </c>
      <c r="J692" s="4">
        <v>199.96</v>
      </c>
      <c r="K692" s="4" t="s">
        <v>669</v>
      </c>
      <c r="L692" s="4" t="s">
        <v>656</v>
      </c>
      <c r="M692" s="5">
        <v>5</v>
      </c>
      <c r="N692">
        <f>VLOOKUP(B692,Customers!A:J,7,0)</f>
        <v>18</v>
      </c>
      <c r="O692" t="str">
        <f>VLOOKUP(B692,Customers!A:J,5,0)</f>
        <v>Los Angeles</v>
      </c>
      <c r="P692" t="str">
        <f>VLOOKUP(B692,Customers!A:J,10,0)</f>
        <v>Free</v>
      </c>
      <c r="Q692" t="str">
        <f>VLOOKUP(B692,Customers!A:J,8,0)</f>
        <v>Male</v>
      </c>
      <c r="R692" t="b">
        <f t="shared" si="20"/>
        <v>1</v>
      </c>
      <c r="S692" s="18">
        <f t="shared" si="21"/>
        <v>44986</v>
      </c>
    </row>
    <row r="693" spans="1:19" x14ac:dyDescent="0.25">
      <c r="A693" s="6" t="s">
        <v>1833</v>
      </c>
      <c r="B693" s="7" t="s">
        <v>304</v>
      </c>
      <c r="C693" s="15">
        <v>45086</v>
      </c>
      <c r="D693" s="7" t="s">
        <v>667</v>
      </c>
      <c r="E693" s="7" t="s">
        <v>668</v>
      </c>
      <c r="F693" s="7">
        <v>64.989999999999995</v>
      </c>
      <c r="G693" s="7">
        <v>4</v>
      </c>
      <c r="H693" s="7">
        <v>20</v>
      </c>
      <c r="I693" s="7">
        <v>51.99</v>
      </c>
      <c r="J693" s="7">
        <v>207.96</v>
      </c>
      <c r="K693" s="7" t="s">
        <v>661</v>
      </c>
      <c r="L693" s="7" t="s">
        <v>656</v>
      </c>
      <c r="M693" s="8">
        <v>5</v>
      </c>
      <c r="N693">
        <f>VLOOKUP(B693,Customers!A:J,7,0)</f>
        <v>18</v>
      </c>
      <c r="O693" t="str">
        <f>VLOOKUP(B693,Customers!A:J,5,0)</f>
        <v>Los Angeles</v>
      </c>
      <c r="P693" t="str">
        <f>VLOOKUP(B693,Customers!A:J,10,0)</f>
        <v>Free</v>
      </c>
      <c r="Q693" t="str">
        <f>VLOOKUP(B693,Customers!A:J,8,0)</f>
        <v>Male</v>
      </c>
      <c r="R693" t="b">
        <f t="shared" si="20"/>
        <v>1</v>
      </c>
      <c r="S693" s="18">
        <f t="shared" si="21"/>
        <v>45078</v>
      </c>
    </row>
    <row r="694" spans="1:19" x14ac:dyDescent="0.25">
      <c r="A694" s="3" t="s">
        <v>1834</v>
      </c>
      <c r="B694" s="4" t="s">
        <v>304</v>
      </c>
      <c r="C694" s="14">
        <v>44997</v>
      </c>
      <c r="D694" s="4" t="s">
        <v>667</v>
      </c>
      <c r="E694" s="4" t="s">
        <v>668</v>
      </c>
      <c r="F694" s="4">
        <v>64.989999999999995</v>
      </c>
      <c r="G694" s="4">
        <v>2</v>
      </c>
      <c r="H694" s="4">
        <v>10</v>
      </c>
      <c r="I694" s="4">
        <v>58.49</v>
      </c>
      <c r="J694" s="4">
        <v>116.98</v>
      </c>
      <c r="K694" s="4" t="s">
        <v>655</v>
      </c>
      <c r="L694" s="4" t="s">
        <v>656</v>
      </c>
      <c r="M694" s="5">
        <v>5</v>
      </c>
      <c r="N694">
        <f>VLOOKUP(B694,Customers!A:J,7,0)</f>
        <v>18</v>
      </c>
      <c r="O694" t="str">
        <f>VLOOKUP(B694,Customers!A:J,5,0)</f>
        <v>Los Angeles</v>
      </c>
      <c r="P694" t="str">
        <f>VLOOKUP(B694,Customers!A:J,10,0)</f>
        <v>Free</v>
      </c>
      <c r="Q694" t="str">
        <f>VLOOKUP(B694,Customers!A:J,8,0)</f>
        <v>Male</v>
      </c>
      <c r="R694" t="b">
        <f t="shared" si="20"/>
        <v>1</v>
      </c>
      <c r="S694" s="18">
        <f t="shared" si="21"/>
        <v>44986</v>
      </c>
    </row>
    <row r="695" spans="1:19" x14ac:dyDescent="0.25">
      <c r="A695" s="6" t="s">
        <v>1836</v>
      </c>
      <c r="B695" s="7" t="s">
        <v>304</v>
      </c>
      <c r="C695" s="15">
        <v>44907</v>
      </c>
      <c r="D695" s="7" t="s">
        <v>684</v>
      </c>
      <c r="E695" s="7" t="s">
        <v>815</v>
      </c>
      <c r="F695" s="7">
        <v>34.99</v>
      </c>
      <c r="G695" s="7">
        <v>2</v>
      </c>
      <c r="H695" s="7">
        <v>0</v>
      </c>
      <c r="I695" s="7">
        <v>34.99</v>
      </c>
      <c r="J695" s="7">
        <v>69.98</v>
      </c>
      <c r="K695" s="7" t="s">
        <v>661</v>
      </c>
      <c r="L695" s="7" t="s">
        <v>656</v>
      </c>
      <c r="M695" s="8">
        <v>5</v>
      </c>
      <c r="N695">
        <f>VLOOKUP(B695,Customers!A:J,7,0)</f>
        <v>18</v>
      </c>
      <c r="O695" t="str">
        <f>VLOOKUP(B695,Customers!A:J,5,0)</f>
        <v>Los Angeles</v>
      </c>
      <c r="P695" t="str">
        <f>VLOOKUP(B695,Customers!A:J,10,0)</f>
        <v>Free</v>
      </c>
      <c r="Q695" t="str">
        <f>VLOOKUP(B695,Customers!A:J,8,0)</f>
        <v>Male</v>
      </c>
      <c r="R695" t="b">
        <f t="shared" si="20"/>
        <v>1</v>
      </c>
      <c r="S695" s="18">
        <f t="shared" si="21"/>
        <v>44896</v>
      </c>
    </row>
    <row r="696" spans="1:19" x14ac:dyDescent="0.25">
      <c r="A696" s="3" t="s">
        <v>1838</v>
      </c>
      <c r="B696" s="4" t="s">
        <v>304</v>
      </c>
      <c r="C696" s="14">
        <v>44707</v>
      </c>
      <c r="D696" s="4" t="s">
        <v>710</v>
      </c>
      <c r="E696" s="4" t="s">
        <v>711</v>
      </c>
      <c r="F696" s="4">
        <v>14.99</v>
      </c>
      <c r="G696" s="4">
        <v>1</v>
      </c>
      <c r="H696" s="4">
        <v>0</v>
      </c>
      <c r="I696" s="4">
        <v>14.99</v>
      </c>
      <c r="J696" s="4">
        <v>14.99</v>
      </c>
      <c r="K696" s="4" t="s">
        <v>682</v>
      </c>
      <c r="L696" s="4" t="s">
        <v>788</v>
      </c>
      <c r="M696" s="5"/>
      <c r="N696">
        <f>VLOOKUP(B696,Customers!A:J,7,0)</f>
        <v>18</v>
      </c>
      <c r="O696" t="str">
        <f>VLOOKUP(B696,Customers!A:J,5,0)</f>
        <v>Los Angeles</v>
      </c>
      <c r="P696" t="str">
        <f>VLOOKUP(B696,Customers!A:J,10,0)</f>
        <v>Free</v>
      </c>
      <c r="Q696" t="str">
        <f>VLOOKUP(B696,Customers!A:J,8,0)</f>
        <v>Male</v>
      </c>
      <c r="R696" t="b">
        <f t="shared" si="20"/>
        <v>1</v>
      </c>
      <c r="S696" s="18">
        <f t="shared" si="21"/>
        <v>44682</v>
      </c>
    </row>
    <row r="697" spans="1:19" x14ac:dyDescent="0.25">
      <c r="A697" s="6" t="s">
        <v>1840</v>
      </c>
      <c r="B697" s="7" t="s">
        <v>304</v>
      </c>
      <c r="C697" s="15">
        <v>44971</v>
      </c>
      <c r="D697" s="7" t="s">
        <v>684</v>
      </c>
      <c r="E697" s="7" t="s">
        <v>705</v>
      </c>
      <c r="F697" s="7">
        <v>79.989999999999995</v>
      </c>
      <c r="G697" s="7">
        <v>3</v>
      </c>
      <c r="H697" s="7">
        <v>0</v>
      </c>
      <c r="I697" s="7">
        <v>79.989999999999995</v>
      </c>
      <c r="J697" s="7">
        <v>239.97</v>
      </c>
      <c r="K697" s="7" t="s">
        <v>675</v>
      </c>
      <c r="L697" s="7" t="s">
        <v>656</v>
      </c>
      <c r="M697" s="8">
        <v>4</v>
      </c>
      <c r="N697">
        <f>VLOOKUP(B697,Customers!A:J,7,0)</f>
        <v>18</v>
      </c>
      <c r="O697" t="str">
        <f>VLOOKUP(B697,Customers!A:J,5,0)</f>
        <v>Los Angeles</v>
      </c>
      <c r="P697" t="str">
        <f>VLOOKUP(B697,Customers!A:J,10,0)</f>
        <v>Free</v>
      </c>
      <c r="Q697" t="str">
        <f>VLOOKUP(B697,Customers!A:J,8,0)</f>
        <v>Male</v>
      </c>
      <c r="R697" t="b">
        <f t="shared" si="20"/>
        <v>1</v>
      </c>
      <c r="S697" s="18">
        <f t="shared" si="21"/>
        <v>44958</v>
      </c>
    </row>
    <row r="698" spans="1:19" x14ac:dyDescent="0.25">
      <c r="A698" s="3" t="s">
        <v>1841</v>
      </c>
      <c r="B698" s="4" t="s">
        <v>307</v>
      </c>
      <c r="C698" s="14">
        <v>45646</v>
      </c>
      <c r="D698" s="4" t="s">
        <v>667</v>
      </c>
      <c r="E698" s="4" t="s">
        <v>714</v>
      </c>
      <c r="F698" s="4">
        <v>44.99</v>
      </c>
      <c r="G698" s="4">
        <v>2</v>
      </c>
      <c r="H698" s="4">
        <v>20</v>
      </c>
      <c r="I698" s="4">
        <v>35.99</v>
      </c>
      <c r="J698" s="4">
        <v>71.98</v>
      </c>
      <c r="K698" s="4" t="s">
        <v>675</v>
      </c>
      <c r="L698" s="4" t="s">
        <v>656</v>
      </c>
      <c r="M698" s="5">
        <v>3</v>
      </c>
      <c r="N698">
        <f>VLOOKUP(B698,Customers!A:J,7,0)</f>
        <v>34</v>
      </c>
      <c r="O698" t="str">
        <f>VLOOKUP(B698,Customers!A:J,5,0)</f>
        <v>San Diego</v>
      </c>
      <c r="P698" t="str">
        <f>VLOOKUP(B698,Customers!A:J,10,0)</f>
        <v>Free</v>
      </c>
      <c r="Q698" t="str">
        <f>VLOOKUP(B698,Customers!A:J,8,0)</f>
        <v>Female</v>
      </c>
      <c r="R698" t="b">
        <f t="shared" si="20"/>
        <v>1</v>
      </c>
      <c r="S698" s="18">
        <f t="shared" si="21"/>
        <v>45627</v>
      </c>
    </row>
    <row r="699" spans="1:19" x14ac:dyDescent="0.25">
      <c r="A699" s="6" t="s">
        <v>1842</v>
      </c>
      <c r="B699" s="7" t="s">
        <v>307</v>
      </c>
      <c r="C699" s="15">
        <v>45577</v>
      </c>
      <c r="D699" s="7" t="s">
        <v>684</v>
      </c>
      <c r="E699" s="7" t="s">
        <v>685</v>
      </c>
      <c r="F699" s="7">
        <v>49.99</v>
      </c>
      <c r="G699" s="7">
        <v>1</v>
      </c>
      <c r="H699" s="7">
        <v>0</v>
      </c>
      <c r="I699" s="7">
        <v>49.99</v>
      </c>
      <c r="J699" s="7">
        <v>49.99</v>
      </c>
      <c r="K699" s="7" t="s">
        <v>655</v>
      </c>
      <c r="L699" s="7" t="s">
        <v>788</v>
      </c>
      <c r="M699" s="8"/>
      <c r="N699">
        <f>VLOOKUP(B699,Customers!A:J,7,0)</f>
        <v>34</v>
      </c>
      <c r="O699" t="str">
        <f>VLOOKUP(B699,Customers!A:J,5,0)</f>
        <v>San Diego</v>
      </c>
      <c r="P699" t="str">
        <f>VLOOKUP(B699,Customers!A:J,10,0)</f>
        <v>Free</v>
      </c>
      <c r="Q699" t="str">
        <f>VLOOKUP(B699,Customers!A:J,8,0)</f>
        <v>Female</v>
      </c>
      <c r="R699" t="b">
        <f t="shared" si="20"/>
        <v>1</v>
      </c>
      <c r="S699" s="18">
        <f t="shared" si="21"/>
        <v>45566</v>
      </c>
    </row>
    <row r="700" spans="1:19" x14ac:dyDescent="0.25">
      <c r="A700" s="3" t="s">
        <v>1843</v>
      </c>
      <c r="B700" s="4" t="s">
        <v>307</v>
      </c>
      <c r="C700" s="14">
        <v>45003</v>
      </c>
      <c r="D700" s="4" t="s">
        <v>684</v>
      </c>
      <c r="E700" s="4" t="s">
        <v>705</v>
      </c>
      <c r="F700" s="4">
        <v>79.989999999999995</v>
      </c>
      <c r="G700" s="4">
        <v>3</v>
      </c>
      <c r="H700" s="4">
        <v>0</v>
      </c>
      <c r="I700" s="4">
        <v>79.989999999999995</v>
      </c>
      <c r="J700" s="4">
        <v>239.97</v>
      </c>
      <c r="K700" s="4" t="s">
        <v>682</v>
      </c>
      <c r="L700" s="4" t="s">
        <v>656</v>
      </c>
      <c r="M700" s="5">
        <v>3</v>
      </c>
      <c r="N700">
        <f>VLOOKUP(B700,Customers!A:J,7,0)</f>
        <v>34</v>
      </c>
      <c r="O700" t="str">
        <f>VLOOKUP(B700,Customers!A:J,5,0)</f>
        <v>San Diego</v>
      </c>
      <c r="P700" t="str">
        <f>VLOOKUP(B700,Customers!A:J,10,0)</f>
        <v>Free</v>
      </c>
      <c r="Q700" t="str">
        <f>VLOOKUP(B700,Customers!A:J,8,0)</f>
        <v>Female</v>
      </c>
      <c r="R700" t="b">
        <f t="shared" si="20"/>
        <v>1</v>
      </c>
      <c r="S700" s="18">
        <f t="shared" si="21"/>
        <v>44986</v>
      </c>
    </row>
    <row r="701" spans="1:19" x14ac:dyDescent="0.25">
      <c r="A701" s="6" t="s">
        <v>1844</v>
      </c>
      <c r="B701" s="7" t="s">
        <v>307</v>
      </c>
      <c r="C701" s="15">
        <v>44619</v>
      </c>
      <c r="D701" s="7" t="s">
        <v>667</v>
      </c>
      <c r="E701" s="7" t="s">
        <v>668</v>
      </c>
      <c r="F701" s="7">
        <v>64.989999999999995</v>
      </c>
      <c r="G701" s="7">
        <v>3</v>
      </c>
      <c r="H701" s="7">
        <v>0</v>
      </c>
      <c r="I701" s="7">
        <v>64.989999999999995</v>
      </c>
      <c r="J701" s="7">
        <v>194.97</v>
      </c>
      <c r="K701" s="7" t="s">
        <v>669</v>
      </c>
      <c r="L701" s="7" t="s">
        <v>656</v>
      </c>
      <c r="M701" s="8"/>
      <c r="N701">
        <f>VLOOKUP(B701,Customers!A:J,7,0)</f>
        <v>34</v>
      </c>
      <c r="O701" t="str">
        <f>VLOOKUP(B701,Customers!A:J,5,0)</f>
        <v>San Diego</v>
      </c>
      <c r="P701" t="str">
        <f>VLOOKUP(B701,Customers!A:J,10,0)</f>
        <v>Free</v>
      </c>
      <c r="Q701" t="str">
        <f>VLOOKUP(B701,Customers!A:J,8,0)</f>
        <v>Female</v>
      </c>
      <c r="R701" t="b">
        <f t="shared" si="20"/>
        <v>1</v>
      </c>
      <c r="S701" s="18">
        <f t="shared" si="21"/>
        <v>44593</v>
      </c>
    </row>
    <row r="702" spans="1:19" x14ac:dyDescent="0.25">
      <c r="A702" s="3" t="s">
        <v>1845</v>
      </c>
      <c r="B702" s="4" t="s">
        <v>307</v>
      </c>
      <c r="C702" s="14">
        <v>45600</v>
      </c>
      <c r="D702" s="4" t="s">
        <v>684</v>
      </c>
      <c r="E702" s="4" t="s">
        <v>702</v>
      </c>
      <c r="F702" s="4">
        <v>199.99</v>
      </c>
      <c r="G702" s="4">
        <v>3</v>
      </c>
      <c r="H702" s="4">
        <v>0</v>
      </c>
      <c r="I702" s="4">
        <v>199.99</v>
      </c>
      <c r="J702" s="4">
        <v>599.97</v>
      </c>
      <c r="K702" s="4" t="s">
        <v>661</v>
      </c>
      <c r="L702" s="4" t="s">
        <v>656</v>
      </c>
      <c r="M702" s="5">
        <v>4</v>
      </c>
      <c r="N702">
        <f>VLOOKUP(B702,Customers!A:J,7,0)</f>
        <v>34</v>
      </c>
      <c r="O702" t="str">
        <f>VLOOKUP(B702,Customers!A:J,5,0)</f>
        <v>San Diego</v>
      </c>
      <c r="P702" t="str">
        <f>VLOOKUP(B702,Customers!A:J,10,0)</f>
        <v>Free</v>
      </c>
      <c r="Q702" t="str">
        <f>VLOOKUP(B702,Customers!A:J,8,0)</f>
        <v>Female</v>
      </c>
      <c r="R702" t="b">
        <f t="shared" si="20"/>
        <v>1</v>
      </c>
      <c r="S702" s="18">
        <f t="shared" si="21"/>
        <v>45597</v>
      </c>
    </row>
    <row r="703" spans="1:19" x14ac:dyDescent="0.25">
      <c r="A703" s="6" t="s">
        <v>1847</v>
      </c>
      <c r="B703" s="7" t="s">
        <v>307</v>
      </c>
      <c r="C703" s="15">
        <v>45264</v>
      </c>
      <c r="D703" s="7" t="s">
        <v>672</v>
      </c>
      <c r="E703" s="7" t="s">
        <v>803</v>
      </c>
      <c r="F703" s="7">
        <v>69.989999999999995</v>
      </c>
      <c r="G703" s="7">
        <v>1</v>
      </c>
      <c r="H703" s="7">
        <v>0</v>
      </c>
      <c r="I703" s="7">
        <v>69.989999999999995</v>
      </c>
      <c r="J703" s="7">
        <v>69.989999999999995</v>
      </c>
      <c r="K703" s="7" t="s">
        <v>661</v>
      </c>
      <c r="L703" s="7" t="s">
        <v>656</v>
      </c>
      <c r="M703" s="8">
        <v>4</v>
      </c>
      <c r="N703">
        <f>VLOOKUP(B703,Customers!A:J,7,0)</f>
        <v>34</v>
      </c>
      <c r="O703" t="str">
        <f>VLOOKUP(B703,Customers!A:J,5,0)</f>
        <v>San Diego</v>
      </c>
      <c r="P703" t="str">
        <f>VLOOKUP(B703,Customers!A:J,10,0)</f>
        <v>Free</v>
      </c>
      <c r="Q703" t="str">
        <f>VLOOKUP(B703,Customers!A:J,8,0)</f>
        <v>Female</v>
      </c>
      <c r="R703" t="b">
        <f t="shared" si="20"/>
        <v>1</v>
      </c>
      <c r="S703" s="18">
        <f t="shared" si="21"/>
        <v>45261</v>
      </c>
    </row>
    <row r="704" spans="1:19" x14ac:dyDescent="0.25">
      <c r="A704" s="3" t="s">
        <v>1849</v>
      </c>
      <c r="B704" s="4" t="s">
        <v>307</v>
      </c>
      <c r="C704" s="14">
        <v>45421</v>
      </c>
      <c r="D704" s="4" t="s">
        <v>680</v>
      </c>
      <c r="E704" s="4" t="s">
        <v>681</v>
      </c>
      <c r="F704" s="4">
        <v>19.989999999999998</v>
      </c>
      <c r="G704" s="4">
        <v>1</v>
      </c>
      <c r="H704" s="4">
        <v>0</v>
      </c>
      <c r="I704" s="4">
        <v>19.989999999999998</v>
      </c>
      <c r="J704" s="4">
        <v>19.989999999999998</v>
      </c>
      <c r="K704" s="4" t="s">
        <v>669</v>
      </c>
      <c r="L704" s="4" t="s">
        <v>656</v>
      </c>
      <c r="M704" s="5"/>
      <c r="N704">
        <f>VLOOKUP(B704,Customers!A:J,7,0)</f>
        <v>34</v>
      </c>
      <c r="O704" t="str">
        <f>VLOOKUP(B704,Customers!A:J,5,0)</f>
        <v>San Diego</v>
      </c>
      <c r="P704" t="str">
        <f>VLOOKUP(B704,Customers!A:J,10,0)</f>
        <v>Free</v>
      </c>
      <c r="Q704" t="str">
        <f>VLOOKUP(B704,Customers!A:J,8,0)</f>
        <v>Female</v>
      </c>
      <c r="R704" t="b">
        <f t="shared" si="20"/>
        <v>1</v>
      </c>
      <c r="S704" s="18">
        <f t="shared" si="21"/>
        <v>45413</v>
      </c>
    </row>
    <row r="705" spans="1:19" x14ac:dyDescent="0.25">
      <c r="A705" s="6" t="s">
        <v>1850</v>
      </c>
      <c r="B705" s="7" t="s">
        <v>307</v>
      </c>
      <c r="C705" s="15">
        <v>45102</v>
      </c>
      <c r="D705" s="7" t="s">
        <v>710</v>
      </c>
      <c r="E705" s="7" t="s">
        <v>721</v>
      </c>
      <c r="F705" s="7">
        <v>24.99</v>
      </c>
      <c r="G705" s="7">
        <v>4</v>
      </c>
      <c r="H705" s="7">
        <v>10</v>
      </c>
      <c r="I705" s="7">
        <v>22.49</v>
      </c>
      <c r="J705" s="7">
        <v>89.96</v>
      </c>
      <c r="K705" s="7" t="s">
        <v>661</v>
      </c>
      <c r="L705" s="7" t="s">
        <v>656</v>
      </c>
      <c r="M705" s="8">
        <v>5</v>
      </c>
      <c r="N705">
        <f>VLOOKUP(B705,Customers!A:J,7,0)</f>
        <v>34</v>
      </c>
      <c r="O705" t="str">
        <f>VLOOKUP(B705,Customers!A:J,5,0)</f>
        <v>San Diego</v>
      </c>
      <c r="P705" t="str">
        <f>VLOOKUP(B705,Customers!A:J,10,0)</f>
        <v>Free</v>
      </c>
      <c r="Q705" t="str">
        <f>VLOOKUP(B705,Customers!A:J,8,0)</f>
        <v>Female</v>
      </c>
      <c r="R705" t="b">
        <f t="shared" si="20"/>
        <v>1</v>
      </c>
      <c r="S705" s="18">
        <f t="shared" si="21"/>
        <v>45078</v>
      </c>
    </row>
    <row r="706" spans="1:19" x14ac:dyDescent="0.25">
      <c r="A706" s="3" t="s">
        <v>1852</v>
      </c>
      <c r="B706" s="4" t="s">
        <v>307</v>
      </c>
      <c r="C706" s="14">
        <v>45402</v>
      </c>
      <c r="D706" s="4" t="s">
        <v>667</v>
      </c>
      <c r="E706" s="4" t="s">
        <v>714</v>
      </c>
      <c r="F706" s="4">
        <v>44.99</v>
      </c>
      <c r="G706" s="4">
        <v>2</v>
      </c>
      <c r="H706" s="4">
        <v>0</v>
      </c>
      <c r="I706" s="4">
        <v>44.99</v>
      </c>
      <c r="J706" s="4">
        <v>89.98</v>
      </c>
      <c r="K706" s="4" t="s">
        <v>682</v>
      </c>
      <c r="L706" s="4" t="s">
        <v>656</v>
      </c>
      <c r="M706" s="5">
        <v>5</v>
      </c>
      <c r="N706">
        <f>VLOOKUP(B706,Customers!A:J,7,0)</f>
        <v>34</v>
      </c>
      <c r="O706" t="str">
        <f>VLOOKUP(B706,Customers!A:J,5,0)</f>
        <v>San Diego</v>
      </c>
      <c r="P706" t="str">
        <f>VLOOKUP(B706,Customers!A:J,10,0)</f>
        <v>Free</v>
      </c>
      <c r="Q706" t="str">
        <f>VLOOKUP(B706,Customers!A:J,8,0)</f>
        <v>Female</v>
      </c>
      <c r="R706" t="b">
        <f t="shared" si="20"/>
        <v>1</v>
      </c>
      <c r="S706" s="18">
        <f t="shared" si="21"/>
        <v>45383</v>
      </c>
    </row>
    <row r="707" spans="1:19" x14ac:dyDescent="0.25">
      <c r="A707" s="6" t="s">
        <v>1853</v>
      </c>
      <c r="B707" s="7" t="s">
        <v>307</v>
      </c>
      <c r="C707" s="15">
        <v>45395</v>
      </c>
      <c r="D707" s="7" t="s">
        <v>684</v>
      </c>
      <c r="E707" s="7" t="s">
        <v>685</v>
      </c>
      <c r="F707" s="7">
        <v>49.99</v>
      </c>
      <c r="G707" s="7">
        <v>4</v>
      </c>
      <c r="H707" s="7">
        <v>0</v>
      </c>
      <c r="I707" s="7">
        <v>49.99</v>
      </c>
      <c r="J707" s="7">
        <v>199.96</v>
      </c>
      <c r="K707" s="7" t="s">
        <v>655</v>
      </c>
      <c r="L707" s="7" t="s">
        <v>656</v>
      </c>
      <c r="M707" s="8">
        <v>5</v>
      </c>
      <c r="N707">
        <f>VLOOKUP(B707,Customers!A:J,7,0)</f>
        <v>34</v>
      </c>
      <c r="O707" t="str">
        <f>VLOOKUP(B707,Customers!A:J,5,0)</f>
        <v>San Diego</v>
      </c>
      <c r="P707" t="str">
        <f>VLOOKUP(B707,Customers!A:J,10,0)</f>
        <v>Free</v>
      </c>
      <c r="Q707" t="str">
        <f>VLOOKUP(B707,Customers!A:J,8,0)</f>
        <v>Female</v>
      </c>
      <c r="R707" t="b">
        <f t="shared" ref="R707:R770" si="22">ISNUMBER(C707)</f>
        <v>1</v>
      </c>
      <c r="S707" s="18">
        <f t="shared" ref="S707:S770" si="23">DATE(YEAR(C707),MONTH(C707),1)</f>
        <v>45383</v>
      </c>
    </row>
    <row r="708" spans="1:19" x14ac:dyDescent="0.25">
      <c r="A708" s="3" t="s">
        <v>1854</v>
      </c>
      <c r="B708" s="4" t="s">
        <v>307</v>
      </c>
      <c r="C708" s="14">
        <v>45526</v>
      </c>
      <c r="D708" s="4" t="s">
        <v>659</v>
      </c>
      <c r="E708" s="4" t="s">
        <v>664</v>
      </c>
      <c r="F708" s="4">
        <v>24.99</v>
      </c>
      <c r="G708" s="4">
        <v>1</v>
      </c>
      <c r="H708" s="4">
        <v>0</v>
      </c>
      <c r="I708" s="4">
        <v>24.99</v>
      </c>
      <c r="J708" s="4">
        <v>24.99</v>
      </c>
      <c r="K708" s="4" t="s">
        <v>675</v>
      </c>
      <c r="L708" s="4" t="s">
        <v>656</v>
      </c>
      <c r="M708" s="5">
        <v>5</v>
      </c>
      <c r="N708">
        <f>VLOOKUP(B708,Customers!A:J,7,0)</f>
        <v>34</v>
      </c>
      <c r="O708" t="str">
        <f>VLOOKUP(B708,Customers!A:J,5,0)</f>
        <v>San Diego</v>
      </c>
      <c r="P708" t="str">
        <f>VLOOKUP(B708,Customers!A:J,10,0)</f>
        <v>Free</v>
      </c>
      <c r="Q708" t="str">
        <f>VLOOKUP(B708,Customers!A:J,8,0)</f>
        <v>Female</v>
      </c>
      <c r="R708" t="b">
        <f t="shared" si="22"/>
        <v>1</v>
      </c>
      <c r="S708" s="18">
        <f t="shared" si="23"/>
        <v>45505</v>
      </c>
    </row>
    <row r="709" spans="1:19" x14ac:dyDescent="0.25">
      <c r="A709" s="6" t="s">
        <v>1855</v>
      </c>
      <c r="B709" s="7" t="s">
        <v>307</v>
      </c>
      <c r="C709" s="15">
        <v>44839</v>
      </c>
      <c r="D709" s="7" t="s">
        <v>653</v>
      </c>
      <c r="E709" s="7" t="s">
        <v>827</v>
      </c>
      <c r="F709" s="7">
        <v>29.99</v>
      </c>
      <c r="G709" s="7">
        <v>1</v>
      </c>
      <c r="H709" s="7">
        <v>15</v>
      </c>
      <c r="I709" s="7">
        <v>25.49</v>
      </c>
      <c r="J709" s="7">
        <v>25.49</v>
      </c>
      <c r="K709" s="7" t="s">
        <v>669</v>
      </c>
      <c r="L709" s="7" t="s">
        <v>788</v>
      </c>
      <c r="M709" s="8">
        <v>5</v>
      </c>
      <c r="N709">
        <f>VLOOKUP(B709,Customers!A:J,7,0)</f>
        <v>34</v>
      </c>
      <c r="O709" t="str">
        <f>VLOOKUP(B709,Customers!A:J,5,0)</f>
        <v>San Diego</v>
      </c>
      <c r="P709" t="str">
        <f>VLOOKUP(B709,Customers!A:J,10,0)</f>
        <v>Free</v>
      </c>
      <c r="Q709" t="str">
        <f>VLOOKUP(B709,Customers!A:J,8,0)</f>
        <v>Female</v>
      </c>
      <c r="R709" t="b">
        <f t="shared" si="22"/>
        <v>1</v>
      </c>
      <c r="S709" s="18">
        <f t="shared" si="23"/>
        <v>44835</v>
      </c>
    </row>
    <row r="710" spans="1:19" x14ac:dyDescent="0.25">
      <c r="A710" s="3" t="s">
        <v>1856</v>
      </c>
      <c r="B710" s="4" t="s">
        <v>307</v>
      </c>
      <c r="C710" s="14">
        <v>44721</v>
      </c>
      <c r="D710" s="4" t="s">
        <v>684</v>
      </c>
      <c r="E710" s="4" t="s">
        <v>685</v>
      </c>
      <c r="F710" s="4">
        <v>49.99</v>
      </c>
      <c r="G710" s="4">
        <v>4</v>
      </c>
      <c r="H710" s="4">
        <v>5</v>
      </c>
      <c r="I710" s="4">
        <v>47.49</v>
      </c>
      <c r="J710" s="4">
        <v>189.96</v>
      </c>
      <c r="K710" s="4" t="s">
        <v>675</v>
      </c>
      <c r="L710" s="4" t="s">
        <v>656</v>
      </c>
      <c r="M710" s="5">
        <v>4</v>
      </c>
      <c r="N710">
        <f>VLOOKUP(B710,Customers!A:J,7,0)</f>
        <v>34</v>
      </c>
      <c r="O710" t="str">
        <f>VLOOKUP(B710,Customers!A:J,5,0)</f>
        <v>San Diego</v>
      </c>
      <c r="P710" t="str">
        <f>VLOOKUP(B710,Customers!A:J,10,0)</f>
        <v>Free</v>
      </c>
      <c r="Q710" t="str">
        <f>VLOOKUP(B710,Customers!A:J,8,0)</f>
        <v>Female</v>
      </c>
      <c r="R710" t="b">
        <f t="shared" si="22"/>
        <v>1</v>
      </c>
      <c r="S710" s="18">
        <f t="shared" si="23"/>
        <v>44713</v>
      </c>
    </row>
    <row r="711" spans="1:19" x14ac:dyDescent="0.25">
      <c r="A711" s="6" t="s">
        <v>1858</v>
      </c>
      <c r="B711" s="7" t="s">
        <v>307</v>
      </c>
      <c r="C711" s="15">
        <v>44689</v>
      </c>
      <c r="D711" s="7" t="s">
        <v>667</v>
      </c>
      <c r="E711" s="7" t="s">
        <v>696</v>
      </c>
      <c r="F711" s="7">
        <v>59.99</v>
      </c>
      <c r="G711" s="7">
        <v>4</v>
      </c>
      <c r="H711" s="7">
        <v>0</v>
      </c>
      <c r="I711" s="7">
        <v>59.99</v>
      </c>
      <c r="J711" s="7">
        <v>239.96</v>
      </c>
      <c r="K711" s="7" t="s">
        <v>661</v>
      </c>
      <c r="L711" s="7" t="s">
        <v>656</v>
      </c>
      <c r="M711" s="8"/>
      <c r="N711">
        <f>VLOOKUP(B711,Customers!A:J,7,0)</f>
        <v>34</v>
      </c>
      <c r="O711" t="str">
        <f>VLOOKUP(B711,Customers!A:J,5,0)</f>
        <v>San Diego</v>
      </c>
      <c r="P711" t="str">
        <f>VLOOKUP(B711,Customers!A:J,10,0)</f>
        <v>Free</v>
      </c>
      <c r="Q711" t="str">
        <f>VLOOKUP(B711,Customers!A:J,8,0)</f>
        <v>Female</v>
      </c>
      <c r="R711" t="b">
        <f t="shared" si="22"/>
        <v>1</v>
      </c>
      <c r="S711" s="18">
        <f t="shared" si="23"/>
        <v>44682</v>
      </c>
    </row>
    <row r="712" spans="1:19" x14ac:dyDescent="0.25">
      <c r="A712" s="3" t="s">
        <v>1859</v>
      </c>
      <c r="B712" s="4" t="s">
        <v>310</v>
      </c>
      <c r="C712" s="14">
        <v>44862</v>
      </c>
      <c r="D712" s="4" t="s">
        <v>659</v>
      </c>
      <c r="E712" s="4" t="s">
        <v>664</v>
      </c>
      <c r="F712" s="4">
        <v>24.99</v>
      </c>
      <c r="G712" s="4">
        <v>1</v>
      </c>
      <c r="H712" s="4">
        <v>5</v>
      </c>
      <c r="I712" s="4">
        <v>23.74</v>
      </c>
      <c r="J712" s="4">
        <v>23.74</v>
      </c>
      <c r="K712" s="4" t="s">
        <v>655</v>
      </c>
      <c r="L712" s="4" t="s">
        <v>693</v>
      </c>
      <c r="M712" s="5">
        <v>3</v>
      </c>
      <c r="N712">
        <f>VLOOKUP(B712,Customers!A:J,7,0)</f>
        <v>59</v>
      </c>
      <c r="O712" t="str">
        <f>VLOOKUP(B712,Customers!A:J,5,0)</f>
        <v>Jacksonville</v>
      </c>
      <c r="P712" t="str">
        <f>VLOOKUP(B712,Customers!A:J,10,0)</f>
        <v>Gold</v>
      </c>
      <c r="Q712" t="str">
        <f>VLOOKUP(B712,Customers!A:J,8,0)</f>
        <v>Male</v>
      </c>
      <c r="R712" t="b">
        <f t="shared" si="22"/>
        <v>1</v>
      </c>
      <c r="S712" s="18">
        <f t="shared" si="23"/>
        <v>44835</v>
      </c>
    </row>
    <row r="713" spans="1:19" x14ac:dyDescent="0.25">
      <c r="A713" s="6" t="s">
        <v>1861</v>
      </c>
      <c r="B713" s="7" t="s">
        <v>310</v>
      </c>
      <c r="C713" s="15">
        <v>45532</v>
      </c>
      <c r="D713" s="7" t="s">
        <v>672</v>
      </c>
      <c r="E713" s="7" t="s">
        <v>724</v>
      </c>
      <c r="F713" s="7">
        <v>89.99</v>
      </c>
      <c r="G713" s="7">
        <v>4</v>
      </c>
      <c r="H713" s="7">
        <v>20</v>
      </c>
      <c r="I713" s="7">
        <v>71.989999999999995</v>
      </c>
      <c r="J713" s="7">
        <v>287.95999999999998</v>
      </c>
      <c r="K713" s="7" t="s">
        <v>655</v>
      </c>
      <c r="L713" s="7" t="s">
        <v>656</v>
      </c>
      <c r="M713" s="8"/>
      <c r="N713">
        <f>VLOOKUP(B713,Customers!A:J,7,0)</f>
        <v>59</v>
      </c>
      <c r="O713" t="str">
        <f>VLOOKUP(B713,Customers!A:J,5,0)</f>
        <v>Jacksonville</v>
      </c>
      <c r="P713" t="str">
        <f>VLOOKUP(B713,Customers!A:J,10,0)</f>
        <v>Gold</v>
      </c>
      <c r="Q713" t="str">
        <f>VLOOKUP(B713,Customers!A:J,8,0)</f>
        <v>Male</v>
      </c>
      <c r="R713" t="b">
        <f t="shared" si="22"/>
        <v>1</v>
      </c>
      <c r="S713" s="18">
        <f t="shared" si="23"/>
        <v>45505</v>
      </c>
    </row>
    <row r="714" spans="1:19" x14ac:dyDescent="0.25">
      <c r="A714" s="3" t="s">
        <v>1862</v>
      </c>
      <c r="B714" s="4" t="s">
        <v>310</v>
      </c>
      <c r="C714" s="14">
        <v>44972</v>
      </c>
      <c r="D714" s="4" t="s">
        <v>667</v>
      </c>
      <c r="E714" s="4" t="s">
        <v>696</v>
      </c>
      <c r="F714" s="4">
        <v>59.99</v>
      </c>
      <c r="G714" s="4">
        <v>4</v>
      </c>
      <c r="H714" s="4">
        <v>0</v>
      </c>
      <c r="I714" s="4">
        <v>59.99</v>
      </c>
      <c r="J714" s="4">
        <v>239.96</v>
      </c>
      <c r="K714" s="4" t="s">
        <v>682</v>
      </c>
      <c r="L714" s="4" t="s">
        <v>656</v>
      </c>
      <c r="M714" s="5">
        <v>5</v>
      </c>
      <c r="N714">
        <f>VLOOKUP(B714,Customers!A:J,7,0)</f>
        <v>59</v>
      </c>
      <c r="O714" t="str">
        <f>VLOOKUP(B714,Customers!A:J,5,0)</f>
        <v>Jacksonville</v>
      </c>
      <c r="P714" t="str">
        <f>VLOOKUP(B714,Customers!A:J,10,0)</f>
        <v>Gold</v>
      </c>
      <c r="Q714" t="str">
        <f>VLOOKUP(B714,Customers!A:J,8,0)</f>
        <v>Male</v>
      </c>
      <c r="R714" t="b">
        <f t="shared" si="22"/>
        <v>1</v>
      </c>
      <c r="S714" s="18">
        <f t="shared" si="23"/>
        <v>44958</v>
      </c>
    </row>
    <row r="715" spans="1:19" x14ac:dyDescent="0.25">
      <c r="A715" s="6" t="s">
        <v>1864</v>
      </c>
      <c r="B715" s="7" t="s">
        <v>310</v>
      </c>
      <c r="C715" s="15">
        <v>45072</v>
      </c>
      <c r="D715" s="7" t="s">
        <v>659</v>
      </c>
      <c r="E715" s="7" t="s">
        <v>820</v>
      </c>
      <c r="F715" s="7">
        <v>39.99</v>
      </c>
      <c r="G715" s="7">
        <v>3</v>
      </c>
      <c r="H715" s="7">
        <v>20</v>
      </c>
      <c r="I715" s="7">
        <v>31.99</v>
      </c>
      <c r="J715" s="7">
        <v>95.97</v>
      </c>
      <c r="K715" s="7" t="s">
        <v>661</v>
      </c>
      <c r="L715" s="7" t="s">
        <v>656</v>
      </c>
      <c r="M715" s="8"/>
      <c r="N715">
        <f>VLOOKUP(B715,Customers!A:J,7,0)</f>
        <v>59</v>
      </c>
      <c r="O715" t="str">
        <f>VLOOKUP(B715,Customers!A:J,5,0)</f>
        <v>Jacksonville</v>
      </c>
      <c r="P715" t="str">
        <f>VLOOKUP(B715,Customers!A:J,10,0)</f>
        <v>Gold</v>
      </c>
      <c r="Q715" t="str">
        <f>VLOOKUP(B715,Customers!A:J,8,0)</f>
        <v>Male</v>
      </c>
      <c r="R715" t="b">
        <f t="shared" si="22"/>
        <v>1</v>
      </c>
      <c r="S715" s="18">
        <f t="shared" si="23"/>
        <v>45047</v>
      </c>
    </row>
    <row r="716" spans="1:19" x14ac:dyDescent="0.25">
      <c r="A716" s="3" t="s">
        <v>1865</v>
      </c>
      <c r="B716" s="4" t="s">
        <v>310</v>
      </c>
      <c r="C716" s="14">
        <v>44831</v>
      </c>
      <c r="D716" s="4" t="s">
        <v>653</v>
      </c>
      <c r="E716" s="4" t="s">
        <v>769</v>
      </c>
      <c r="F716" s="4">
        <v>49.99</v>
      </c>
      <c r="G716" s="4">
        <v>3</v>
      </c>
      <c r="H716" s="4">
        <v>0</v>
      </c>
      <c r="I716" s="4">
        <v>49.99</v>
      </c>
      <c r="J716" s="4">
        <v>149.97</v>
      </c>
      <c r="K716" s="4" t="s">
        <v>661</v>
      </c>
      <c r="L716" s="4" t="s">
        <v>656</v>
      </c>
      <c r="M716" s="5"/>
      <c r="N716">
        <f>VLOOKUP(B716,Customers!A:J,7,0)</f>
        <v>59</v>
      </c>
      <c r="O716" t="str">
        <f>VLOOKUP(B716,Customers!A:J,5,0)</f>
        <v>Jacksonville</v>
      </c>
      <c r="P716" t="str">
        <f>VLOOKUP(B716,Customers!A:J,10,0)</f>
        <v>Gold</v>
      </c>
      <c r="Q716" t="str">
        <f>VLOOKUP(B716,Customers!A:J,8,0)</f>
        <v>Male</v>
      </c>
      <c r="R716" t="b">
        <f t="shared" si="22"/>
        <v>1</v>
      </c>
      <c r="S716" s="18">
        <f t="shared" si="23"/>
        <v>44805</v>
      </c>
    </row>
    <row r="717" spans="1:19" x14ac:dyDescent="0.25">
      <c r="A717" s="6" t="s">
        <v>1867</v>
      </c>
      <c r="B717" s="7" t="s">
        <v>310</v>
      </c>
      <c r="C717" s="15">
        <v>45067</v>
      </c>
      <c r="D717" s="7" t="s">
        <v>653</v>
      </c>
      <c r="E717" s="7" t="s">
        <v>769</v>
      </c>
      <c r="F717" s="7">
        <v>49.99</v>
      </c>
      <c r="G717" s="7">
        <v>3</v>
      </c>
      <c r="H717" s="7">
        <v>20</v>
      </c>
      <c r="I717" s="7">
        <v>39.99</v>
      </c>
      <c r="J717" s="7">
        <v>119.97</v>
      </c>
      <c r="K717" s="7" t="s">
        <v>661</v>
      </c>
      <c r="L717" s="7" t="s">
        <v>656</v>
      </c>
      <c r="M717" s="8"/>
      <c r="N717">
        <f>VLOOKUP(B717,Customers!A:J,7,0)</f>
        <v>59</v>
      </c>
      <c r="O717" t="str">
        <f>VLOOKUP(B717,Customers!A:J,5,0)</f>
        <v>Jacksonville</v>
      </c>
      <c r="P717" t="str">
        <f>VLOOKUP(B717,Customers!A:J,10,0)</f>
        <v>Gold</v>
      </c>
      <c r="Q717" t="str">
        <f>VLOOKUP(B717,Customers!A:J,8,0)</f>
        <v>Male</v>
      </c>
      <c r="R717" t="b">
        <f t="shared" si="22"/>
        <v>1</v>
      </c>
      <c r="S717" s="18">
        <f t="shared" si="23"/>
        <v>45047</v>
      </c>
    </row>
    <row r="718" spans="1:19" x14ac:dyDescent="0.25">
      <c r="A718" s="3" t="s">
        <v>1869</v>
      </c>
      <c r="B718" s="4" t="s">
        <v>310</v>
      </c>
      <c r="C718" s="14">
        <v>44671</v>
      </c>
      <c r="D718" s="4" t="s">
        <v>710</v>
      </c>
      <c r="E718" s="4" t="s">
        <v>721</v>
      </c>
      <c r="F718" s="4">
        <v>24.99</v>
      </c>
      <c r="G718" s="4">
        <v>4</v>
      </c>
      <c r="H718" s="4">
        <v>0</v>
      </c>
      <c r="I718" s="4">
        <v>24.99</v>
      </c>
      <c r="J718" s="4">
        <v>99.96</v>
      </c>
      <c r="K718" s="4" t="s">
        <v>682</v>
      </c>
      <c r="L718" s="4" t="s">
        <v>656</v>
      </c>
      <c r="M718" s="5">
        <v>3</v>
      </c>
      <c r="N718">
        <f>VLOOKUP(B718,Customers!A:J,7,0)</f>
        <v>59</v>
      </c>
      <c r="O718" t="str">
        <f>VLOOKUP(B718,Customers!A:J,5,0)</f>
        <v>Jacksonville</v>
      </c>
      <c r="P718" t="str">
        <f>VLOOKUP(B718,Customers!A:J,10,0)</f>
        <v>Gold</v>
      </c>
      <c r="Q718" t="str">
        <f>VLOOKUP(B718,Customers!A:J,8,0)</f>
        <v>Male</v>
      </c>
      <c r="R718" t="b">
        <f t="shared" si="22"/>
        <v>1</v>
      </c>
      <c r="S718" s="18">
        <f t="shared" si="23"/>
        <v>44652</v>
      </c>
    </row>
    <row r="719" spans="1:19" x14ac:dyDescent="0.25">
      <c r="A719" s="6" t="s">
        <v>1870</v>
      </c>
      <c r="B719" s="7" t="s">
        <v>310</v>
      </c>
      <c r="C719" s="15">
        <v>44966</v>
      </c>
      <c r="D719" s="7" t="s">
        <v>659</v>
      </c>
      <c r="E719" s="7" t="s">
        <v>762</v>
      </c>
      <c r="F719" s="7">
        <v>49.99</v>
      </c>
      <c r="G719" s="7">
        <v>4</v>
      </c>
      <c r="H719" s="7">
        <v>5</v>
      </c>
      <c r="I719" s="7">
        <v>47.49</v>
      </c>
      <c r="J719" s="7">
        <v>189.96</v>
      </c>
      <c r="K719" s="7" t="s">
        <v>661</v>
      </c>
      <c r="L719" s="7" t="s">
        <v>788</v>
      </c>
      <c r="M719" s="8">
        <v>4</v>
      </c>
      <c r="N719">
        <f>VLOOKUP(B719,Customers!A:J,7,0)</f>
        <v>59</v>
      </c>
      <c r="O719" t="str">
        <f>VLOOKUP(B719,Customers!A:J,5,0)</f>
        <v>Jacksonville</v>
      </c>
      <c r="P719" t="str">
        <f>VLOOKUP(B719,Customers!A:J,10,0)</f>
        <v>Gold</v>
      </c>
      <c r="Q719" t="str">
        <f>VLOOKUP(B719,Customers!A:J,8,0)</f>
        <v>Male</v>
      </c>
      <c r="R719" t="b">
        <f t="shared" si="22"/>
        <v>1</v>
      </c>
      <c r="S719" s="18">
        <f t="shared" si="23"/>
        <v>44958</v>
      </c>
    </row>
    <row r="720" spans="1:19" x14ac:dyDescent="0.25">
      <c r="A720" s="3" t="s">
        <v>1872</v>
      </c>
      <c r="B720" s="4" t="s">
        <v>310</v>
      </c>
      <c r="C720" s="14">
        <v>45580</v>
      </c>
      <c r="D720" s="4" t="s">
        <v>710</v>
      </c>
      <c r="E720" s="4" t="s">
        <v>721</v>
      </c>
      <c r="F720" s="4">
        <v>24.99</v>
      </c>
      <c r="G720" s="4">
        <v>4</v>
      </c>
      <c r="H720" s="4">
        <v>10</v>
      </c>
      <c r="I720" s="4">
        <v>22.49</v>
      </c>
      <c r="J720" s="4">
        <v>89.96</v>
      </c>
      <c r="K720" s="4" t="s">
        <v>682</v>
      </c>
      <c r="L720" s="4" t="s">
        <v>656</v>
      </c>
      <c r="M720" s="5">
        <v>4</v>
      </c>
      <c r="N720">
        <f>VLOOKUP(B720,Customers!A:J,7,0)</f>
        <v>59</v>
      </c>
      <c r="O720" t="str">
        <f>VLOOKUP(B720,Customers!A:J,5,0)</f>
        <v>Jacksonville</v>
      </c>
      <c r="P720" t="str">
        <f>VLOOKUP(B720,Customers!A:J,10,0)</f>
        <v>Gold</v>
      </c>
      <c r="Q720" t="str">
        <f>VLOOKUP(B720,Customers!A:J,8,0)</f>
        <v>Male</v>
      </c>
      <c r="R720" t="b">
        <f t="shared" si="22"/>
        <v>1</v>
      </c>
      <c r="S720" s="18">
        <f t="shared" si="23"/>
        <v>45566</v>
      </c>
    </row>
    <row r="721" spans="1:19" x14ac:dyDescent="0.25">
      <c r="A721" s="6" t="s">
        <v>1873</v>
      </c>
      <c r="B721" s="7" t="s">
        <v>313</v>
      </c>
      <c r="C721" s="15">
        <v>44927</v>
      </c>
      <c r="D721" s="7" t="s">
        <v>659</v>
      </c>
      <c r="E721" s="7" t="s">
        <v>762</v>
      </c>
      <c r="F721" s="7">
        <v>49.99</v>
      </c>
      <c r="G721" s="7">
        <v>1</v>
      </c>
      <c r="H721" s="7">
        <v>0</v>
      </c>
      <c r="I721" s="7">
        <v>49.99</v>
      </c>
      <c r="J721" s="7">
        <v>49.99</v>
      </c>
      <c r="K721" s="7" t="s">
        <v>682</v>
      </c>
      <c r="L721" s="7" t="s">
        <v>656</v>
      </c>
      <c r="M721" s="8"/>
      <c r="N721">
        <f>VLOOKUP(B721,Customers!A:J,7,0)</f>
        <v>47</v>
      </c>
      <c r="O721" t="str">
        <f>VLOOKUP(B721,Customers!A:J,5,0)</f>
        <v>Phoenix</v>
      </c>
      <c r="P721" t="str">
        <f>VLOOKUP(B721,Customers!A:J,10,0)</f>
        <v>Silver</v>
      </c>
      <c r="Q721" t="str">
        <f>VLOOKUP(B721,Customers!A:J,8,0)</f>
        <v>Female</v>
      </c>
      <c r="R721" t="b">
        <f t="shared" si="22"/>
        <v>1</v>
      </c>
      <c r="S721" s="18">
        <f t="shared" si="23"/>
        <v>44927</v>
      </c>
    </row>
    <row r="722" spans="1:19" x14ac:dyDescent="0.25">
      <c r="A722" s="3" t="s">
        <v>1875</v>
      </c>
      <c r="B722" s="4" t="s">
        <v>313</v>
      </c>
      <c r="C722" s="14">
        <v>45389</v>
      </c>
      <c r="D722" s="4" t="s">
        <v>653</v>
      </c>
      <c r="E722" s="4" t="s">
        <v>727</v>
      </c>
      <c r="F722" s="4">
        <v>14.99</v>
      </c>
      <c r="G722" s="4">
        <v>3</v>
      </c>
      <c r="H722" s="4">
        <v>5</v>
      </c>
      <c r="I722" s="4">
        <v>14.24</v>
      </c>
      <c r="J722" s="4">
        <v>42.72</v>
      </c>
      <c r="K722" s="4" t="s">
        <v>661</v>
      </c>
      <c r="L722" s="4" t="s">
        <v>788</v>
      </c>
      <c r="M722" s="5">
        <v>5</v>
      </c>
      <c r="N722">
        <f>VLOOKUP(B722,Customers!A:J,7,0)</f>
        <v>47</v>
      </c>
      <c r="O722" t="str">
        <f>VLOOKUP(B722,Customers!A:J,5,0)</f>
        <v>Phoenix</v>
      </c>
      <c r="P722" t="str">
        <f>VLOOKUP(B722,Customers!A:J,10,0)</f>
        <v>Silver</v>
      </c>
      <c r="Q722" t="str">
        <f>VLOOKUP(B722,Customers!A:J,8,0)</f>
        <v>Female</v>
      </c>
      <c r="R722" t="b">
        <f t="shared" si="22"/>
        <v>1</v>
      </c>
      <c r="S722" s="18">
        <f t="shared" si="23"/>
        <v>45383</v>
      </c>
    </row>
    <row r="723" spans="1:19" x14ac:dyDescent="0.25">
      <c r="A723" s="6" t="s">
        <v>1876</v>
      </c>
      <c r="B723" s="7" t="s">
        <v>313</v>
      </c>
      <c r="C723" s="15">
        <v>44747</v>
      </c>
      <c r="D723" s="7" t="s">
        <v>680</v>
      </c>
      <c r="E723" s="7" t="s">
        <v>688</v>
      </c>
      <c r="F723" s="7">
        <v>29.99</v>
      </c>
      <c r="G723" s="7">
        <v>1</v>
      </c>
      <c r="H723" s="7">
        <v>15</v>
      </c>
      <c r="I723" s="7">
        <v>25.49</v>
      </c>
      <c r="J723" s="7">
        <v>25.49</v>
      </c>
      <c r="K723" s="7" t="s">
        <v>661</v>
      </c>
      <c r="L723" s="7" t="s">
        <v>788</v>
      </c>
      <c r="M723" s="8"/>
      <c r="N723">
        <f>VLOOKUP(B723,Customers!A:J,7,0)</f>
        <v>47</v>
      </c>
      <c r="O723" t="str">
        <f>VLOOKUP(B723,Customers!A:J,5,0)</f>
        <v>Phoenix</v>
      </c>
      <c r="P723" t="str">
        <f>VLOOKUP(B723,Customers!A:J,10,0)</f>
        <v>Silver</v>
      </c>
      <c r="Q723" t="str">
        <f>VLOOKUP(B723,Customers!A:J,8,0)</f>
        <v>Female</v>
      </c>
      <c r="R723" t="b">
        <f t="shared" si="22"/>
        <v>1</v>
      </c>
      <c r="S723" s="18">
        <f t="shared" si="23"/>
        <v>44743</v>
      </c>
    </row>
    <row r="724" spans="1:19" x14ac:dyDescent="0.25">
      <c r="A724" s="3" t="s">
        <v>1877</v>
      </c>
      <c r="B724" s="4" t="s">
        <v>313</v>
      </c>
      <c r="C724" s="14">
        <v>44572</v>
      </c>
      <c r="D724" s="4" t="s">
        <v>659</v>
      </c>
      <c r="E724" s="4" t="s">
        <v>660</v>
      </c>
      <c r="F724" s="4">
        <v>19.989999999999998</v>
      </c>
      <c r="G724" s="4">
        <v>3</v>
      </c>
      <c r="H724" s="4">
        <v>0</v>
      </c>
      <c r="I724" s="4">
        <v>19.989999999999998</v>
      </c>
      <c r="J724" s="4">
        <v>59.97</v>
      </c>
      <c r="K724" s="4" t="s">
        <v>682</v>
      </c>
      <c r="L724" s="4" t="s">
        <v>656</v>
      </c>
      <c r="M724" s="5"/>
      <c r="N724">
        <f>VLOOKUP(B724,Customers!A:J,7,0)</f>
        <v>47</v>
      </c>
      <c r="O724" t="str">
        <f>VLOOKUP(B724,Customers!A:J,5,0)</f>
        <v>Phoenix</v>
      </c>
      <c r="P724" t="str">
        <f>VLOOKUP(B724,Customers!A:J,10,0)</f>
        <v>Silver</v>
      </c>
      <c r="Q724" t="str">
        <f>VLOOKUP(B724,Customers!A:J,8,0)</f>
        <v>Female</v>
      </c>
      <c r="R724" t="b">
        <f t="shared" si="22"/>
        <v>1</v>
      </c>
      <c r="S724" s="18">
        <f t="shared" si="23"/>
        <v>44562</v>
      </c>
    </row>
    <row r="725" spans="1:19" x14ac:dyDescent="0.25">
      <c r="A725" s="6" t="s">
        <v>1879</v>
      </c>
      <c r="B725" s="7" t="s">
        <v>316</v>
      </c>
      <c r="C725" s="15">
        <v>45598</v>
      </c>
      <c r="D725" s="7" t="s">
        <v>680</v>
      </c>
      <c r="E725" s="7" t="s">
        <v>749</v>
      </c>
      <c r="F725" s="7">
        <v>14.99</v>
      </c>
      <c r="G725" s="7">
        <v>2</v>
      </c>
      <c r="H725" s="7">
        <v>20</v>
      </c>
      <c r="I725" s="7">
        <v>11.99</v>
      </c>
      <c r="J725" s="7">
        <v>23.98</v>
      </c>
      <c r="K725" s="7" t="s">
        <v>669</v>
      </c>
      <c r="L725" s="7" t="s">
        <v>788</v>
      </c>
      <c r="M725" s="8"/>
      <c r="N725">
        <f>VLOOKUP(B725,Customers!A:J,7,0)</f>
        <v>45</v>
      </c>
      <c r="O725" t="str">
        <f>VLOOKUP(B725,Customers!A:J,5,0)</f>
        <v>Houston</v>
      </c>
      <c r="P725" t="str">
        <f>VLOOKUP(B725,Customers!A:J,10,0)</f>
        <v>Silver</v>
      </c>
      <c r="Q725" t="str">
        <f>VLOOKUP(B725,Customers!A:J,8,0)</f>
        <v>Female</v>
      </c>
      <c r="R725" t="b">
        <f t="shared" si="22"/>
        <v>1</v>
      </c>
      <c r="S725" s="18">
        <f t="shared" si="23"/>
        <v>45597</v>
      </c>
    </row>
    <row r="726" spans="1:19" x14ac:dyDescent="0.25">
      <c r="A726" s="3" t="s">
        <v>1881</v>
      </c>
      <c r="B726" s="4" t="s">
        <v>316</v>
      </c>
      <c r="C726" s="14">
        <v>45542</v>
      </c>
      <c r="D726" s="4" t="s">
        <v>710</v>
      </c>
      <c r="E726" s="4" t="s">
        <v>711</v>
      </c>
      <c r="F726" s="4">
        <v>14.99</v>
      </c>
      <c r="G726" s="4">
        <v>4</v>
      </c>
      <c r="H726" s="4">
        <v>0</v>
      </c>
      <c r="I726" s="4">
        <v>14.99</v>
      </c>
      <c r="J726" s="4">
        <v>59.96</v>
      </c>
      <c r="K726" s="4" t="s">
        <v>655</v>
      </c>
      <c r="L726" s="4" t="s">
        <v>656</v>
      </c>
      <c r="M726" s="5"/>
      <c r="N726">
        <f>VLOOKUP(B726,Customers!A:J,7,0)</f>
        <v>45</v>
      </c>
      <c r="O726" t="str">
        <f>VLOOKUP(B726,Customers!A:J,5,0)</f>
        <v>Houston</v>
      </c>
      <c r="P726" t="str">
        <f>VLOOKUP(B726,Customers!A:J,10,0)</f>
        <v>Silver</v>
      </c>
      <c r="Q726" t="str">
        <f>VLOOKUP(B726,Customers!A:J,8,0)</f>
        <v>Female</v>
      </c>
      <c r="R726" t="b">
        <f t="shared" si="22"/>
        <v>1</v>
      </c>
      <c r="S726" s="18">
        <f t="shared" si="23"/>
        <v>45536</v>
      </c>
    </row>
    <row r="727" spans="1:19" x14ac:dyDescent="0.25">
      <c r="A727" s="6" t="s">
        <v>1883</v>
      </c>
      <c r="B727" s="7" t="s">
        <v>316</v>
      </c>
      <c r="C727" s="15">
        <v>45439</v>
      </c>
      <c r="D727" s="7" t="s">
        <v>667</v>
      </c>
      <c r="E727" s="7" t="s">
        <v>668</v>
      </c>
      <c r="F727" s="7">
        <v>64.989999999999995</v>
      </c>
      <c r="G727" s="7">
        <v>4</v>
      </c>
      <c r="H727" s="7">
        <v>5</v>
      </c>
      <c r="I727" s="7">
        <v>61.74</v>
      </c>
      <c r="J727" s="7">
        <v>246.96</v>
      </c>
      <c r="K727" s="7" t="s">
        <v>675</v>
      </c>
      <c r="L727" s="7" t="s">
        <v>656</v>
      </c>
      <c r="M727" s="8">
        <v>3</v>
      </c>
      <c r="N727">
        <f>VLOOKUP(B727,Customers!A:J,7,0)</f>
        <v>45</v>
      </c>
      <c r="O727" t="str">
        <f>VLOOKUP(B727,Customers!A:J,5,0)</f>
        <v>Houston</v>
      </c>
      <c r="P727" t="str">
        <f>VLOOKUP(B727,Customers!A:J,10,0)</f>
        <v>Silver</v>
      </c>
      <c r="Q727" t="str">
        <f>VLOOKUP(B727,Customers!A:J,8,0)</f>
        <v>Female</v>
      </c>
      <c r="R727" t="b">
        <f t="shared" si="22"/>
        <v>1</v>
      </c>
      <c r="S727" s="18">
        <f t="shared" si="23"/>
        <v>45413</v>
      </c>
    </row>
    <row r="728" spans="1:19" x14ac:dyDescent="0.25">
      <c r="A728" s="3" t="s">
        <v>1884</v>
      </c>
      <c r="B728" s="4" t="s">
        <v>316</v>
      </c>
      <c r="C728" s="14">
        <v>45342</v>
      </c>
      <c r="D728" s="4" t="s">
        <v>653</v>
      </c>
      <c r="E728" s="4" t="s">
        <v>727</v>
      </c>
      <c r="F728" s="4">
        <v>14.99</v>
      </c>
      <c r="G728" s="4">
        <v>1</v>
      </c>
      <c r="H728" s="4">
        <v>0</v>
      </c>
      <c r="I728" s="4">
        <v>14.99</v>
      </c>
      <c r="J728" s="4">
        <v>14.99</v>
      </c>
      <c r="K728" s="4" t="s">
        <v>682</v>
      </c>
      <c r="L728" s="4" t="s">
        <v>656</v>
      </c>
      <c r="M728" s="5">
        <v>5</v>
      </c>
      <c r="N728">
        <f>VLOOKUP(B728,Customers!A:J,7,0)</f>
        <v>45</v>
      </c>
      <c r="O728" t="str">
        <f>VLOOKUP(B728,Customers!A:J,5,0)</f>
        <v>Houston</v>
      </c>
      <c r="P728" t="str">
        <f>VLOOKUP(B728,Customers!A:J,10,0)</f>
        <v>Silver</v>
      </c>
      <c r="Q728" t="str">
        <f>VLOOKUP(B728,Customers!A:J,8,0)</f>
        <v>Female</v>
      </c>
      <c r="R728" t="b">
        <f t="shared" si="22"/>
        <v>1</v>
      </c>
      <c r="S728" s="18">
        <f t="shared" si="23"/>
        <v>45323</v>
      </c>
    </row>
    <row r="729" spans="1:19" x14ac:dyDescent="0.25">
      <c r="A729" s="6" t="s">
        <v>1886</v>
      </c>
      <c r="B729" s="7" t="s">
        <v>316</v>
      </c>
      <c r="C729" s="15">
        <v>45528</v>
      </c>
      <c r="D729" s="7" t="s">
        <v>684</v>
      </c>
      <c r="E729" s="7" t="s">
        <v>685</v>
      </c>
      <c r="F729" s="7">
        <v>49.99</v>
      </c>
      <c r="G729" s="7">
        <v>1</v>
      </c>
      <c r="H729" s="7">
        <v>0</v>
      </c>
      <c r="I729" s="7">
        <v>49.99</v>
      </c>
      <c r="J729" s="7">
        <v>49.99</v>
      </c>
      <c r="K729" s="7" t="s">
        <v>661</v>
      </c>
      <c r="L729" s="7" t="s">
        <v>656</v>
      </c>
      <c r="M729" s="8">
        <v>2</v>
      </c>
      <c r="N729">
        <f>VLOOKUP(B729,Customers!A:J,7,0)</f>
        <v>45</v>
      </c>
      <c r="O729" t="str">
        <f>VLOOKUP(B729,Customers!A:J,5,0)</f>
        <v>Houston</v>
      </c>
      <c r="P729" t="str">
        <f>VLOOKUP(B729,Customers!A:J,10,0)</f>
        <v>Silver</v>
      </c>
      <c r="Q729" t="str">
        <f>VLOOKUP(B729,Customers!A:J,8,0)</f>
        <v>Female</v>
      </c>
      <c r="R729" t="b">
        <f t="shared" si="22"/>
        <v>1</v>
      </c>
      <c r="S729" s="18">
        <f t="shared" si="23"/>
        <v>45505</v>
      </c>
    </row>
    <row r="730" spans="1:19" x14ac:dyDescent="0.25">
      <c r="A730" s="3" t="s">
        <v>1888</v>
      </c>
      <c r="B730" s="4" t="s">
        <v>316</v>
      </c>
      <c r="C730" s="14">
        <v>44792</v>
      </c>
      <c r="D730" s="4" t="s">
        <v>653</v>
      </c>
      <c r="E730" s="4" t="s">
        <v>654</v>
      </c>
      <c r="F730" s="4">
        <v>39.99</v>
      </c>
      <c r="G730" s="4">
        <v>3</v>
      </c>
      <c r="H730" s="4">
        <v>0</v>
      </c>
      <c r="I730" s="4">
        <v>39.99</v>
      </c>
      <c r="J730" s="4">
        <v>119.97</v>
      </c>
      <c r="K730" s="4" t="s">
        <v>682</v>
      </c>
      <c r="L730" s="4" t="s">
        <v>656</v>
      </c>
      <c r="M730" s="5">
        <v>5</v>
      </c>
      <c r="N730">
        <f>VLOOKUP(B730,Customers!A:J,7,0)</f>
        <v>45</v>
      </c>
      <c r="O730" t="str">
        <f>VLOOKUP(B730,Customers!A:J,5,0)</f>
        <v>Houston</v>
      </c>
      <c r="P730" t="str">
        <f>VLOOKUP(B730,Customers!A:J,10,0)</f>
        <v>Silver</v>
      </c>
      <c r="Q730" t="str">
        <f>VLOOKUP(B730,Customers!A:J,8,0)</f>
        <v>Female</v>
      </c>
      <c r="R730" t="b">
        <f t="shared" si="22"/>
        <v>1</v>
      </c>
      <c r="S730" s="18">
        <f t="shared" si="23"/>
        <v>44774</v>
      </c>
    </row>
    <row r="731" spans="1:19" x14ac:dyDescent="0.25">
      <c r="A731" s="6" t="s">
        <v>1889</v>
      </c>
      <c r="B731" s="7" t="s">
        <v>316</v>
      </c>
      <c r="C731" s="15">
        <v>45590</v>
      </c>
      <c r="D731" s="7" t="s">
        <v>653</v>
      </c>
      <c r="E731" s="7" t="s">
        <v>727</v>
      </c>
      <c r="F731" s="7">
        <v>14.99</v>
      </c>
      <c r="G731" s="7">
        <v>2</v>
      </c>
      <c r="H731" s="7">
        <v>0</v>
      </c>
      <c r="I731" s="7">
        <v>14.99</v>
      </c>
      <c r="J731" s="7">
        <v>29.98</v>
      </c>
      <c r="K731" s="7" t="s">
        <v>675</v>
      </c>
      <c r="L731" s="7" t="s">
        <v>656</v>
      </c>
      <c r="M731" s="8">
        <v>5</v>
      </c>
      <c r="N731">
        <f>VLOOKUP(B731,Customers!A:J,7,0)</f>
        <v>45</v>
      </c>
      <c r="O731" t="str">
        <f>VLOOKUP(B731,Customers!A:J,5,0)</f>
        <v>Houston</v>
      </c>
      <c r="P731" t="str">
        <f>VLOOKUP(B731,Customers!A:J,10,0)</f>
        <v>Silver</v>
      </c>
      <c r="Q731" t="str">
        <f>VLOOKUP(B731,Customers!A:J,8,0)</f>
        <v>Female</v>
      </c>
      <c r="R731" t="b">
        <f t="shared" si="22"/>
        <v>1</v>
      </c>
      <c r="S731" s="18">
        <f t="shared" si="23"/>
        <v>45566</v>
      </c>
    </row>
    <row r="732" spans="1:19" x14ac:dyDescent="0.25">
      <c r="A732" s="3" t="s">
        <v>1891</v>
      </c>
      <c r="B732" s="4" t="s">
        <v>319</v>
      </c>
      <c r="C732" s="14">
        <v>45459</v>
      </c>
      <c r="D732" s="4" t="s">
        <v>684</v>
      </c>
      <c r="E732" s="4" t="s">
        <v>685</v>
      </c>
      <c r="F732" s="4">
        <v>49.99</v>
      </c>
      <c r="G732" s="4">
        <v>1</v>
      </c>
      <c r="H732" s="4">
        <v>5</v>
      </c>
      <c r="I732" s="4">
        <v>47.49</v>
      </c>
      <c r="J732" s="4">
        <v>47.49</v>
      </c>
      <c r="K732" s="4" t="s">
        <v>655</v>
      </c>
      <c r="L732" s="4" t="s">
        <v>656</v>
      </c>
      <c r="M732" s="5">
        <v>3</v>
      </c>
      <c r="N732">
        <f>VLOOKUP(B732,Customers!A:J,7,0)</f>
        <v>53</v>
      </c>
      <c r="O732" t="str">
        <f>VLOOKUP(B732,Customers!A:J,5,0)</f>
        <v>New York</v>
      </c>
      <c r="P732" t="str">
        <f>VLOOKUP(B732,Customers!A:J,10,0)</f>
        <v>Silver</v>
      </c>
      <c r="Q732" t="str">
        <f>VLOOKUP(B732,Customers!A:J,8,0)</f>
        <v>Female</v>
      </c>
      <c r="R732" t="b">
        <f t="shared" si="22"/>
        <v>1</v>
      </c>
      <c r="S732" s="18">
        <f t="shared" si="23"/>
        <v>45444</v>
      </c>
    </row>
    <row r="733" spans="1:19" x14ac:dyDescent="0.25">
      <c r="A733" s="6" t="s">
        <v>1893</v>
      </c>
      <c r="B733" s="7" t="s">
        <v>319</v>
      </c>
      <c r="C733" s="15">
        <v>44820</v>
      </c>
      <c r="D733" s="7" t="s">
        <v>710</v>
      </c>
      <c r="E733" s="7" t="s">
        <v>711</v>
      </c>
      <c r="F733" s="7">
        <v>14.99</v>
      </c>
      <c r="G733" s="7">
        <v>4</v>
      </c>
      <c r="H733" s="7">
        <v>5</v>
      </c>
      <c r="I733" s="7">
        <v>14.24</v>
      </c>
      <c r="J733" s="7">
        <v>56.96</v>
      </c>
      <c r="K733" s="7" t="s">
        <v>669</v>
      </c>
      <c r="L733" s="7" t="s">
        <v>656</v>
      </c>
      <c r="M733" s="8"/>
      <c r="N733">
        <f>VLOOKUP(B733,Customers!A:J,7,0)</f>
        <v>53</v>
      </c>
      <c r="O733" t="str">
        <f>VLOOKUP(B733,Customers!A:J,5,0)</f>
        <v>New York</v>
      </c>
      <c r="P733" t="str">
        <f>VLOOKUP(B733,Customers!A:J,10,0)</f>
        <v>Silver</v>
      </c>
      <c r="Q733" t="str">
        <f>VLOOKUP(B733,Customers!A:J,8,0)</f>
        <v>Female</v>
      </c>
      <c r="R733" t="b">
        <f t="shared" si="22"/>
        <v>1</v>
      </c>
      <c r="S733" s="18">
        <f t="shared" si="23"/>
        <v>44805</v>
      </c>
    </row>
    <row r="734" spans="1:19" x14ac:dyDescent="0.25">
      <c r="A734" s="3" t="s">
        <v>1894</v>
      </c>
      <c r="B734" s="4" t="s">
        <v>319</v>
      </c>
      <c r="C734" s="14">
        <v>45359</v>
      </c>
      <c r="D734" s="4" t="s">
        <v>653</v>
      </c>
      <c r="E734" s="4" t="s">
        <v>769</v>
      </c>
      <c r="F734" s="4">
        <v>49.99</v>
      </c>
      <c r="G734" s="4">
        <v>3</v>
      </c>
      <c r="H734" s="4">
        <v>15</v>
      </c>
      <c r="I734" s="4">
        <v>42.49</v>
      </c>
      <c r="J734" s="4">
        <v>127.47</v>
      </c>
      <c r="K734" s="4" t="s">
        <v>655</v>
      </c>
      <c r="L734" s="4" t="s">
        <v>656</v>
      </c>
      <c r="M734" s="5">
        <v>5</v>
      </c>
      <c r="N734">
        <f>VLOOKUP(B734,Customers!A:J,7,0)</f>
        <v>53</v>
      </c>
      <c r="O734" t="str">
        <f>VLOOKUP(B734,Customers!A:J,5,0)</f>
        <v>New York</v>
      </c>
      <c r="P734" t="str">
        <f>VLOOKUP(B734,Customers!A:J,10,0)</f>
        <v>Silver</v>
      </c>
      <c r="Q734" t="str">
        <f>VLOOKUP(B734,Customers!A:J,8,0)</f>
        <v>Female</v>
      </c>
      <c r="R734" t="b">
        <f t="shared" si="22"/>
        <v>1</v>
      </c>
      <c r="S734" s="18">
        <f t="shared" si="23"/>
        <v>45352</v>
      </c>
    </row>
    <row r="735" spans="1:19" x14ac:dyDescent="0.25">
      <c r="A735" s="6" t="s">
        <v>1896</v>
      </c>
      <c r="B735" s="7" t="s">
        <v>319</v>
      </c>
      <c r="C735" s="15">
        <v>44595</v>
      </c>
      <c r="D735" s="7" t="s">
        <v>672</v>
      </c>
      <c r="E735" s="7" t="s">
        <v>803</v>
      </c>
      <c r="F735" s="7">
        <v>69.989999999999995</v>
      </c>
      <c r="G735" s="7">
        <v>2</v>
      </c>
      <c r="H735" s="7">
        <v>15</v>
      </c>
      <c r="I735" s="7">
        <v>59.49</v>
      </c>
      <c r="J735" s="7">
        <v>118.98</v>
      </c>
      <c r="K735" s="7" t="s">
        <v>661</v>
      </c>
      <c r="L735" s="7" t="s">
        <v>656</v>
      </c>
      <c r="M735" s="8">
        <v>2</v>
      </c>
      <c r="N735">
        <f>VLOOKUP(B735,Customers!A:J,7,0)</f>
        <v>53</v>
      </c>
      <c r="O735" t="str">
        <f>VLOOKUP(B735,Customers!A:J,5,0)</f>
        <v>New York</v>
      </c>
      <c r="P735" t="str">
        <f>VLOOKUP(B735,Customers!A:J,10,0)</f>
        <v>Silver</v>
      </c>
      <c r="Q735" t="str">
        <f>VLOOKUP(B735,Customers!A:J,8,0)</f>
        <v>Female</v>
      </c>
      <c r="R735" t="b">
        <f t="shared" si="22"/>
        <v>1</v>
      </c>
      <c r="S735" s="18">
        <f t="shared" si="23"/>
        <v>44593</v>
      </c>
    </row>
    <row r="736" spans="1:19" x14ac:dyDescent="0.25">
      <c r="A736" s="3" t="s">
        <v>1898</v>
      </c>
      <c r="B736" s="4" t="s">
        <v>319</v>
      </c>
      <c r="C736" s="14">
        <v>45177</v>
      </c>
      <c r="D736" s="4" t="s">
        <v>672</v>
      </c>
      <c r="E736" s="4" t="s">
        <v>724</v>
      </c>
      <c r="F736" s="4">
        <v>89.99</v>
      </c>
      <c r="G736" s="4">
        <v>3</v>
      </c>
      <c r="H736" s="4">
        <v>20</v>
      </c>
      <c r="I736" s="4">
        <v>71.989999999999995</v>
      </c>
      <c r="J736" s="4">
        <v>215.97</v>
      </c>
      <c r="K736" s="4" t="s">
        <v>669</v>
      </c>
      <c r="L736" s="4" t="s">
        <v>656</v>
      </c>
      <c r="M736" s="5">
        <v>4</v>
      </c>
      <c r="N736">
        <f>VLOOKUP(B736,Customers!A:J,7,0)</f>
        <v>53</v>
      </c>
      <c r="O736" t="str">
        <f>VLOOKUP(B736,Customers!A:J,5,0)</f>
        <v>New York</v>
      </c>
      <c r="P736" t="str">
        <f>VLOOKUP(B736,Customers!A:J,10,0)</f>
        <v>Silver</v>
      </c>
      <c r="Q736" t="str">
        <f>VLOOKUP(B736,Customers!A:J,8,0)</f>
        <v>Female</v>
      </c>
      <c r="R736" t="b">
        <f t="shared" si="22"/>
        <v>1</v>
      </c>
      <c r="S736" s="18">
        <f t="shared" si="23"/>
        <v>45170</v>
      </c>
    </row>
    <row r="737" spans="1:19" x14ac:dyDescent="0.25">
      <c r="A737" s="6" t="s">
        <v>1899</v>
      </c>
      <c r="B737" s="7" t="s">
        <v>319</v>
      </c>
      <c r="C737" s="15">
        <v>45528</v>
      </c>
      <c r="D737" s="7" t="s">
        <v>672</v>
      </c>
      <c r="E737" s="7" t="s">
        <v>673</v>
      </c>
      <c r="F737" s="7">
        <v>24.99</v>
      </c>
      <c r="G737" s="7">
        <v>2</v>
      </c>
      <c r="H737" s="7">
        <v>0</v>
      </c>
      <c r="I737" s="7">
        <v>24.99</v>
      </c>
      <c r="J737" s="7">
        <v>49.98</v>
      </c>
      <c r="K737" s="7" t="s">
        <v>669</v>
      </c>
      <c r="L737" s="7" t="s">
        <v>656</v>
      </c>
      <c r="M737" s="8"/>
      <c r="N737">
        <f>VLOOKUP(B737,Customers!A:J,7,0)</f>
        <v>53</v>
      </c>
      <c r="O737" t="str">
        <f>VLOOKUP(B737,Customers!A:J,5,0)</f>
        <v>New York</v>
      </c>
      <c r="P737" t="str">
        <f>VLOOKUP(B737,Customers!A:J,10,0)</f>
        <v>Silver</v>
      </c>
      <c r="Q737" t="str">
        <f>VLOOKUP(B737,Customers!A:J,8,0)</f>
        <v>Female</v>
      </c>
      <c r="R737" t="b">
        <f t="shared" si="22"/>
        <v>1</v>
      </c>
      <c r="S737" s="18">
        <f t="shared" si="23"/>
        <v>45505</v>
      </c>
    </row>
    <row r="738" spans="1:19" x14ac:dyDescent="0.25">
      <c r="A738" s="3" t="s">
        <v>1900</v>
      </c>
      <c r="B738" s="4" t="s">
        <v>319</v>
      </c>
      <c r="C738" s="14">
        <v>45566</v>
      </c>
      <c r="D738" s="4" t="s">
        <v>680</v>
      </c>
      <c r="E738" s="4" t="s">
        <v>688</v>
      </c>
      <c r="F738" s="4">
        <v>29.99</v>
      </c>
      <c r="G738" s="4">
        <v>3</v>
      </c>
      <c r="H738" s="4">
        <v>20</v>
      </c>
      <c r="I738" s="4">
        <v>23.99</v>
      </c>
      <c r="J738" s="4">
        <v>71.97</v>
      </c>
      <c r="K738" s="4" t="s">
        <v>669</v>
      </c>
      <c r="L738" s="4" t="s">
        <v>656</v>
      </c>
      <c r="M738" s="5"/>
      <c r="N738">
        <f>VLOOKUP(B738,Customers!A:J,7,0)</f>
        <v>53</v>
      </c>
      <c r="O738" t="str">
        <f>VLOOKUP(B738,Customers!A:J,5,0)</f>
        <v>New York</v>
      </c>
      <c r="P738" t="str">
        <f>VLOOKUP(B738,Customers!A:J,10,0)</f>
        <v>Silver</v>
      </c>
      <c r="Q738" t="str">
        <f>VLOOKUP(B738,Customers!A:J,8,0)</f>
        <v>Female</v>
      </c>
      <c r="R738" t="b">
        <f t="shared" si="22"/>
        <v>1</v>
      </c>
      <c r="S738" s="18">
        <f t="shared" si="23"/>
        <v>45566</v>
      </c>
    </row>
    <row r="739" spans="1:19" x14ac:dyDescent="0.25">
      <c r="A739" s="6" t="s">
        <v>1901</v>
      </c>
      <c r="B739" s="7" t="s">
        <v>322</v>
      </c>
      <c r="C739" s="15">
        <v>44847</v>
      </c>
      <c r="D739" s="7" t="s">
        <v>659</v>
      </c>
      <c r="E739" s="7" t="s">
        <v>660</v>
      </c>
      <c r="F739" s="7">
        <v>19.989999999999998</v>
      </c>
      <c r="G739" s="7">
        <v>3</v>
      </c>
      <c r="H739" s="7">
        <v>15</v>
      </c>
      <c r="I739" s="7">
        <v>16.989999999999998</v>
      </c>
      <c r="J739" s="7">
        <v>50.97</v>
      </c>
      <c r="K739" s="7" t="s">
        <v>661</v>
      </c>
      <c r="L739" s="7" t="s">
        <v>656</v>
      </c>
      <c r="M739" s="8">
        <v>4</v>
      </c>
      <c r="N739">
        <f>VLOOKUP(B739,Customers!A:J,7,0)</f>
        <v>29</v>
      </c>
      <c r="O739" t="str">
        <f>VLOOKUP(B739,Customers!A:J,5,0)</f>
        <v>San Jose</v>
      </c>
      <c r="P739" t="str">
        <f>VLOOKUP(B739,Customers!A:J,10,0)</f>
        <v>Free</v>
      </c>
      <c r="Q739" t="str">
        <f>VLOOKUP(B739,Customers!A:J,8,0)</f>
        <v>Female</v>
      </c>
      <c r="R739" t="b">
        <f t="shared" si="22"/>
        <v>1</v>
      </c>
      <c r="S739" s="18">
        <f t="shared" si="23"/>
        <v>44835</v>
      </c>
    </row>
    <row r="740" spans="1:19" x14ac:dyDescent="0.25">
      <c r="A740" s="3" t="s">
        <v>1902</v>
      </c>
      <c r="B740" s="4" t="s">
        <v>322</v>
      </c>
      <c r="C740" s="14">
        <v>45609</v>
      </c>
      <c r="D740" s="4" t="s">
        <v>684</v>
      </c>
      <c r="E740" s="4" t="s">
        <v>685</v>
      </c>
      <c r="F740" s="4">
        <v>49.99</v>
      </c>
      <c r="G740" s="4">
        <v>3</v>
      </c>
      <c r="H740" s="4">
        <v>20</v>
      </c>
      <c r="I740" s="4">
        <v>39.99</v>
      </c>
      <c r="J740" s="4">
        <v>119.97</v>
      </c>
      <c r="K740" s="4" t="s">
        <v>655</v>
      </c>
      <c r="L740" s="4" t="s">
        <v>656</v>
      </c>
      <c r="M740" s="5">
        <v>4</v>
      </c>
      <c r="N740">
        <f>VLOOKUP(B740,Customers!A:J,7,0)</f>
        <v>29</v>
      </c>
      <c r="O740" t="str">
        <f>VLOOKUP(B740,Customers!A:J,5,0)</f>
        <v>San Jose</v>
      </c>
      <c r="P740" t="str">
        <f>VLOOKUP(B740,Customers!A:J,10,0)</f>
        <v>Free</v>
      </c>
      <c r="Q740" t="str">
        <f>VLOOKUP(B740,Customers!A:J,8,0)</f>
        <v>Female</v>
      </c>
      <c r="R740" t="b">
        <f t="shared" si="22"/>
        <v>1</v>
      </c>
      <c r="S740" s="18">
        <f t="shared" si="23"/>
        <v>45597</v>
      </c>
    </row>
    <row r="741" spans="1:19" x14ac:dyDescent="0.25">
      <c r="A741" s="6" t="s">
        <v>1903</v>
      </c>
      <c r="B741" s="7" t="s">
        <v>322</v>
      </c>
      <c r="C741" s="15">
        <v>45486</v>
      </c>
      <c r="D741" s="7" t="s">
        <v>672</v>
      </c>
      <c r="E741" s="7" t="s">
        <v>803</v>
      </c>
      <c r="F741" s="7">
        <v>69.989999999999995</v>
      </c>
      <c r="G741" s="7">
        <v>2</v>
      </c>
      <c r="H741" s="7">
        <v>0</v>
      </c>
      <c r="I741" s="7">
        <v>69.989999999999995</v>
      </c>
      <c r="J741" s="7">
        <v>139.97999999999999</v>
      </c>
      <c r="K741" s="7" t="s">
        <v>655</v>
      </c>
      <c r="L741" s="7" t="s">
        <v>656</v>
      </c>
      <c r="M741" s="8">
        <v>4</v>
      </c>
      <c r="N741">
        <f>VLOOKUP(B741,Customers!A:J,7,0)</f>
        <v>29</v>
      </c>
      <c r="O741" t="str">
        <f>VLOOKUP(B741,Customers!A:J,5,0)</f>
        <v>San Jose</v>
      </c>
      <c r="P741" t="str">
        <f>VLOOKUP(B741,Customers!A:J,10,0)</f>
        <v>Free</v>
      </c>
      <c r="Q741" t="str">
        <f>VLOOKUP(B741,Customers!A:J,8,0)</f>
        <v>Female</v>
      </c>
      <c r="R741" t="b">
        <f t="shared" si="22"/>
        <v>1</v>
      </c>
      <c r="S741" s="18">
        <f t="shared" si="23"/>
        <v>45474</v>
      </c>
    </row>
    <row r="742" spans="1:19" x14ac:dyDescent="0.25">
      <c r="A742" s="3" t="s">
        <v>1905</v>
      </c>
      <c r="B742" s="4" t="s">
        <v>322</v>
      </c>
      <c r="C742" s="14">
        <v>44672</v>
      </c>
      <c r="D742" s="4" t="s">
        <v>672</v>
      </c>
      <c r="E742" s="4" t="s">
        <v>673</v>
      </c>
      <c r="F742" s="4">
        <v>24.99</v>
      </c>
      <c r="G742" s="4">
        <v>2</v>
      </c>
      <c r="H742" s="4">
        <v>5</v>
      </c>
      <c r="I742" s="4">
        <v>23.74</v>
      </c>
      <c r="J742" s="4">
        <v>47.48</v>
      </c>
      <c r="K742" s="4" t="s">
        <v>655</v>
      </c>
      <c r="L742" s="4" t="s">
        <v>656</v>
      </c>
      <c r="M742" s="5">
        <v>5</v>
      </c>
      <c r="N742">
        <f>VLOOKUP(B742,Customers!A:J,7,0)</f>
        <v>29</v>
      </c>
      <c r="O742" t="str">
        <f>VLOOKUP(B742,Customers!A:J,5,0)</f>
        <v>San Jose</v>
      </c>
      <c r="P742" t="str">
        <f>VLOOKUP(B742,Customers!A:J,10,0)</f>
        <v>Free</v>
      </c>
      <c r="Q742" t="str">
        <f>VLOOKUP(B742,Customers!A:J,8,0)</f>
        <v>Female</v>
      </c>
      <c r="R742" t="b">
        <f t="shared" si="22"/>
        <v>1</v>
      </c>
      <c r="S742" s="18">
        <f t="shared" si="23"/>
        <v>44652</v>
      </c>
    </row>
    <row r="743" spans="1:19" x14ac:dyDescent="0.25">
      <c r="A743" s="6" t="s">
        <v>1906</v>
      </c>
      <c r="B743" s="7" t="s">
        <v>322</v>
      </c>
      <c r="C743" s="15">
        <v>44913</v>
      </c>
      <c r="D743" s="7" t="s">
        <v>667</v>
      </c>
      <c r="E743" s="7" t="s">
        <v>668</v>
      </c>
      <c r="F743" s="7">
        <v>64.989999999999995</v>
      </c>
      <c r="G743" s="7">
        <v>4</v>
      </c>
      <c r="H743" s="7">
        <v>0</v>
      </c>
      <c r="I743" s="7">
        <v>64.989999999999995</v>
      </c>
      <c r="J743" s="7">
        <v>259.95999999999998</v>
      </c>
      <c r="K743" s="7" t="s">
        <v>655</v>
      </c>
      <c r="L743" s="7" t="s">
        <v>656</v>
      </c>
      <c r="M743" s="8">
        <v>5</v>
      </c>
      <c r="N743">
        <f>VLOOKUP(B743,Customers!A:J,7,0)</f>
        <v>29</v>
      </c>
      <c r="O743" t="str">
        <f>VLOOKUP(B743,Customers!A:J,5,0)</f>
        <v>San Jose</v>
      </c>
      <c r="P743" t="str">
        <f>VLOOKUP(B743,Customers!A:J,10,0)</f>
        <v>Free</v>
      </c>
      <c r="Q743" t="str">
        <f>VLOOKUP(B743,Customers!A:J,8,0)</f>
        <v>Female</v>
      </c>
      <c r="R743" t="b">
        <f t="shared" si="22"/>
        <v>1</v>
      </c>
      <c r="S743" s="18">
        <f t="shared" si="23"/>
        <v>44896</v>
      </c>
    </row>
    <row r="744" spans="1:19" x14ac:dyDescent="0.25">
      <c r="A744" s="3" t="s">
        <v>1908</v>
      </c>
      <c r="B744" s="4" t="s">
        <v>322</v>
      </c>
      <c r="C744" s="14">
        <v>44702</v>
      </c>
      <c r="D744" s="4" t="s">
        <v>659</v>
      </c>
      <c r="E744" s="4" t="s">
        <v>762</v>
      </c>
      <c r="F744" s="4">
        <v>49.99</v>
      </c>
      <c r="G744" s="4">
        <v>3</v>
      </c>
      <c r="H744" s="4">
        <v>10</v>
      </c>
      <c r="I744" s="4">
        <v>44.99</v>
      </c>
      <c r="J744" s="4">
        <v>134.97</v>
      </c>
      <c r="K744" s="4" t="s">
        <v>682</v>
      </c>
      <c r="L744" s="4" t="s">
        <v>656</v>
      </c>
      <c r="M744" s="5"/>
      <c r="N744">
        <f>VLOOKUP(B744,Customers!A:J,7,0)</f>
        <v>29</v>
      </c>
      <c r="O744" t="str">
        <f>VLOOKUP(B744,Customers!A:J,5,0)</f>
        <v>San Jose</v>
      </c>
      <c r="P744" t="str">
        <f>VLOOKUP(B744,Customers!A:J,10,0)</f>
        <v>Free</v>
      </c>
      <c r="Q744" t="str">
        <f>VLOOKUP(B744,Customers!A:J,8,0)</f>
        <v>Female</v>
      </c>
      <c r="R744" t="b">
        <f t="shared" si="22"/>
        <v>1</v>
      </c>
      <c r="S744" s="18">
        <f t="shared" si="23"/>
        <v>44682</v>
      </c>
    </row>
    <row r="745" spans="1:19" x14ac:dyDescent="0.25">
      <c r="A745" s="6" t="s">
        <v>1909</v>
      </c>
      <c r="B745" s="7" t="s">
        <v>322</v>
      </c>
      <c r="C745" s="15">
        <v>44775</v>
      </c>
      <c r="D745" s="7" t="s">
        <v>710</v>
      </c>
      <c r="E745" s="7" t="s">
        <v>721</v>
      </c>
      <c r="F745" s="7">
        <v>24.99</v>
      </c>
      <c r="G745" s="7">
        <v>3</v>
      </c>
      <c r="H745" s="7">
        <v>5</v>
      </c>
      <c r="I745" s="7">
        <v>23.74</v>
      </c>
      <c r="J745" s="7">
        <v>71.22</v>
      </c>
      <c r="K745" s="7" t="s">
        <v>682</v>
      </c>
      <c r="L745" s="7" t="s">
        <v>656</v>
      </c>
      <c r="M745" s="8">
        <v>4</v>
      </c>
      <c r="N745">
        <f>VLOOKUP(B745,Customers!A:J,7,0)</f>
        <v>29</v>
      </c>
      <c r="O745" t="str">
        <f>VLOOKUP(B745,Customers!A:J,5,0)</f>
        <v>San Jose</v>
      </c>
      <c r="P745" t="str">
        <f>VLOOKUP(B745,Customers!A:J,10,0)</f>
        <v>Free</v>
      </c>
      <c r="Q745" t="str">
        <f>VLOOKUP(B745,Customers!A:J,8,0)</f>
        <v>Female</v>
      </c>
      <c r="R745" t="b">
        <f t="shared" si="22"/>
        <v>1</v>
      </c>
      <c r="S745" s="18">
        <f t="shared" si="23"/>
        <v>44774</v>
      </c>
    </row>
    <row r="746" spans="1:19" x14ac:dyDescent="0.25">
      <c r="A746" s="3" t="s">
        <v>1910</v>
      </c>
      <c r="B746" s="4" t="s">
        <v>322</v>
      </c>
      <c r="C746" s="14">
        <v>45494</v>
      </c>
      <c r="D746" s="4" t="s">
        <v>710</v>
      </c>
      <c r="E746" s="4" t="s">
        <v>730</v>
      </c>
      <c r="F746" s="4">
        <v>39.99</v>
      </c>
      <c r="G746" s="4">
        <v>4</v>
      </c>
      <c r="H746" s="4">
        <v>5</v>
      </c>
      <c r="I746" s="4">
        <v>37.99</v>
      </c>
      <c r="J746" s="4">
        <v>151.96</v>
      </c>
      <c r="K746" s="4" t="s">
        <v>669</v>
      </c>
      <c r="L746" s="4" t="s">
        <v>656</v>
      </c>
      <c r="M746" s="5"/>
      <c r="N746">
        <f>VLOOKUP(B746,Customers!A:J,7,0)</f>
        <v>29</v>
      </c>
      <c r="O746" t="str">
        <f>VLOOKUP(B746,Customers!A:J,5,0)</f>
        <v>San Jose</v>
      </c>
      <c r="P746" t="str">
        <f>VLOOKUP(B746,Customers!A:J,10,0)</f>
        <v>Free</v>
      </c>
      <c r="Q746" t="str">
        <f>VLOOKUP(B746,Customers!A:J,8,0)</f>
        <v>Female</v>
      </c>
      <c r="R746" t="b">
        <f t="shared" si="22"/>
        <v>1</v>
      </c>
      <c r="S746" s="18">
        <f t="shared" si="23"/>
        <v>45474</v>
      </c>
    </row>
    <row r="747" spans="1:19" x14ac:dyDescent="0.25">
      <c r="A747" s="6" t="s">
        <v>1912</v>
      </c>
      <c r="B747" s="7" t="s">
        <v>322</v>
      </c>
      <c r="C747" s="15">
        <v>44883</v>
      </c>
      <c r="D747" s="7" t="s">
        <v>680</v>
      </c>
      <c r="E747" s="7" t="s">
        <v>708</v>
      </c>
      <c r="F747" s="7">
        <v>24.99</v>
      </c>
      <c r="G747" s="7">
        <v>1</v>
      </c>
      <c r="H747" s="7">
        <v>0</v>
      </c>
      <c r="I747" s="7">
        <v>24.99</v>
      </c>
      <c r="J747" s="7">
        <v>24.99</v>
      </c>
      <c r="K747" s="7" t="s">
        <v>661</v>
      </c>
      <c r="L747" s="7" t="s">
        <v>788</v>
      </c>
      <c r="M747" s="8"/>
      <c r="N747">
        <f>VLOOKUP(B747,Customers!A:J,7,0)</f>
        <v>29</v>
      </c>
      <c r="O747" t="str">
        <f>VLOOKUP(B747,Customers!A:J,5,0)</f>
        <v>San Jose</v>
      </c>
      <c r="P747" t="str">
        <f>VLOOKUP(B747,Customers!A:J,10,0)</f>
        <v>Free</v>
      </c>
      <c r="Q747" t="str">
        <f>VLOOKUP(B747,Customers!A:J,8,0)</f>
        <v>Female</v>
      </c>
      <c r="R747" t="b">
        <f t="shared" si="22"/>
        <v>1</v>
      </c>
      <c r="S747" s="18">
        <f t="shared" si="23"/>
        <v>44866</v>
      </c>
    </row>
    <row r="748" spans="1:19" x14ac:dyDescent="0.25">
      <c r="A748" s="3" t="s">
        <v>1914</v>
      </c>
      <c r="B748" s="4" t="s">
        <v>322</v>
      </c>
      <c r="C748" s="14">
        <v>45570</v>
      </c>
      <c r="D748" s="4" t="s">
        <v>653</v>
      </c>
      <c r="E748" s="4" t="s">
        <v>727</v>
      </c>
      <c r="F748" s="4">
        <v>14.99</v>
      </c>
      <c r="G748" s="4">
        <v>1</v>
      </c>
      <c r="H748" s="4">
        <v>0</v>
      </c>
      <c r="I748" s="4">
        <v>14.99</v>
      </c>
      <c r="J748" s="4">
        <v>14.99</v>
      </c>
      <c r="K748" s="4" t="s">
        <v>682</v>
      </c>
      <c r="L748" s="4" t="s">
        <v>656</v>
      </c>
      <c r="M748" s="5">
        <v>4</v>
      </c>
      <c r="N748">
        <f>VLOOKUP(B748,Customers!A:J,7,0)</f>
        <v>29</v>
      </c>
      <c r="O748" t="str">
        <f>VLOOKUP(B748,Customers!A:J,5,0)</f>
        <v>San Jose</v>
      </c>
      <c r="P748" t="str">
        <f>VLOOKUP(B748,Customers!A:J,10,0)</f>
        <v>Free</v>
      </c>
      <c r="Q748" t="str">
        <f>VLOOKUP(B748,Customers!A:J,8,0)</f>
        <v>Female</v>
      </c>
      <c r="R748" t="b">
        <f t="shared" si="22"/>
        <v>1</v>
      </c>
      <c r="S748" s="18">
        <f t="shared" si="23"/>
        <v>45566</v>
      </c>
    </row>
    <row r="749" spans="1:19" x14ac:dyDescent="0.25">
      <c r="A749" s="6" t="s">
        <v>1915</v>
      </c>
      <c r="B749" s="7" t="s">
        <v>322</v>
      </c>
      <c r="C749" s="15">
        <v>45109</v>
      </c>
      <c r="D749" s="7" t="s">
        <v>672</v>
      </c>
      <c r="E749" s="7" t="s">
        <v>803</v>
      </c>
      <c r="F749" s="7">
        <v>69.989999999999995</v>
      </c>
      <c r="G749" s="7">
        <v>2</v>
      </c>
      <c r="H749" s="7">
        <v>0</v>
      </c>
      <c r="I749" s="7">
        <v>69.989999999999995</v>
      </c>
      <c r="J749" s="7">
        <v>139.97999999999999</v>
      </c>
      <c r="K749" s="7" t="s">
        <v>675</v>
      </c>
      <c r="L749" s="7" t="s">
        <v>656</v>
      </c>
      <c r="M749" s="8">
        <v>4</v>
      </c>
      <c r="N749">
        <f>VLOOKUP(B749,Customers!A:J,7,0)</f>
        <v>29</v>
      </c>
      <c r="O749" t="str">
        <f>VLOOKUP(B749,Customers!A:J,5,0)</f>
        <v>San Jose</v>
      </c>
      <c r="P749" t="str">
        <f>VLOOKUP(B749,Customers!A:J,10,0)</f>
        <v>Free</v>
      </c>
      <c r="Q749" t="str">
        <f>VLOOKUP(B749,Customers!A:J,8,0)</f>
        <v>Female</v>
      </c>
      <c r="R749" t="b">
        <f t="shared" si="22"/>
        <v>1</v>
      </c>
      <c r="S749" s="18">
        <f t="shared" si="23"/>
        <v>45108</v>
      </c>
    </row>
    <row r="750" spans="1:19" x14ac:dyDescent="0.25">
      <c r="A750" s="3" t="s">
        <v>1916</v>
      </c>
      <c r="B750" s="4" t="s">
        <v>322</v>
      </c>
      <c r="C750" s="14">
        <v>44687</v>
      </c>
      <c r="D750" s="4" t="s">
        <v>684</v>
      </c>
      <c r="E750" s="4" t="s">
        <v>685</v>
      </c>
      <c r="F750" s="4">
        <v>49.99</v>
      </c>
      <c r="G750" s="4">
        <v>2</v>
      </c>
      <c r="H750" s="4">
        <v>5</v>
      </c>
      <c r="I750" s="4">
        <v>47.49</v>
      </c>
      <c r="J750" s="4">
        <v>94.98</v>
      </c>
      <c r="K750" s="4" t="s">
        <v>669</v>
      </c>
      <c r="L750" s="4" t="s">
        <v>656</v>
      </c>
      <c r="M750" s="5">
        <v>3</v>
      </c>
      <c r="N750">
        <f>VLOOKUP(B750,Customers!A:J,7,0)</f>
        <v>29</v>
      </c>
      <c r="O750" t="str">
        <f>VLOOKUP(B750,Customers!A:J,5,0)</f>
        <v>San Jose</v>
      </c>
      <c r="P750" t="str">
        <f>VLOOKUP(B750,Customers!A:J,10,0)</f>
        <v>Free</v>
      </c>
      <c r="Q750" t="str">
        <f>VLOOKUP(B750,Customers!A:J,8,0)</f>
        <v>Female</v>
      </c>
      <c r="R750" t="b">
        <f t="shared" si="22"/>
        <v>1</v>
      </c>
      <c r="S750" s="18">
        <f t="shared" si="23"/>
        <v>44682</v>
      </c>
    </row>
    <row r="751" spans="1:19" x14ac:dyDescent="0.25">
      <c r="A751" s="6" t="s">
        <v>1917</v>
      </c>
      <c r="B751" s="7" t="s">
        <v>322</v>
      </c>
      <c r="C751" s="15">
        <v>44708</v>
      </c>
      <c r="D751" s="7" t="s">
        <v>653</v>
      </c>
      <c r="E751" s="7" t="s">
        <v>769</v>
      </c>
      <c r="F751" s="7">
        <v>49.99</v>
      </c>
      <c r="G751" s="7">
        <v>3</v>
      </c>
      <c r="H751" s="7">
        <v>0</v>
      </c>
      <c r="I751" s="7">
        <v>49.99</v>
      </c>
      <c r="J751" s="7">
        <v>149.97</v>
      </c>
      <c r="K751" s="7" t="s">
        <v>669</v>
      </c>
      <c r="L751" s="7" t="s">
        <v>656</v>
      </c>
      <c r="M751" s="8"/>
      <c r="N751">
        <f>VLOOKUP(B751,Customers!A:J,7,0)</f>
        <v>29</v>
      </c>
      <c r="O751" t="str">
        <f>VLOOKUP(B751,Customers!A:J,5,0)</f>
        <v>San Jose</v>
      </c>
      <c r="P751" t="str">
        <f>VLOOKUP(B751,Customers!A:J,10,0)</f>
        <v>Free</v>
      </c>
      <c r="Q751" t="str">
        <f>VLOOKUP(B751,Customers!A:J,8,0)</f>
        <v>Female</v>
      </c>
      <c r="R751" t="b">
        <f t="shared" si="22"/>
        <v>1</v>
      </c>
      <c r="S751" s="18">
        <f t="shared" si="23"/>
        <v>44682</v>
      </c>
    </row>
    <row r="752" spans="1:19" x14ac:dyDescent="0.25">
      <c r="A752" s="3" t="s">
        <v>1918</v>
      </c>
      <c r="B752" s="4" t="s">
        <v>322</v>
      </c>
      <c r="C752" s="14">
        <v>44758</v>
      </c>
      <c r="D752" s="4" t="s">
        <v>672</v>
      </c>
      <c r="E752" s="4" t="s">
        <v>673</v>
      </c>
      <c r="F752" s="4">
        <v>24.99</v>
      </c>
      <c r="G752" s="4">
        <v>1</v>
      </c>
      <c r="H752" s="4">
        <v>0</v>
      </c>
      <c r="I752" s="4">
        <v>24.99</v>
      </c>
      <c r="J752" s="4">
        <v>24.99</v>
      </c>
      <c r="K752" s="4" t="s">
        <v>675</v>
      </c>
      <c r="L752" s="4" t="s">
        <v>656</v>
      </c>
      <c r="M752" s="5">
        <v>5</v>
      </c>
      <c r="N752">
        <f>VLOOKUP(B752,Customers!A:J,7,0)</f>
        <v>29</v>
      </c>
      <c r="O752" t="str">
        <f>VLOOKUP(B752,Customers!A:J,5,0)</f>
        <v>San Jose</v>
      </c>
      <c r="P752" t="str">
        <f>VLOOKUP(B752,Customers!A:J,10,0)</f>
        <v>Free</v>
      </c>
      <c r="Q752" t="str">
        <f>VLOOKUP(B752,Customers!A:J,8,0)</f>
        <v>Female</v>
      </c>
      <c r="R752" t="b">
        <f t="shared" si="22"/>
        <v>1</v>
      </c>
      <c r="S752" s="18">
        <f t="shared" si="23"/>
        <v>44743</v>
      </c>
    </row>
    <row r="753" spans="1:19" x14ac:dyDescent="0.25">
      <c r="A753" s="6" t="s">
        <v>1919</v>
      </c>
      <c r="B753" s="7" t="s">
        <v>325</v>
      </c>
      <c r="C753" s="15">
        <v>44930</v>
      </c>
      <c r="D753" s="7" t="s">
        <v>659</v>
      </c>
      <c r="E753" s="7" t="s">
        <v>820</v>
      </c>
      <c r="F753" s="7">
        <v>39.99</v>
      </c>
      <c r="G753" s="7">
        <v>4</v>
      </c>
      <c r="H753" s="7">
        <v>5</v>
      </c>
      <c r="I753" s="7">
        <v>37.99</v>
      </c>
      <c r="J753" s="7">
        <v>151.96</v>
      </c>
      <c r="K753" s="7" t="s">
        <v>655</v>
      </c>
      <c r="L753" s="7" t="s">
        <v>656</v>
      </c>
      <c r="M753" s="8">
        <v>4</v>
      </c>
      <c r="N753">
        <f>VLOOKUP(B753,Customers!A:J,7,0)</f>
        <v>29</v>
      </c>
      <c r="O753" t="str">
        <f>VLOOKUP(B753,Customers!A:J,5,0)</f>
        <v>San Antonio</v>
      </c>
      <c r="P753" t="str">
        <f>VLOOKUP(B753,Customers!A:J,10,0)</f>
        <v>Platinum</v>
      </c>
      <c r="Q753" t="str">
        <f>VLOOKUP(B753,Customers!A:J,8,0)</f>
        <v>Male</v>
      </c>
      <c r="R753" t="b">
        <f t="shared" si="22"/>
        <v>1</v>
      </c>
      <c r="S753" s="18">
        <f t="shared" si="23"/>
        <v>44927</v>
      </c>
    </row>
    <row r="754" spans="1:19" x14ac:dyDescent="0.25">
      <c r="A754" s="3" t="s">
        <v>1921</v>
      </c>
      <c r="B754" s="4" t="s">
        <v>325</v>
      </c>
      <c r="C754" s="14">
        <v>45171</v>
      </c>
      <c r="D754" s="4" t="s">
        <v>710</v>
      </c>
      <c r="E754" s="4" t="s">
        <v>721</v>
      </c>
      <c r="F754" s="4">
        <v>24.99</v>
      </c>
      <c r="G754" s="4">
        <v>2</v>
      </c>
      <c r="H754" s="4">
        <v>20</v>
      </c>
      <c r="I754" s="4">
        <v>19.989999999999998</v>
      </c>
      <c r="J754" s="4">
        <v>39.979999999999997</v>
      </c>
      <c r="K754" s="4" t="s">
        <v>661</v>
      </c>
      <c r="L754" s="4" t="s">
        <v>656</v>
      </c>
      <c r="M754" s="5">
        <v>5</v>
      </c>
      <c r="N754">
        <f>VLOOKUP(B754,Customers!A:J,7,0)</f>
        <v>29</v>
      </c>
      <c r="O754" t="str">
        <f>VLOOKUP(B754,Customers!A:J,5,0)</f>
        <v>San Antonio</v>
      </c>
      <c r="P754" t="str">
        <f>VLOOKUP(B754,Customers!A:J,10,0)</f>
        <v>Platinum</v>
      </c>
      <c r="Q754" t="str">
        <f>VLOOKUP(B754,Customers!A:J,8,0)</f>
        <v>Male</v>
      </c>
      <c r="R754" t="b">
        <f t="shared" si="22"/>
        <v>1</v>
      </c>
      <c r="S754" s="18">
        <f t="shared" si="23"/>
        <v>45170</v>
      </c>
    </row>
    <row r="755" spans="1:19" x14ac:dyDescent="0.25">
      <c r="A755" s="6" t="s">
        <v>1922</v>
      </c>
      <c r="B755" s="7" t="s">
        <v>325</v>
      </c>
      <c r="C755" s="15">
        <v>45271</v>
      </c>
      <c r="D755" s="7" t="s">
        <v>672</v>
      </c>
      <c r="E755" s="7" t="s">
        <v>724</v>
      </c>
      <c r="F755" s="7">
        <v>89.99</v>
      </c>
      <c r="G755" s="7">
        <v>3</v>
      </c>
      <c r="H755" s="7">
        <v>0</v>
      </c>
      <c r="I755" s="7">
        <v>89.99</v>
      </c>
      <c r="J755" s="7">
        <v>269.97000000000003</v>
      </c>
      <c r="K755" s="7" t="s">
        <v>661</v>
      </c>
      <c r="L755" s="7" t="s">
        <v>656</v>
      </c>
      <c r="M755" s="8">
        <v>5</v>
      </c>
      <c r="N755">
        <f>VLOOKUP(B755,Customers!A:J,7,0)</f>
        <v>29</v>
      </c>
      <c r="O755" t="str">
        <f>VLOOKUP(B755,Customers!A:J,5,0)</f>
        <v>San Antonio</v>
      </c>
      <c r="P755" t="str">
        <f>VLOOKUP(B755,Customers!A:J,10,0)</f>
        <v>Platinum</v>
      </c>
      <c r="Q755" t="str">
        <f>VLOOKUP(B755,Customers!A:J,8,0)</f>
        <v>Male</v>
      </c>
      <c r="R755" t="b">
        <f t="shared" si="22"/>
        <v>1</v>
      </c>
      <c r="S755" s="18">
        <f t="shared" si="23"/>
        <v>45261</v>
      </c>
    </row>
    <row r="756" spans="1:19" x14ac:dyDescent="0.25">
      <c r="A756" s="3" t="s">
        <v>1924</v>
      </c>
      <c r="B756" s="4" t="s">
        <v>325</v>
      </c>
      <c r="C756" s="14">
        <v>44599</v>
      </c>
      <c r="D756" s="4" t="s">
        <v>667</v>
      </c>
      <c r="E756" s="4" t="s">
        <v>668</v>
      </c>
      <c r="F756" s="4">
        <v>64.989999999999995</v>
      </c>
      <c r="G756" s="4">
        <v>4</v>
      </c>
      <c r="H756" s="4">
        <v>0</v>
      </c>
      <c r="I756" s="4">
        <v>64.989999999999995</v>
      </c>
      <c r="J756" s="4">
        <v>259.95999999999998</v>
      </c>
      <c r="K756" s="4" t="s">
        <v>675</v>
      </c>
      <c r="L756" s="4" t="s">
        <v>739</v>
      </c>
      <c r="M756" s="5"/>
      <c r="N756">
        <f>VLOOKUP(B756,Customers!A:J,7,0)</f>
        <v>29</v>
      </c>
      <c r="O756" t="str">
        <f>VLOOKUP(B756,Customers!A:J,5,0)</f>
        <v>San Antonio</v>
      </c>
      <c r="P756" t="str">
        <f>VLOOKUP(B756,Customers!A:J,10,0)</f>
        <v>Platinum</v>
      </c>
      <c r="Q756" t="str">
        <f>VLOOKUP(B756,Customers!A:J,8,0)</f>
        <v>Male</v>
      </c>
      <c r="R756" t="b">
        <f t="shared" si="22"/>
        <v>1</v>
      </c>
      <c r="S756" s="18">
        <f t="shared" si="23"/>
        <v>44593</v>
      </c>
    </row>
    <row r="757" spans="1:19" x14ac:dyDescent="0.25">
      <c r="A757" s="6" t="s">
        <v>1925</v>
      </c>
      <c r="B757" s="7" t="s">
        <v>325</v>
      </c>
      <c r="C757" s="15">
        <v>45030</v>
      </c>
      <c r="D757" s="7" t="s">
        <v>659</v>
      </c>
      <c r="E757" s="7" t="s">
        <v>820</v>
      </c>
      <c r="F757" s="7">
        <v>39.99</v>
      </c>
      <c r="G757" s="7">
        <v>3</v>
      </c>
      <c r="H757" s="7">
        <v>15</v>
      </c>
      <c r="I757" s="7">
        <v>33.99</v>
      </c>
      <c r="J757" s="7">
        <v>101.97</v>
      </c>
      <c r="K757" s="7" t="s">
        <v>675</v>
      </c>
      <c r="L757" s="7" t="s">
        <v>656</v>
      </c>
      <c r="M757" s="8"/>
      <c r="N757">
        <f>VLOOKUP(B757,Customers!A:J,7,0)</f>
        <v>29</v>
      </c>
      <c r="O757" t="str">
        <f>VLOOKUP(B757,Customers!A:J,5,0)</f>
        <v>San Antonio</v>
      </c>
      <c r="P757" t="str">
        <f>VLOOKUP(B757,Customers!A:J,10,0)</f>
        <v>Platinum</v>
      </c>
      <c r="Q757" t="str">
        <f>VLOOKUP(B757,Customers!A:J,8,0)</f>
        <v>Male</v>
      </c>
      <c r="R757" t="b">
        <f t="shared" si="22"/>
        <v>1</v>
      </c>
      <c r="S757" s="18">
        <f t="shared" si="23"/>
        <v>45017</v>
      </c>
    </row>
    <row r="758" spans="1:19" x14ac:dyDescent="0.25">
      <c r="A758" s="3" t="s">
        <v>1927</v>
      </c>
      <c r="B758" s="4" t="s">
        <v>328</v>
      </c>
      <c r="C758" s="14">
        <v>45086</v>
      </c>
      <c r="D758" s="4" t="s">
        <v>672</v>
      </c>
      <c r="E758" s="4" t="s">
        <v>724</v>
      </c>
      <c r="F758" s="4">
        <v>89.99</v>
      </c>
      <c r="G758" s="4">
        <v>2</v>
      </c>
      <c r="H758" s="4">
        <v>0</v>
      </c>
      <c r="I758" s="4">
        <v>89.99</v>
      </c>
      <c r="J758" s="4">
        <v>179.98</v>
      </c>
      <c r="K758" s="4" t="s">
        <v>682</v>
      </c>
      <c r="L758" s="4" t="s">
        <v>656</v>
      </c>
      <c r="M758" s="5">
        <v>5</v>
      </c>
      <c r="N758">
        <f>VLOOKUP(B758,Customers!A:J,7,0)</f>
        <v>45</v>
      </c>
      <c r="O758" t="str">
        <f>VLOOKUP(B758,Customers!A:J,5,0)</f>
        <v>San Jose</v>
      </c>
      <c r="P758" t="str">
        <f>VLOOKUP(B758,Customers!A:J,10,0)</f>
        <v>Platinum</v>
      </c>
      <c r="Q758" t="str">
        <f>VLOOKUP(B758,Customers!A:J,8,0)</f>
        <v>Male</v>
      </c>
      <c r="R758" t="b">
        <f t="shared" si="22"/>
        <v>1</v>
      </c>
      <c r="S758" s="18">
        <f t="shared" si="23"/>
        <v>45078</v>
      </c>
    </row>
    <row r="759" spans="1:19" x14ac:dyDescent="0.25">
      <c r="A759" s="6" t="s">
        <v>1928</v>
      </c>
      <c r="B759" s="7" t="s">
        <v>328</v>
      </c>
      <c r="C759" s="15">
        <v>45518</v>
      </c>
      <c r="D759" s="7" t="s">
        <v>710</v>
      </c>
      <c r="E759" s="7" t="s">
        <v>730</v>
      </c>
      <c r="F759" s="7">
        <v>39.99</v>
      </c>
      <c r="G759" s="7">
        <v>4</v>
      </c>
      <c r="H759" s="7">
        <v>0</v>
      </c>
      <c r="I759" s="7">
        <v>39.99</v>
      </c>
      <c r="J759" s="7">
        <v>159.96</v>
      </c>
      <c r="K759" s="7" t="s">
        <v>682</v>
      </c>
      <c r="L759" s="7" t="s">
        <v>656</v>
      </c>
      <c r="M759" s="8"/>
      <c r="N759">
        <f>VLOOKUP(B759,Customers!A:J,7,0)</f>
        <v>45</v>
      </c>
      <c r="O759" t="str">
        <f>VLOOKUP(B759,Customers!A:J,5,0)</f>
        <v>San Jose</v>
      </c>
      <c r="P759" t="str">
        <f>VLOOKUP(B759,Customers!A:J,10,0)</f>
        <v>Platinum</v>
      </c>
      <c r="Q759" t="str">
        <f>VLOOKUP(B759,Customers!A:J,8,0)</f>
        <v>Male</v>
      </c>
      <c r="R759" t="b">
        <f t="shared" si="22"/>
        <v>1</v>
      </c>
      <c r="S759" s="18">
        <f t="shared" si="23"/>
        <v>45505</v>
      </c>
    </row>
    <row r="760" spans="1:19" x14ac:dyDescent="0.25">
      <c r="A760" s="3" t="s">
        <v>1929</v>
      </c>
      <c r="B760" s="4" t="s">
        <v>328</v>
      </c>
      <c r="C760" s="14">
        <v>45271</v>
      </c>
      <c r="D760" s="4" t="s">
        <v>680</v>
      </c>
      <c r="E760" s="4" t="s">
        <v>688</v>
      </c>
      <c r="F760" s="4">
        <v>29.99</v>
      </c>
      <c r="G760" s="4">
        <v>1</v>
      </c>
      <c r="H760" s="4">
        <v>0</v>
      </c>
      <c r="I760" s="4">
        <v>29.99</v>
      </c>
      <c r="J760" s="4">
        <v>29.99</v>
      </c>
      <c r="K760" s="4" t="s">
        <v>682</v>
      </c>
      <c r="L760" s="4" t="s">
        <v>656</v>
      </c>
      <c r="M760" s="5">
        <v>4</v>
      </c>
      <c r="N760">
        <f>VLOOKUP(B760,Customers!A:J,7,0)</f>
        <v>45</v>
      </c>
      <c r="O760" t="str">
        <f>VLOOKUP(B760,Customers!A:J,5,0)</f>
        <v>San Jose</v>
      </c>
      <c r="P760" t="str">
        <f>VLOOKUP(B760,Customers!A:J,10,0)</f>
        <v>Platinum</v>
      </c>
      <c r="Q760" t="str">
        <f>VLOOKUP(B760,Customers!A:J,8,0)</f>
        <v>Male</v>
      </c>
      <c r="R760" t="b">
        <f t="shared" si="22"/>
        <v>1</v>
      </c>
      <c r="S760" s="18">
        <f t="shared" si="23"/>
        <v>45261</v>
      </c>
    </row>
    <row r="761" spans="1:19" x14ac:dyDescent="0.25">
      <c r="A761" s="6" t="s">
        <v>1930</v>
      </c>
      <c r="B761" s="7" t="s">
        <v>328</v>
      </c>
      <c r="C761" s="15">
        <v>45044</v>
      </c>
      <c r="D761" s="7" t="s">
        <v>667</v>
      </c>
      <c r="E761" s="7" t="s">
        <v>696</v>
      </c>
      <c r="F761" s="7">
        <v>59.99</v>
      </c>
      <c r="G761" s="7">
        <v>3</v>
      </c>
      <c r="H761" s="7">
        <v>0</v>
      </c>
      <c r="I761" s="7">
        <v>59.99</v>
      </c>
      <c r="J761" s="7">
        <v>179.97</v>
      </c>
      <c r="K761" s="7" t="s">
        <v>682</v>
      </c>
      <c r="L761" s="7" t="s">
        <v>656</v>
      </c>
      <c r="M761" s="8">
        <v>4</v>
      </c>
      <c r="N761">
        <f>VLOOKUP(B761,Customers!A:J,7,0)</f>
        <v>45</v>
      </c>
      <c r="O761" t="str">
        <f>VLOOKUP(B761,Customers!A:J,5,0)</f>
        <v>San Jose</v>
      </c>
      <c r="P761" t="str">
        <f>VLOOKUP(B761,Customers!A:J,10,0)</f>
        <v>Platinum</v>
      </c>
      <c r="Q761" t="str">
        <f>VLOOKUP(B761,Customers!A:J,8,0)</f>
        <v>Male</v>
      </c>
      <c r="R761" t="b">
        <f t="shared" si="22"/>
        <v>1</v>
      </c>
      <c r="S761" s="18">
        <f t="shared" si="23"/>
        <v>45017</v>
      </c>
    </row>
    <row r="762" spans="1:19" x14ac:dyDescent="0.25">
      <c r="A762" s="3" t="s">
        <v>1932</v>
      </c>
      <c r="B762" s="4" t="s">
        <v>328</v>
      </c>
      <c r="C762" s="14">
        <v>45598</v>
      </c>
      <c r="D762" s="4" t="s">
        <v>684</v>
      </c>
      <c r="E762" s="4" t="s">
        <v>685</v>
      </c>
      <c r="F762" s="4">
        <v>49.99</v>
      </c>
      <c r="G762" s="4">
        <v>3</v>
      </c>
      <c r="H762" s="4">
        <v>0</v>
      </c>
      <c r="I762" s="4">
        <v>49.99</v>
      </c>
      <c r="J762" s="4">
        <v>149.97</v>
      </c>
      <c r="K762" s="4" t="s">
        <v>675</v>
      </c>
      <c r="L762" s="4" t="s">
        <v>656</v>
      </c>
      <c r="M762" s="5"/>
      <c r="N762">
        <f>VLOOKUP(B762,Customers!A:J,7,0)</f>
        <v>45</v>
      </c>
      <c r="O762" t="str">
        <f>VLOOKUP(B762,Customers!A:J,5,0)</f>
        <v>San Jose</v>
      </c>
      <c r="P762" t="str">
        <f>VLOOKUP(B762,Customers!A:J,10,0)</f>
        <v>Platinum</v>
      </c>
      <c r="Q762" t="str">
        <f>VLOOKUP(B762,Customers!A:J,8,0)</f>
        <v>Male</v>
      </c>
      <c r="R762" t="b">
        <f t="shared" si="22"/>
        <v>1</v>
      </c>
      <c r="S762" s="18">
        <f t="shared" si="23"/>
        <v>45597</v>
      </c>
    </row>
    <row r="763" spans="1:19" x14ac:dyDescent="0.25">
      <c r="A763" s="6" t="s">
        <v>1933</v>
      </c>
      <c r="B763" s="7" t="s">
        <v>328</v>
      </c>
      <c r="C763" s="15">
        <v>45038</v>
      </c>
      <c r="D763" s="7" t="s">
        <v>667</v>
      </c>
      <c r="E763" s="7" t="s">
        <v>699</v>
      </c>
      <c r="F763" s="7">
        <v>89.99</v>
      </c>
      <c r="G763" s="7">
        <v>3</v>
      </c>
      <c r="H763" s="7">
        <v>0</v>
      </c>
      <c r="I763" s="7">
        <v>89.99</v>
      </c>
      <c r="J763" s="7">
        <v>269.97000000000003</v>
      </c>
      <c r="K763" s="7" t="s">
        <v>682</v>
      </c>
      <c r="L763" s="7" t="s">
        <v>656</v>
      </c>
      <c r="M763" s="8">
        <v>5</v>
      </c>
      <c r="N763">
        <f>VLOOKUP(B763,Customers!A:J,7,0)</f>
        <v>45</v>
      </c>
      <c r="O763" t="str">
        <f>VLOOKUP(B763,Customers!A:J,5,0)</f>
        <v>San Jose</v>
      </c>
      <c r="P763" t="str">
        <f>VLOOKUP(B763,Customers!A:J,10,0)</f>
        <v>Platinum</v>
      </c>
      <c r="Q763" t="str">
        <f>VLOOKUP(B763,Customers!A:J,8,0)</f>
        <v>Male</v>
      </c>
      <c r="R763" t="b">
        <f t="shared" si="22"/>
        <v>1</v>
      </c>
      <c r="S763" s="18">
        <f t="shared" si="23"/>
        <v>45017</v>
      </c>
    </row>
    <row r="764" spans="1:19" x14ac:dyDescent="0.25">
      <c r="A764" s="3" t="s">
        <v>1935</v>
      </c>
      <c r="B764" s="4" t="s">
        <v>328</v>
      </c>
      <c r="C764" s="14">
        <v>44729</v>
      </c>
      <c r="D764" s="4" t="s">
        <v>667</v>
      </c>
      <c r="E764" s="4" t="s">
        <v>714</v>
      </c>
      <c r="F764" s="4">
        <v>44.99</v>
      </c>
      <c r="G764" s="4">
        <v>3</v>
      </c>
      <c r="H764" s="4">
        <v>0</v>
      </c>
      <c r="I764" s="4">
        <v>44.99</v>
      </c>
      <c r="J764" s="4">
        <v>134.97</v>
      </c>
      <c r="K764" s="4" t="s">
        <v>655</v>
      </c>
      <c r="L764" s="4" t="s">
        <v>656</v>
      </c>
      <c r="M764" s="5">
        <v>4</v>
      </c>
      <c r="N764">
        <f>VLOOKUP(B764,Customers!A:J,7,0)</f>
        <v>45</v>
      </c>
      <c r="O764" t="str">
        <f>VLOOKUP(B764,Customers!A:J,5,0)</f>
        <v>San Jose</v>
      </c>
      <c r="P764" t="str">
        <f>VLOOKUP(B764,Customers!A:J,10,0)</f>
        <v>Platinum</v>
      </c>
      <c r="Q764" t="str">
        <f>VLOOKUP(B764,Customers!A:J,8,0)</f>
        <v>Male</v>
      </c>
      <c r="R764" t="b">
        <f t="shared" si="22"/>
        <v>1</v>
      </c>
      <c r="S764" s="18">
        <f t="shared" si="23"/>
        <v>44713</v>
      </c>
    </row>
    <row r="765" spans="1:19" x14ac:dyDescent="0.25">
      <c r="A765" s="6" t="s">
        <v>1937</v>
      </c>
      <c r="B765" s="7" t="s">
        <v>328</v>
      </c>
      <c r="C765" s="15">
        <v>45513</v>
      </c>
      <c r="D765" s="7" t="s">
        <v>680</v>
      </c>
      <c r="E765" s="7" t="s">
        <v>688</v>
      </c>
      <c r="F765" s="7">
        <v>29.99</v>
      </c>
      <c r="G765" s="7">
        <v>3</v>
      </c>
      <c r="H765" s="7">
        <v>15</v>
      </c>
      <c r="I765" s="7">
        <v>25.49</v>
      </c>
      <c r="J765" s="7">
        <v>76.47</v>
      </c>
      <c r="K765" s="7" t="s">
        <v>675</v>
      </c>
      <c r="L765" s="7" t="s">
        <v>656</v>
      </c>
      <c r="M765" s="8">
        <v>5</v>
      </c>
      <c r="N765">
        <f>VLOOKUP(B765,Customers!A:J,7,0)</f>
        <v>45</v>
      </c>
      <c r="O765" t="str">
        <f>VLOOKUP(B765,Customers!A:J,5,0)</f>
        <v>San Jose</v>
      </c>
      <c r="P765" t="str">
        <f>VLOOKUP(B765,Customers!A:J,10,0)</f>
        <v>Platinum</v>
      </c>
      <c r="Q765" t="str">
        <f>VLOOKUP(B765,Customers!A:J,8,0)</f>
        <v>Male</v>
      </c>
      <c r="R765" t="b">
        <f t="shared" si="22"/>
        <v>1</v>
      </c>
      <c r="S765" s="18">
        <f t="shared" si="23"/>
        <v>45505</v>
      </c>
    </row>
    <row r="766" spans="1:19" x14ac:dyDescent="0.25">
      <c r="A766" s="3" t="s">
        <v>1939</v>
      </c>
      <c r="B766" s="4" t="s">
        <v>331</v>
      </c>
      <c r="C766" s="14">
        <v>45394</v>
      </c>
      <c r="D766" s="4" t="s">
        <v>653</v>
      </c>
      <c r="E766" s="4" t="s">
        <v>727</v>
      </c>
      <c r="F766" s="4">
        <v>14.99</v>
      </c>
      <c r="G766" s="4">
        <v>3</v>
      </c>
      <c r="H766" s="4">
        <v>10</v>
      </c>
      <c r="I766" s="4">
        <v>13.49</v>
      </c>
      <c r="J766" s="4">
        <v>40.47</v>
      </c>
      <c r="K766" s="4" t="s">
        <v>655</v>
      </c>
      <c r="L766" s="4" t="s">
        <v>656</v>
      </c>
      <c r="M766" s="5">
        <v>4</v>
      </c>
      <c r="N766">
        <f>VLOOKUP(B766,Customers!A:J,7,0)</f>
        <v>57</v>
      </c>
      <c r="O766" t="str">
        <f>VLOOKUP(B766,Customers!A:J,5,0)</f>
        <v>Los Angeles</v>
      </c>
      <c r="P766" t="str">
        <f>VLOOKUP(B766,Customers!A:J,10,0)</f>
        <v>Free</v>
      </c>
      <c r="Q766" t="str">
        <f>VLOOKUP(B766,Customers!A:J,8,0)</f>
        <v>Male</v>
      </c>
      <c r="R766" t="b">
        <f t="shared" si="22"/>
        <v>1</v>
      </c>
      <c r="S766" s="18">
        <f t="shared" si="23"/>
        <v>45383</v>
      </c>
    </row>
    <row r="767" spans="1:19" x14ac:dyDescent="0.25">
      <c r="A767" s="6" t="s">
        <v>1940</v>
      </c>
      <c r="B767" s="7" t="s">
        <v>334</v>
      </c>
      <c r="C767" s="15">
        <v>45583</v>
      </c>
      <c r="D767" s="7" t="s">
        <v>659</v>
      </c>
      <c r="E767" s="7" t="s">
        <v>664</v>
      </c>
      <c r="F767" s="7">
        <v>24.99</v>
      </c>
      <c r="G767" s="7">
        <v>1</v>
      </c>
      <c r="H767" s="7">
        <v>15</v>
      </c>
      <c r="I767" s="7">
        <v>21.24</v>
      </c>
      <c r="J767" s="7">
        <v>21.24</v>
      </c>
      <c r="K767" s="7" t="s">
        <v>655</v>
      </c>
      <c r="L767" s="7" t="s">
        <v>656</v>
      </c>
      <c r="M767" s="8"/>
      <c r="N767">
        <f>VLOOKUP(B767,Customers!A:J,7,0)</f>
        <v>42</v>
      </c>
      <c r="O767" t="str">
        <f>VLOOKUP(B767,Customers!A:J,5,0)</f>
        <v>Philadelphia</v>
      </c>
      <c r="P767" t="str">
        <f>VLOOKUP(B767,Customers!A:J,10,0)</f>
        <v>Platinum</v>
      </c>
      <c r="Q767" t="str">
        <f>VLOOKUP(B767,Customers!A:J,8,0)</f>
        <v>Female</v>
      </c>
      <c r="R767" t="b">
        <f t="shared" si="22"/>
        <v>1</v>
      </c>
      <c r="S767" s="18">
        <f t="shared" si="23"/>
        <v>45566</v>
      </c>
    </row>
    <row r="768" spans="1:19" x14ac:dyDescent="0.25">
      <c r="A768" s="3" t="s">
        <v>1942</v>
      </c>
      <c r="B768" s="4" t="s">
        <v>334</v>
      </c>
      <c r="C768" s="14">
        <v>44683</v>
      </c>
      <c r="D768" s="4" t="s">
        <v>684</v>
      </c>
      <c r="E768" s="4" t="s">
        <v>815</v>
      </c>
      <c r="F768" s="4">
        <v>34.99</v>
      </c>
      <c r="G768" s="4">
        <v>2</v>
      </c>
      <c r="H768" s="4">
        <v>20</v>
      </c>
      <c r="I768" s="4">
        <v>27.99</v>
      </c>
      <c r="J768" s="4">
        <v>55.98</v>
      </c>
      <c r="K768" s="4" t="s">
        <v>661</v>
      </c>
      <c r="L768" s="4" t="s">
        <v>656</v>
      </c>
      <c r="M768" s="5"/>
      <c r="N768">
        <f>VLOOKUP(B768,Customers!A:J,7,0)</f>
        <v>42</v>
      </c>
      <c r="O768" t="str">
        <f>VLOOKUP(B768,Customers!A:J,5,0)</f>
        <v>Philadelphia</v>
      </c>
      <c r="P768" t="str">
        <f>VLOOKUP(B768,Customers!A:J,10,0)</f>
        <v>Platinum</v>
      </c>
      <c r="Q768" t="str">
        <f>VLOOKUP(B768,Customers!A:J,8,0)</f>
        <v>Female</v>
      </c>
      <c r="R768" t="b">
        <f t="shared" si="22"/>
        <v>1</v>
      </c>
      <c r="S768" s="18">
        <f t="shared" si="23"/>
        <v>44682</v>
      </c>
    </row>
    <row r="769" spans="1:19" x14ac:dyDescent="0.25">
      <c r="A769" s="6" t="s">
        <v>1944</v>
      </c>
      <c r="B769" s="7" t="s">
        <v>334</v>
      </c>
      <c r="C769" s="15">
        <v>44977</v>
      </c>
      <c r="D769" s="7" t="s">
        <v>672</v>
      </c>
      <c r="E769" s="7" t="s">
        <v>673</v>
      </c>
      <c r="F769" s="7">
        <v>24.99</v>
      </c>
      <c r="G769" s="7">
        <v>1</v>
      </c>
      <c r="H769" s="7">
        <v>10</v>
      </c>
      <c r="I769" s="7">
        <v>22.49</v>
      </c>
      <c r="J769" s="7">
        <v>22.49</v>
      </c>
      <c r="K769" s="7" t="s">
        <v>661</v>
      </c>
      <c r="L769" s="7" t="s">
        <v>656</v>
      </c>
      <c r="M769" s="8">
        <v>3</v>
      </c>
      <c r="N769">
        <f>VLOOKUP(B769,Customers!A:J,7,0)</f>
        <v>42</v>
      </c>
      <c r="O769" t="str">
        <f>VLOOKUP(B769,Customers!A:J,5,0)</f>
        <v>Philadelphia</v>
      </c>
      <c r="P769" t="str">
        <f>VLOOKUP(B769,Customers!A:J,10,0)</f>
        <v>Platinum</v>
      </c>
      <c r="Q769" t="str">
        <f>VLOOKUP(B769,Customers!A:J,8,0)</f>
        <v>Female</v>
      </c>
      <c r="R769" t="b">
        <f t="shared" si="22"/>
        <v>1</v>
      </c>
      <c r="S769" s="18">
        <f t="shared" si="23"/>
        <v>44958</v>
      </c>
    </row>
    <row r="770" spans="1:19" x14ac:dyDescent="0.25">
      <c r="A770" s="3" t="s">
        <v>1945</v>
      </c>
      <c r="B770" s="4" t="s">
        <v>334</v>
      </c>
      <c r="C770" s="14">
        <v>45115</v>
      </c>
      <c r="D770" s="4" t="s">
        <v>680</v>
      </c>
      <c r="E770" s="4" t="s">
        <v>688</v>
      </c>
      <c r="F770" s="4">
        <v>29.99</v>
      </c>
      <c r="G770" s="4">
        <v>2</v>
      </c>
      <c r="H770" s="4">
        <v>20</v>
      </c>
      <c r="I770" s="4">
        <v>23.99</v>
      </c>
      <c r="J770" s="4">
        <v>47.98</v>
      </c>
      <c r="K770" s="4" t="s">
        <v>682</v>
      </c>
      <c r="L770" s="4" t="s">
        <v>656</v>
      </c>
      <c r="M770" s="5"/>
      <c r="N770">
        <f>VLOOKUP(B770,Customers!A:J,7,0)</f>
        <v>42</v>
      </c>
      <c r="O770" t="str">
        <f>VLOOKUP(B770,Customers!A:J,5,0)</f>
        <v>Philadelphia</v>
      </c>
      <c r="P770" t="str">
        <f>VLOOKUP(B770,Customers!A:J,10,0)</f>
        <v>Platinum</v>
      </c>
      <c r="Q770" t="str">
        <f>VLOOKUP(B770,Customers!A:J,8,0)</f>
        <v>Female</v>
      </c>
      <c r="R770" t="b">
        <f t="shared" si="22"/>
        <v>1</v>
      </c>
      <c r="S770" s="18">
        <f t="shared" si="23"/>
        <v>45108</v>
      </c>
    </row>
    <row r="771" spans="1:19" x14ac:dyDescent="0.25">
      <c r="A771" s="6" t="s">
        <v>1946</v>
      </c>
      <c r="B771" s="7" t="s">
        <v>334</v>
      </c>
      <c r="C771" s="15">
        <v>45474</v>
      </c>
      <c r="D771" s="7" t="s">
        <v>659</v>
      </c>
      <c r="E771" s="7" t="s">
        <v>820</v>
      </c>
      <c r="F771" s="7">
        <v>39.99</v>
      </c>
      <c r="G771" s="7">
        <v>2</v>
      </c>
      <c r="H771" s="7">
        <v>15</v>
      </c>
      <c r="I771" s="7">
        <v>33.99</v>
      </c>
      <c r="J771" s="7">
        <v>67.98</v>
      </c>
      <c r="K771" s="7" t="s">
        <v>661</v>
      </c>
      <c r="L771" s="7" t="s">
        <v>656</v>
      </c>
      <c r="M771" s="8"/>
      <c r="N771">
        <f>VLOOKUP(B771,Customers!A:J,7,0)</f>
        <v>42</v>
      </c>
      <c r="O771" t="str">
        <f>VLOOKUP(B771,Customers!A:J,5,0)</f>
        <v>Philadelphia</v>
      </c>
      <c r="P771" t="str">
        <f>VLOOKUP(B771,Customers!A:J,10,0)</f>
        <v>Platinum</v>
      </c>
      <c r="Q771" t="str">
        <f>VLOOKUP(B771,Customers!A:J,8,0)</f>
        <v>Female</v>
      </c>
      <c r="R771" t="b">
        <f t="shared" ref="R771:R834" si="24">ISNUMBER(C771)</f>
        <v>1</v>
      </c>
      <c r="S771" s="18">
        <f t="shared" ref="S771:S834" si="25">DATE(YEAR(C771),MONTH(C771),1)</f>
        <v>45474</v>
      </c>
    </row>
    <row r="772" spans="1:19" x14ac:dyDescent="0.25">
      <c r="A772" s="3" t="s">
        <v>1947</v>
      </c>
      <c r="B772" s="4" t="s">
        <v>334</v>
      </c>
      <c r="C772" s="14">
        <v>45143</v>
      </c>
      <c r="D772" s="4" t="s">
        <v>667</v>
      </c>
      <c r="E772" s="4" t="s">
        <v>696</v>
      </c>
      <c r="F772" s="4">
        <v>59.99</v>
      </c>
      <c r="G772" s="4">
        <v>1</v>
      </c>
      <c r="H772" s="4">
        <v>5</v>
      </c>
      <c r="I772" s="4">
        <v>56.99</v>
      </c>
      <c r="J772" s="4">
        <v>56.99</v>
      </c>
      <c r="K772" s="4" t="s">
        <v>661</v>
      </c>
      <c r="L772" s="4" t="s">
        <v>656</v>
      </c>
      <c r="M772" s="5">
        <v>4</v>
      </c>
      <c r="N772">
        <f>VLOOKUP(B772,Customers!A:J,7,0)</f>
        <v>42</v>
      </c>
      <c r="O772" t="str">
        <f>VLOOKUP(B772,Customers!A:J,5,0)</f>
        <v>Philadelphia</v>
      </c>
      <c r="P772" t="str">
        <f>VLOOKUP(B772,Customers!A:J,10,0)</f>
        <v>Platinum</v>
      </c>
      <c r="Q772" t="str">
        <f>VLOOKUP(B772,Customers!A:J,8,0)</f>
        <v>Female</v>
      </c>
      <c r="R772" t="b">
        <f t="shared" si="24"/>
        <v>1</v>
      </c>
      <c r="S772" s="18">
        <f t="shared" si="25"/>
        <v>45139</v>
      </c>
    </row>
    <row r="773" spans="1:19" x14ac:dyDescent="0.25">
      <c r="A773" s="6" t="s">
        <v>1949</v>
      </c>
      <c r="B773" s="7" t="s">
        <v>334</v>
      </c>
      <c r="C773" s="15">
        <v>44660</v>
      </c>
      <c r="D773" s="7" t="s">
        <v>659</v>
      </c>
      <c r="E773" s="7" t="s">
        <v>664</v>
      </c>
      <c r="F773" s="7">
        <v>24.99</v>
      </c>
      <c r="G773" s="7">
        <v>3</v>
      </c>
      <c r="H773" s="7">
        <v>15</v>
      </c>
      <c r="I773" s="7">
        <v>21.24</v>
      </c>
      <c r="J773" s="7">
        <v>63.72</v>
      </c>
      <c r="K773" s="7" t="s">
        <v>661</v>
      </c>
      <c r="L773" s="7" t="s">
        <v>656</v>
      </c>
      <c r="M773" s="8">
        <v>4</v>
      </c>
      <c r="N773">
        <f>VLOOKUP(B773,Customers!A:J,7,0)</f>
        <v>42</v>
      </c>
      <c r="O773" t="str">
        <f>VLOOKUP(B773,Customers!A:J,5,0)</f>
        <v>Philadelphia</v>
      </c>
      <c r="P773" t="str">
        <f>VLOOKUP(B773,Customers!A:J,10,0)</f>
        <v>Platinum</v>
      </c>
      <c r="Q773" t="str">
        <f>VLOOKUP(B773,Customers!A:J,8,0)</f>
        <v>Female</v>
      </c>
      <c r="R773" t="b">
        <f t="shared" si="24"/>
        <v>1</v>
      </c>
      <c r="S773" s="18">
        <f t="shared" si="25"/>
        <v>44652</v>
      </c>
    </row>
    <row r="774" spans="1:19" x14ac:dyDescent="0.25">
      <c r="A774" s="3" t="s">
        <v>1951</v>
      </c>
      <c r="B774" s="4" t="s">
        <v>337</v>
      </c>
      <c r="C774" s="14">
        <v>44736</v>
      </c>
      <c r="D774" s="4" t="s">
        <v>684</v>
      </c>
      <c r="E774" s="4" t="s">
        <v>702</v>
      </c>
      <c r="F774" s="4">
        <v>199.99</v>
      </c>
      <c r="G774" s="4">
        <v>2</v>
      </c>
      <c r="H774" s="4">
        <v>15</v>
      </c>
      <c r="I774" s="4">
        <v>169.99</v>
      </c>
      <c r="J774" s="4">
        <v>339.98</v>
      </c>
      <c r="K774" s="4" t="s">
        <v>669</v>
      </c>
      <c r="L774" s="4" t="s">
        <v>656</v>
      </c>
      <c r="M774" s="5">
        <v>5</v>
      </c>
      <c r="N774">
        <f>VLOOKUP(B774,Customers!A:J,7,0)</f>
        <v>34</v>
      </c>
      <c r="O774" t="str">
        <f>VLOOKUP(B774,Customers!A:J,5,0)</f>
        <v>Chicago</v>
      </c>
      <c r="P774" t="str">
        <f>VLOOKUP(B774,Customers!A:J,10,0)</f>
        <v>Silver</v>
      </c>
      <c r="Q774" t="str">
        <f>VLOOKUP(B774,Customers!A:J,8,0)</f>
        <v>Female</v>
      </c>
      <c r="R774" t="b">
        <f t="shared" si="24"/>
        <v>1</v>
      </c>
      <c r="S774" s="18">
        <f t="shared" si="25"/>
        <v>44713</v>
      </c>
    </row>
    <row r="775" spans="1:19" x14ac:dyDescent="0.25">
      <c r="A775" s="6" t="s">
        <v>1952</v>
      </c>
      <c r="B775" s="7" t="s">
        <v>337</v>
      </c>
      <c r="C775" s="15">
        <v>44579</v>
      </c>
      <c r="D775" s="7" t="s">
        <v>659</v>
      </c>
      <c r="E775" s="7" t="s">
        <v>820</v>
      </c>
      <c r="F775" s="7">
        <v>39.99</v>
      </c>
      <c r="G775" s="7">
        <v>3</v>
      </c>
      <c r="H775" s="7">
        <v>0</v>
      </c>
      <c r="I775" s="7">
        <v>39.99</v>
      </c>
      <c r="J775" s="7">
        <v>119.97</v>
      </c>
      <c r="K775" s="7" t="s">
        <v>661</v>
      </c>
      <c r="L775" s="7" t="s">
        <v>788</v>
      </c>
      <c r="M775" s="8">
        <v>5</v>
      </c>
      <c r="N775">
        <f>VLOOKUP(B775,Customers!A:J,7,0)</f>
        <v>34</v>
      </c>
      <c r="O775" t="str">
        <f>VLOOKUP(B775,Customers!A:J,5,0)</f>
        <v>Chicago</v>
      </c>
      <c r="P775" t="str">
        <f>VLOOKUP(B775,Customers!A:J,10,0)</f>
        <v>Silver</v>
      </c>
      <c r="Q775" t="str">
        <f>VLOOKUP(B775,Customers!A:J,8,0)</f>
        <v>Female</v>
      </c>
      <c r="R775" t="b">
        <f t="shared" si="24"/>
        <v>1</v>
      </c>
      <c r="S775" s="18">
        <f t="shared" si="25"/>
        <v>44562</v>
      </c>
    </row>
    <row r="776" spans="1:19" x14ac:dyDescent="0.25">
      <c r="A776" s="3" t="s">
        <v>1953</v>
      </c>
      <c r="B776" s="4" t="s">
        <v>337</v>
      </c>
      <c r="C776" s="14">
        <v>44568</v>
      </c>
      <c r="D776" s="4" t="s">
        <v>659</v>
      </c>
      <c r="E776" s="4" t="s">
        <v>762</v>
      </c>
      <c r="F776" s="4">
        <v>49.99</v>
      </c>
      <c r="G776" s="4">
        <v>4</v>
      </c>
      <c r="H776" s="4">
        <v>0</v>
      </c>
      <c r="I776" s="4">
        <v>49.99</v>
      </c>
      <c r="J776" s="4">
        <v>199.96</v>
      </c>
      <c r="K776" s="4" t="s">
        <v>661</v>
      </c>
      <c r="L776" s="4" t="s">
        <v>656</v>
      </c>
      <c r="M776" s="5">
        <v>5</v>
      </c>
      <c r="N776">
        <f>VLOOKUP(B776,Customers!A:J,7,0)</f>
        <v>34</v>
      </c>
      <c r="O776" t="str">
        <f>VLOOKUP(B776,Customers!A:J,5,0)</f>
        <v>Chicago</v>
      </c>
      <c r="P776" t="str">
        <f>VLOOKUP(B776,Customers!A:J,10,0)</f>
        <v>Silver</v>
      </c>
      <c r="Q776" t="str">
        <f>VLOOKUP(B776,Customers!A:J,8,0)</f>
        <v>Female</v>
      </c>
      <c r="R776" t="b">
        <f t="shared" si="24"/>
        <v>1</v>
      </c>
      <c r="S776" s="18">
        <f t="shared" si="25"/>
        <v>44562</v>
      </c>
    </row>
    <row r="777" spans="1:19" x14ac:dyDescent="0.25">
      <c r="A777" s="6" t="s">
        <v>1955</v>
      </c>
      <c r="B777" s="7" t="s">
        <v>337</v>
      </c>
      <c r="C777" s="15">
        <v>44601</v>
      </c>
      <c r="D777" s="7" t="s">
        <v>672</v>
      </c>
      <c r="E777" s="7" t="s">
        <v>724</v>
      </c>
      <c r="F777" s="7">
        <v>89.99</v>
      </c>
      <c r="G777" s="7">
        <v>2</v>
      </c>
      <c r="H777" s="7">
        <v>5</v>
      </c>
      <c r="I777" s="7">
        <v>85.49</v>
      </c>
      <c r="J777" s="7">
        <v>170.98</v>
      </c>
      <c r="K777" s="7" t="s">
        <v>661</v>
      </c>
      <c r="L777" s="7" t="s">
        <v>656</v>
      </c>
      <c r="M777" s="8"/>
      <c r="N777">
        <f>VLOOKUP(B777,Customers!A:J,7,0)</f>
        <v>34</v>
      </c>
      <c r="O777" t="str">
        <f>VLOOKUP(B777,Customers!A:J,5,0)</f>
        <v>Chicago</v>
      </c>
      <c r="P777" t="str">
        <f>VLOOKUP(B777,Customers!A:J,10,0)</f>
        <v>Silver</v>
      </c>
      <c r="Q777" t="str">
        <f>VLOOKUP(B777,Customers!A:J,8,0)</f>
        <v>Female</v>
      </c>
      <c r="R777" t="b">
        <f t="shared" si="24"/>
        <v>1</v>
      </c>
      <c r="S777" s="18">
        <f t="shared" si="25"/>
        <v>44593</v>
      </c>
    </row>
    <row r="778" spans="1:19" x14ac:dyDescent="0.25">
      <c r="A778" s="3" t="s">
        <v>1957</v>
      </c>
      <c r="B778" s="4" t="s">
        <v>337</v>
      </c>
      <c r="C778" s="14">
        <v>44666</v>
      </c>
      <c r="D778" s="4" t="s">
        <v>680</v>
      </c>
      <c r="E778" s="4" t="s">
        <v>688</v>
      </c>
      <c r="F778" s="4">
        <v>29.99</v>
      </c>
      <c r="G778" s="4">
        <v>1</v>
      </c>
      <c r="H778" s="4">
        <v>0</v>
      </c>
      <c r="I778" s="4">
        <v>29.99</v>
      </c>
      <c r="J778" s="4">
        <v>29.99</v>
      </c>
      <c r="K778" s="4" t="s">
        <v>675</v>
      </c>
      <c r="L778" s="4" t="s">
        <v>656</v>
      </c>
      <c r="M778" s="5"/>
      <c r="N778">
        <f>VLOOKUP(B778,Customers!A:J,7,0)</f>
        <v>34</v>
      </c>
      <c r="O778" t="str">
        <f>VLOOKUP(B778,Customers!A:J,5,0)</f>
        <v>Chicago</v>
      </c>
      <c r="P778" t="str">
        <f>VLOOKUP(B778,Customers!A:J,10,0)</f>
        <v>Silver</v>
      </c>
      <c r="Q778" t="str">
        <f>VLOOKUP(B778,Customers!A:J,8,0)</f>
        <v>Female</v>
      </c>
      <c r="R778" t="b">
        <f t="shared" si="24"/>
        <v>1</v>
      </c>
      <c r="S778" s="18">
        <f t="shared" si="25"/>
        <v>44652</v>
      </c>
    </row>
    <row r="779" spans="1:19" x14ac:dyDescent="0.25">
      <c r="A779" s="6" t="s">
        <v>1958</v>
      </c>
      <c r="B779" s="7" t="s">
        <v>337</v>
      </c>
      <c r="C779" s="15">
        <v>44728</v>
      </c>
      <c r="D779" s="7" t="s">
        <v>667</v>
      </c>
      <c r="E779" s="7" t="s">
        <v>714</v>
      </c>
      <c r="F779" s="7">
        <v>44.99</v>
      </c>
      <c r="G779" s="7">
        <v>2</v>
      </c>
      <c r="H779" s="7">
        <v>20</v>
      </c>
      <c r="I779" s="7">
        <v>35.99</v>
      </c>
      <c r="J779" s="7">
        <v>71.98</v>
      </c>
      <c r="K779" s="7" t="s">
        <v>661</v>
      </c>
      <c r="L779" s="7" t="s">
        <v>656</v>
      </c>
      <c r="M779" s="8"/>
      <c r="N779">
        <f>VLOOKUP(B779,Customers!A:J,7,0)</f>
        <v>34</v>
      </c>
      <c r="O779" t="str">
        <f>VLOOKUP(B779,Customers!A:J,5,0)</f>
        <v>Chicago</v>
      </c>
      <c r="P779" t="str">
        <f>VLOOKUP(B779,Customers!A:J,10,0)</f>
        <v>Silver</v>
      </c>
      <c r="Q779" t="str">
        <f>VLOOKUP(B779,Customers!A:J,8,0)</f>
        <v>Female</v>
      </c>
      <c r="R779" t="b">
        <f t="shared" si="24"/>
        <v>1</v>
      </c>
      <c r="S779" s="18">
        <f t="shared" si="25"/>
        <v>44713</v>
      </c>
    </row>
    <row r="780" spans="1:19" x14ac:dyDescent="0.25">
      <c r="A780" s="3" t="s">
        <v>1960</v>
      </c>
      <c r="B780" s="4" t="s">
        <v>337</v>
      </c>
      <c r="C780" s="14">
        <v>44616</v>
      </c>
      <c r="D780" s="4" t="s">
        <v>710</v>
      </c>
      <c r="E780" s="4" t="s">
        <v>711</v>
      </c>
      <c r="F780" s="4">
        <v>14.99</v>
      </c>
      <c r="G780" s="4">
        <v>4</v>
      </c>
      <c r="H780" s="4">
        <v>0</v>
      </c>
      <c r="I780" s="4">
        <v>14.99</v>
      </c>
      <c r="J780" s="4">
        <v>59.96</v>
      </c>
      <c r="K780" s="4" t="s">
        <v>682</v>
      </c>
      <c r="L780" s="4" t="s">
        <v>785</v>
      </c>
      <c r="M780" s="5">
        <v>4</v>
      </c>
      <c r="N780">
        <f>VLOOKUP(B780,Customers!A:J,7,0)</f>
        <v>34</v>
      </c>
      <c r="O780" t="str">
        <f>VLOOKUP(B780,Customers!A:J,5,0)</f>
        <v>Chicago</v>
      </c>
      <c r="P780" t="str">
        <f>VLOOKUP(B780,Customers!A:J,10,0)</f>
        <v>Silver</v>
      </c>
      <c r="Q780" t="str">
        <f>VLOOKUP(B780,Customers!A:J,8,0)</f>
        <v>Female</v>
      </c>
      <c r="R780" t="b">
        <f t="shared" si="24"/>
        <v>1</v>
      </c>
      <c r="S780" s="18">
        <f t="shared" si="25"/>
        <v>44593</v>
      </c>
    </row>
    <row r="781" spans="1:19" x14ac:dyDescent="0.25">
      <c r="A781" s="6" t="s">
        <v>1962</v>
      </c>
      <c r="B781" s="7" t="s">
        <v>337</v>
      </c>
      <c r="C781" s="15">
        <v>44585</v>
      </c>
      <c r="D781" s="7" t="s">
        <v>667</v>
      </c>
      <c r="E781" s="7" t="s">
        <v>668</v>
      </c>
      <c r="F781" s="7">
        <v>64.989999999999995</v>
      </c>
      <c r="G781" s="7">
        <v>3</v>
      </c>
      <c r="H781" s="7">
        <v>5</v>
      </c>
      <c r="I781" s="7">
        <v>61.74</v>
      </c>
      <c r="J781" s="7">
        <v>185.22</v>
      </c>
      <c r="K781" s="7" t="s">
        <v>675</v>
      </c>
      <c r="L781" s="7" t="s">
        <v>656</v>
      </c>
      <c r="M781" s="8">
        <v>4</v>
      </c>
      <c r="N781">
        <f>VLOOKUP(B781,Customers!A:J,7,0)</f>
        <v>34</v>
      </c>
      <c r="O781" t="str">
        <f>VLOOKUP(B781,Customers!A:J,5,0)</f>
        <v>Chicago</v>
      </c>
      <c r="P781" t="str">
        <f>VLOOKUP(B781,Customers!A:J,10,0)</f>
        <v>Silver</v>
      </c>
      <c r="Q781" t="str">
        <f>VLOOKUP(B781,Customers!A:J,8,0)</f>
        <v>Female</v>
      </c>
      <c r="R781" t="b">
        <f t="shared" si="24"/>
        <v>1</v>
      </c>
      <c r="S781" s="18">
        <f t="shared" si="25"/>
        <v>44562</v>
      </c>
    </row>
    <row r="782" spans="1:19" x14ac:dyDescent="0.25">
      <c r="A782" s="3" t="s">
        <v>1963</v>
      </c>
      <c r="B782" s="4" t="s">
        <v>337</v>
      </c>
      <c r="C782" s="14">
        <v>45469</v>
      </c>
      <c r="D782" s="4" t="s">
        <v>672</v>
      </c>
      <c r="E782" s="4" t="s">
        <v>735</v>
      </c>
      <c r="F782" s="4">
        <v>44.99</v>
      </c>
      <c r="G782" s="4">
        <v>3</v>
      </c>
      <c r="H782" s="4">
        <v>10</v>
      </c>
      <c r="I782" s="4">
        <v>40.49</v>
      </c>
      <c r="J782" s="4">
        <v>121.47</v>
      </c>
      <c r="K782" s="4" t="s">
        <v>675</v>
      </c>
      <c r="L782" s="4" t="s">
        <v>656</v>
      </c>
      <c r="M782" s="5">
        <v>4</v>
      </c>
      <c r="N782">
        <f>VLOOKUP(B782,Customers!A:J,7,0)</f>
        <v>34</v>
      </c>
      <c r="O782" t="str">
        <f>VLOOKUP(B782,Customers!A:J,5,0)</f>
        <v>Chicago</v>
      </c>
      <c r="P782" t="str">
        <f>VLOOKUP(B782,Customers!A:J,10,0)</f>
        <v>Silver</v>
      </c>
      <c r="Q782" t="str">
        <f>VLOOKUP(B782,Customers!A:J,8,0)</f>
        <v>Female</v>
      </c>
      <c r="R782" t="b">
        <f t="shared" si="24"/>
        <v>1</v>
      </c>
      <c r="S782" s="18">
        <f t="shared" si="25"/>
        <v>45444</v>
      </c>
    </row>
    <row r="783" spans="1:19" x14ac:dyDescent="0.25">
      <c r="A783" s="6" t="s">
        <v>1965</v>
      </c>
      <c r="B783" s="7" t="s">
        <v>337</v>
      </c>
      <c r="C783" s="15">
        <v>44640</v>
      </c>
      <c r="D783" s="7" t="s">
        <v>667</v>
      </c>
      <c r="E783" s="7" t="s">
        <v>696</v>
      </c>
      <c r="F783" s="7">
        <v>59.99</v>
      </c>
      <c r="G783" s="7">
        <v>1</v>
      </c>
      <c r="H783" s="7">
        <v>10</v>
      </c>
      <c r="I783" s="7">
        <v>53.99</v>
      </c>
      <c r="J783" s="7">
        <v>53.99</v>
      </c>
      <c r="K783" s="7" t="s">
        <v>682</v>
      </c>
      <c r="L783" s="7" t="s">
        <v>656</v>
      </c>
      <c r="M783" s="8">
        <v>4</v>
      </c>
      <c r="N783">
        <f>VLOOKUP(B783,Customers!A:J,7,0)</f>
        <v>34</v>
      </c>
      <c r="O783" t="str">
        <f>VLOOKUP(B783,Customers!A:J,5,0)</f>
        <v>Chicago</v>
      </c>
      <c r="P783" t="str">
        <f>VLOOKUP(B783,Customers!A:J,10,0)</f>
        <v>Silver</v>
      </c>
      <c r="Q783" t="str">
        <f>VLOOKUP(B783,Customers!A:J,8,0)</f>
        <v>Female</v>
      </c>
      <c r="R783" t="b">
        <f t="shared" si="24"/>
        <v>1</v>
      </c>
      <c r="S783" s="18">
        <f t="shared" si="25"/>
        <v>44621</v>
      </c>
    </row>
    <row r="784" spans="1:19" x14ac:dyDescent="0.25">
      <c r="A784" s="3" t="s">
        <v>1967</v>
      </c>
      <c r="B784" s="4" t="s">
        <v>337</v>
      </c>
      <c r="C784" s="14">
        <v>44961</v>
      </c>
      <c r="D784" s="4" t="s">
        <v>680</v>
      </c>
      <c r="E784" s="4" t="s">
        <v>681</v>
      </c>
      <c r="F784" s="4">
        <v>19.989999999999998</v>
      </c>
      <c r="G784" s="4">
        <v>1</v>
      </c>
      <c r="H784" s="4">
        <v>0</v>
      </c>
      <c r="I784" s="4">
        <v>19.989999999999998</v>
      </c>
      <c r="J784" s="4">
        <v>19.989999999999998</v>
      </c>
      <c r="K784" s="4" t="s">
        <v>669</v>
      </c>
      <c r="L784" s="4" t="s">
        <v>739</v>
      </c>
      <c r="M784" s="5">
        <v>4</v>
      </c>
      <c r="N784">
        <f>VLOOKUP(B784,Customers!A:J,7,0)</f>
        <v>34</v>
      </c>
      <c r="O784" t="str">
        <f>VLOOKUP(B784,Customers!A:J,5,0)</f>
        <v>Chicago</v>
      </c>
      <c r="P784" t="str">
        <f>VLOOKUP(B784,Customers!A:J,10,0)</f>
        <v>Silver</v>
      </c>
      <c r="Q784" t="str">
        <f>VLOOKUP(B784,Customers!A:J,8,0)</f>
        <v>Female</v>
      </c>
      <c r="R784" t="b">
        <f t="shared" si="24"/>
        <v>1</v>
      </c>
      <c r="S784" s="18">
        <f t="shared" si="25"/>
        <v>44958</v>
      </c>
    </row>
    <row r="785" spans="1:19" x14ac:dyDescent="0.25">
      <c r="A785" s="6" t="s">
        <v>1968</v>
      </c>
      <c r="B785" s="7" t="s">
        <v>337</v>
      </c>
      <c r="C785" s="15">
        <v>45644</v>
      </c>
      <c r="D785" s="7" t="s">
        <v>667</v>
      </c>
      <c r="E785" s="7" t="s">
        <v>696</v>
      </c>
      <c r="F785" s="7">
        <v>59.99</v>
      </c>
      <c r="G785" s="7">
        <v>3</v>
      </c>
      <c r="H785" s="7">
        <v>0</v>
      </c>
      <c r="I785" s="7">
        <v>59.99</v>
      </c>
      <c r="J785" s="7">
        <v>179.97</v>
      </c>
      <c r="K785" s="7" t="s">
        <v>669</v>
      </c>
      <c r="L785" s="7" t="s">
        <v>656</v>
      </c>
      <c r="M785" s="8"/>
      <c r="N785">
        <f>VLOOKUP(B785,Customers!A:J,7,0)</f>
        <v>34</v>
      </c>
      <c r="O785" t="str">
        <f>VLOOKUP(B785,Customers!A:J,5,0)</f>
        <v>Chicago</v>
      </c>
      <c r="P785" t="str">
        <f>VLOOKUP(B785,Customers!A:J,10,0)</f>
        <v>Silver</v>
      </c>
      <c r="Q785" t="str">
        <f>VLOOKUP(B785,Customers!A:J,8,0)</f>
        <v>Female</v>
      </c>
      <c r="R785" t="b">
        <f t="shared" si="24"/>
        <v>1</v>
      </c>
      <c r="S785" s="18">
        <f t="shared" si="25"/>
        <v>45627</v>
      </c>
    </row>
    <row r="786" spans="1:19" x14ac:dyDescent="0.25">
      <c r="A786" s="3" t="s">
        <v>1969</v>
      </c>
      <c r="B786" s="4" t="s">
        <v>337</v>
      </c>
      <c r="C786" s="14">
        <v>45589</v>
      </c>
      <c r="D786" s="4" t="s">
        <v>672</v>
      </c>
      <c r="E786" s="4" t="s">
        <v>673</v>
      </c>
      <c r="F786" s="4">
        <v>24.99</v>
      </c>
      <c r="G786" s="4">
        <v>2</v>
      </c>
      <c r="H786" s="4">
        <v>5</v>
      </c>
      <c r="I786" s="4">
        <v>23.74</v>
      </c>
      <c r="J786" s="4">
        <v>47.48</v>
      </c>
      <c r="K786" s="4" t="s">
        <v>682</v>
      </c>
      <c r="L786" s="4" t="s">
        <v>656</v>
      </c>
      <c r="M786" s="5">
        <v>4</v>
      </c>
      <c r="N786">
        <f>VLOOKUP(B786,Customers!A:J,7,0)</f>
        <v>34</v>
      </c>
      <c r="O786" t="str">
        <f>VLOOKUP(B786,Customers!A:J,5,0)</f>
        <v>Chicago</v>
      </c>
      <c r="P786" t="str">
        <f>VLOOKUP(B786,Customers!A:J,10,0)</f>
        <v>Silver</v>
      </c>
      <c r="Q786" t="str">
        <f>VLOOKUP(B786,Customers!A:J,8,0)</f>
        <v>Female</v>
      </c>
      <c r="R786" t="b">
        <f t="shared" si="24"/>
        <v>1</v>
      </c>
      <c r="S786" s="18">
        <f t="shared" si="25"/>
        <v>45566</v>
      </c>
    </row>
    <row r="787" spans="1:19" x14ac:dyDescent="0.25">
      <c r="A787" s="6" t="s">
        <v>1971</v>
      </c>
      <c r="B787" s="7" t="s">
        <v>339</v>
      </c>
      <c r="C787" s="15">
        <v>45430</v>
      </c>
      <c r="D787" s="7" t="s">
        <v>667</v>
      </c>
      <c r="E787" s="7" t="s">
        <v>668</v>
      </c>
      <c r="F787" s="7">
        <v>64.989999999999995</v>
      </c>
      <c r="G787" s="7">
        <v>2</v>
      </c>
      <c r="H787" s="7">
        <v>15</v>
      </c>
      <c r="I787" s="7">
        <v>55.24</v>
      </c>
      <c r="J787" s="7">
        <v>110.48</v>
      </c>
      <c r="K787" s="7" t="s">
        <v>661</v>
      </c>
      <c r="L787" s="7" t="s">
        <v>656</v>
      </c>
      <c r="M787" s="8"/>
      <c r="N787">
        <f>VLOOKUP(B787,Customers!A:J,7,0)</f>
        <v>64</v>
      </c>
      <c r="O787" t="str">
        <f>VLOOKUP(B787,Customers!A:J,5,0)</f>
        <v>Chicago</v>
      </c>
      <c r="P787" t="str">
        <f>VLOOKUP(B787,Customers!A:J,10,0)</f>
        <v>Free</v>
      </c>
      <c r="Q787" t="str">
        <f>VLOOKUP(B787,Customers!A:J,8,0)</f>
        <v>Male</v>
      </c>
      <c r="R787" t="b">
        <f t="shared" si="24"/>
        <v>1</v>
      </c>
      <c r="S787" s="18">
        <f t="shared" si="25"/>
        <v>45413</v>
      </c>
    </row>
    <row r="788" spans="1:19" x14ac:dyDescent="0.25">
      <c r="A788" s="3" t="s">
        <v>1972</v>
      </c>
      <c r="B788" s="4" t="s">
        <v>339</v>
      </c>
      <c r="C788" s="14">
        <v>45263</v>
      </c>
      <c r="D788" s="4" t="s">
        <v>684</v>
      </c>
      <c r="E788" s="4" t="s">
        <v>685</v>
      </c>
      <c r="F788" s="4">
        <v>49.99</v>
      </c>
      <c r="G788" s="4">
        <v>1</v>
      </c>
      <c r="H788" s="4">
        <v>0</v>
      </c>
      <c r="I788" s="4">
        <v>49.99</v>
      </c>
      <c r="J788" s="4">
        <v>49.99</v>
      </c>
      <c r="K788" s="4" t="s">
        <v>661</v>
      </c>
      <c r="L788" s="4" t="s">
        <v>656</v>
      </c>
      <c r="M788" s="5"/>
      <c r="N788">
        <f>VLOOKUP(B788,Customers!A:J,7,0)</f>
        <v>64</v>
      </c>
      <c r="O788" t="str">
        <f>VLOOKUP(B788,Customers!A:J,5,0)</f>
        <v>Chicago</v>
      </c>
      <c r="P788" t="str">
        <f>VLOOKUP(B788,Customers!A:J,10,0)</f>
        <v>Free</v>
      </c>
      <c r="Q788" t="str">
        <f>VLOOKUP(B788,Customers!A:J,8,0)</f>
        <v>Male</v>
      </c>
      <c r="R788" t="b">
        <f t="shared" si="24"/>
        <v>1</v>
      </c>
      <c r="S788" s="18">
        <f t="shared" si="25"/>
        <v>45261</v>
      </c>
    </row>
    <row r="789" spans="1:19" x14ac:dyDescent="0.25">
      <c r="A789" s="6" t="s">
        <v>1973</v>
      </c>
      <c r="B789" s="7" t="s">
        <v>339</v>
      </c>
      <c r="C789" s="15">
        <v>45212</v>
      </c>
      <c r="D789" s="7" t="s">
        <v>672</v>
      </c>
      <c r="E789" s="7" t="s">
        <v>724</v>
      </c>
      <c r="F789" s="7">
        <v>89.99</v>
      </c>
      <c r="G789" s="7">
        <v>2</v>
      </c>
      <c r="H789" s="7">
        <v>0</v>
      </c>
      <c r="I789" s="7">
        <v>89.99</v>
      </c>
      <c r="J789" s="7">
        <v>179.98</v>
      </c>
      <c r="K789" s="7" t="s">
        <v>682</v>
      </c>
      <c r="L789" s="7" t="s">
        <v>656</v>
      </c>
      <c r="M789" s="8">
        <v>4</v>
      </c>
      <c r="N789">
        <f>VLOOKUP(B789,Customers!A:J,7,0)</f>
        <v>64</v>
      </c>
      <c r="O789" t="str">
        <f>VLOOKUP(B789,Customers!A:J,5,0)</f>
        <v>Chicago</v>
      </c>
      <c r="P789" t="str">
        <f>VLOOKUP(B789,Customers!A:J,10,0)</f>
        <v>Free</v>
      </c>
      <c r="Q789" t="str">
        <f>VLOOKUP(B789,Customers!A:J,8,0)</f>
        <v>Male</v>
      </c>
      <c r="R789" t="b">
        <f t="shared" si="24"/>
        <v>1</v>
      </c>
      <c r="S789" s="18">
        <f t="shared" si="25"/>
        <v>45200</v>
      </c>
    </row>
    <row r="790" spans="1:19" x14ac:dyDescent="0.25">
      <c r="A790" s="3" t="s">
        <v>1975</v>
      </c>
      <c r="B790" s="4" t="s">
        <v>339</v>
      </c>
      <c r="C790" s="14">
        <v>45164</v>
      </c>
      <c r="D790" s="4" t="s">
        <v>659</v>
      </c>
      <c r="E790" s="4" t="s">
        <v>762</v>
      </c>
      <c r="F790" s="4">
        <v>49.99</v>
      </c>
      <c r="G790" s="4">
        <v>2</v>
      </c>
      <c r="H790" s="4">
        <v>0</v>
      </c>
      <c r="I790" s="4">
        <v>49.99</v>
      </c>
      <c r="J790" s="4">
        <v>99.98</v>
      </c>
      <c r="K790" s="4" t="s">
        <v>682</v>
      </c>
      <c r="L790" s="4" t="s">
        <v>788</v>
      </c>
      <c r="M790" s="5">
        <v>3</v>
      </c>
      <c r="N790">
        <f>VLOOKUP(B790,Customers!A:J,7,0)</f>
        <v>64</v>
      </c>
      <c r="O790" t="str">
        <f>VLOOKUP(B790,Customers!A:J,5,0)</f>
        <v>Chicago</v>
      </c>
      <c r="P790" t="str">
        <f>VLOOKUP(B790,Customers!A:J,10,0)</f>
        <v>Free</v>
      </c>
      <c r="Q790" t="str">
        <f>VLOOKUP(B790,Customers!A:J,8,0)</f>
        <v>Male</v>
      </c>
      <c r="R790" t="b">
        <f t="shared" si="24"/>
        <v>1</v>
      </c>
      <c r="S790" s="18">
        <f t="shared" si="25"/>
        <v>45139</v>
      </c>
    </row>
    <row r="791" spans="1:19" x14ac:dyDescent="0.25">
      <c r="A791" s="6" t="s">
        <v>1976</v>
      </c>
      <c r="B791" s="7" t="s">
        <v>339</v>
      </c>
      <c r="C791" s="15">
        <v>45317</v>
      </c>
      <c r="D791" s="7" t="s">
        <v>653</v>
      </c>
      <c r="E791" s="7" t="s">
        <v>654</v>
      </c>
      <c r="F791" s="7">
        <v>39.99</v>
      </c>
      <c r="G791" s="7">
        <v>1</v>
      </c>
      <c r="H791" s="7">
        <v>10</v>
      </c>
      <c r="I791" s="7">
        <v>35.99</v>
      </c>
      <c r="J791" s="7">
        <v>35.99</v>
      </c>
      <c r="K791" s="7" t="s">
        <v>655</v>
      </c>
      <c r="L791" s="7" t="s">
        <v>785</v>
      </c>
      <c r="M791" s="8"/>
      <c r="N791">
        <f>VLOOKUP(B791,Customers!A:J,7,0)</f>
        <v>64</v>
      </c>
      <c r="O791" t="str">
        <f>VLOOKUP(B791,Customers!A:J,5,0)</f>
        <v>Chicago</v>
      </c>
      <c r="P791" t="str">
        <f>VLOOKUP(B791,Customers!A:J,10,0)</f>
        <v>Free</v>
      </c>
      <c r="Q791" t="str">
        <f>VLOOKUP(B791,Customers!A:J,8,0)</f>
        <v>Male</v>
      </c>
      <c r="R791" t="b">
        <f t="shared" si="24"/>
        <v>1</v>
      </c>
      <c r="S791" s="18">
        <f t="shared" si="25"/>
        <v>45292</v>
      </c>
    </row>
    <row r="792" spans="1:19" x14ac:dyDescent="0.25">
      <c r="A792" s="3" t="s">
        <v>1977</v>
      </c>
      <c r="B792" s="4" t="s">
        <v>339</v>
      </c>
      <c r="C792" s="14">
        <v>45644</v>
      </c>
      <c r="D792" s="4" t="s">
        <v>667</v>
      </c>
      <c r="E792" s="4" t="s">
        <v>668</v>
      </c>
      <c r="F792" s="4">
        <v>64.989999999999995</v>
      </c>
      <c r="G792" s="4">
        <v>4</v>
      </c>
      <c r="H792" s="4">
        <v>10</v>
      </c>
      <c r="I792" s="4">
        <v>58.49</v>
      </c>
      <c r="J792" s="4">
        <v>233.96</v>
      </c>
      <c r="K792" s="4" t="s">
        <v>655</v>
      </c>
      <c r="L792" s="4" t="s">
        <v>656</v>
      </c>
      <c r="M792" s="5"/>
      <c r="N792">
        <f>VLOOKUP(B792,Customers!A:J,7,0)</f>
        <v>64</v>
      </c>
      <c r="O792" t="str">
        <f>VLOOKUP(B792,Customers!A:J,5,0)</f>
        <v>Chicago</v>
      </c>
      <c r="P792" t="str">
        <f>VLOOKUP(B792,Customers!A:J,10,0)</f>
        <v>Free</v>
      </c>
      <c r="Q792" t="str">
        <f>VLOOKUP(B792,Customers!A:J,8,0)</f>
        <v>Male</v>
      </c>
      <c r="R792" t="b">
        <f t="shared" si="24"/>
        <v>1</v>
      </c>
      <c r="S792" s="18">
        <f t="shared" si="25"/>
        <v>45627</v>
      </c>
    </row>
    <row r="793" spans="1:19" x14ac:dyDescent="0.25">
      <c r="A793" s="6" t="s">
        <v>1978</v>
      </c>
      <c r="B793" s="7" t="s">
        <v>339</v>
      </c>
      <c r="C793" s="15">
        <v>44866</v>
      </c>
      <c r="D793" s="7" t="s">
        <v>680</v>
      </c>
      <c r="E793" s="7" t="s">
        <v>688</v>
      </c>
      <c r="F793" s="7">
        <v>29.99</v>
      </c>
      <c r="G793" s="7">
        <v>4</v>
      </c>
      <c r="H793" s="7">
        <v>20</v>
      </c>
      <c r="I793" s="7">
        <v>23.99</v>
      </c>
      <c r="J793" s="7">
        <v>95.96</v>
      </c>
      <c r="K793" s="7" t="s">
        <v>655</v>
      </c>
      <c r="L793" s="7" t="s">
        <v>656</v>
      </c>
      <c r="M793" s="8">
        <v>4</v>
      </c>
      <c r="N793">
        <f>VLOOKUP(B793,Customers!A:J,7,0)</f>
        <v>64</v>
      </c>
      <c r="O793" t="str">
        <f>VLOOKUP(B793,Customers!A:J,5,0)</f>
        <v>Chicago</v>
      </c>
      <c r="P793" t="str">
        <f>VLOOKUP(B793,Customers!A:J,10,0)</f>
        <v>Free</v>
      </c>
      <c r="Q793" t="str">
        <f>VLOOKUP(B793,Customers!A:J,8,0)</f>
        <v>Male</v>
      </c>
      <c r="R793" t="b">
        <f t="shared" si="24"/>
        <v>1</v>
      </c>
      <c r="S793" s="18">
        <f t="shared" si="25"/>
        <v>44866</v>
      </c>
    </row>
    <row r="794" spans="1:19" x14ac:dyDescent="0.25">
      <c r="A794" s="3" t="s">
        <v>1979</v>
      </c>
      <c r="B794" s="4" t="s">
        <v>339</v>
      </c>
      <c r="C794" s="14">
        <v>44770</v>
      </c>
      <c r="D794" s="4" t="s">
        <v>680</v>
      </c>
      <c r="E794" s="4" t="s">
        <v>681</v>
      </c>
      <c r="F794" s="4">
        <v>19.989999999999998</v>
      </c>
      <c r="G794" s="4">
        <v>3</v>
      </c>
      <c r="H794" s="4">
        <v>0</v>
      </c>
      <c r="I794" s="4">
        <v>19.989999999999998</v>
      </c>
      <c r="J794" s="4">
        <v>59.97</v>
      </c>
      <c r="K794" s="4" t="s">
        <v>655</v>
      </c>
      <c r="L794" s="4" t="s">
        <v>656</v>
      </c>
      <c r="M794" s="5">
        <v>4</v>
      </c>
      <c r="N794">
        <f>VLOOKUP(B794,Customers!A:J,7,0)</f>
        <v>64</v>
      </c>
      <c r="O794" t="str">
        <f>VLOOKUP(B794,Customers!A:J,5,0)</f>
        <v>Chicago</v>
      </c>
      <c r="P794" t="str">
        <f>VLOOKUP(B794,Customers!A:J,10,0)</f>
        <v>Free</v>
      </c>
      <c r="Q794" t="str">
        <f>VLOOKUP(B794,Customers!A:J,8,0)</f>
        <v>Male</v>
      </c>
      <c r="R794" t="b">
        <f t="shared" si="24"/>
        <v>1</v>
      </c>
      <c r="S794" s="18">
        <f t="shared" si="25"/>
        <v>44743</v>
      </c>
    </row>
    <row r="795" spans="1:19" x14ac:dyDescent="0.25">
      <c r="A795" s="6" t="s">
        <v>1980</v>
      </c>
      <c r="B795" s="7" t="s">
        <v>339</v>
      </c>
      <c r="C795" s="15">
        <v>44697</v>
      </c>
      <c r="D795" s="7" t="s">
        <v>659</v>
      </c>
      <c r="E795" s="7" t="s">
        <v>762</v>
      </c>
      <c r="F795" s="7">
        <v>49.99</v>
      </c>
      <c r="G795" s="7">
        <v>1</v>
      </c>
      <c r="H795" s="7">
        <v>5</v>
      </c>
      <c r="I795" s="7">
        <v>47.49</v>
      </c>
      <c r="J795" s="7">
        <v>47.49</v>
      </c>
      <c r="K795" s="7" t="s">
        <v>675</v>
      </c>
      <c r="L795" s="7" t="s">
        <v>656</v>
      </c>
      <c r="M795" s="8"/>
      <c r="N795">
        <f>VLOOKUP(B795,Customers!A:J,7,0)</f>
        <v>64</v>
      </c>
      <c r="O795" t="str">
        <f>VLOOKUP(B795,Customers!A:J,5,0)</f>
        <v>Chicago</v>
      </c>
      <c r="P795" t="str">
        <f>VLOOKUP(B795,Customers!A:J,10,0)</f>
        <v>Free</v>
      </c>
      <c r="Q795" t="str">
        <f>VLOOKUP(B795,Customers!A:J,8,0)</f>
        <v>Male</v>
      </c>
      <c r="R795" t="b">
        <f t="shared" si="24"/>
        <v>1</v>
      </c>
      <c r="S795" s="18">
        <f t="shared" si="25"/>
        <v>44682</v>
      </c>
    </row>
    <row r="796" spans="1:19" x14ac:dyDescent="0.25">
      <c r="A796" s="3" t="s">
        <v>1982</v>
      </c>
      <c r="B796" s="4" t="s">
        <v>342</v>
      </c>
      <c r="C796" s="14">
        <v>45301</v>
      </c>
      <c r="D796" s="4" t="s">
        <v>659</v>
      </c>
      <c r="E796" s="4" t="s">
        <v>660</v>
      </c>
      <c r="F796" s="4">
        <v>19.989999999999998</v>
      </c>
      <c r="G796" s="4">
        <v>3</v>
      </c>
      <c r="H796" s="4">
        <v>0</v>
      </c>
      <c r="I796" s="4">
        <v>19.989999999999998</v>
      </c>
      <c r="J796" s="4">
        <v>59.97</v>
      </c>
      <c r="K796" s="4" t="s">
        <v>675</v>
      </c>
      <c r="L796" s="4" t="s">
        <v>656</v>
      </c>
      <c r="M796" s="5">
        <v>4</v>
      </c>
      <c r="N796">
        <f>VLOOKUP(B796,Customers!A:J,7,0)</f>
        <v>35</v>
      </c>
      <c r="O796" t="str">
        <f>VLOOKUP(B796,Customers!A:J,5,0)</f>
        <v>San Diego</v>
      </c>
      <c r="P796" t="str">
        <f>VLOOKUP(B796,Customers!A:J,10,0)</f>
        <v>Silver</v>
      </c>
      <c r="Q796" t="str">
        <f>VLOOKUP(B796,Customers!A:J,8,0)</f>
        <v>Female</v>
      </c>
      <c r="R796" t="b">
        <f t="shared" si="24"/>
        <v>1</v>
      </c>
      <c r="S796" s="18">
        <f t="shared" si="25"/>
        <v>45292</v>
      </c>
    </row>
    <row r="797" spans="1:19" x14ac:dyDescent="0.25">
      <c r="A797" s="6" t="s">
        <v>1984</v>
      </c>
      <c r="B797" s="7" t="s">
        <v>342</v>
      </c>
      <c r="C797" s="15">
        <v>45328</v>
      </c>
      <c r="D797" s="7" t="s">
        <v>672</v>
      </c>
      <c r="E797" s="7" t="s">
        <v>673</v>
      </c>
      <c r="F797" s="7">
        <v>24.99</v>
      </c>
      <c r="G797" s="7">
        <v>4</v>
      </c>
      <c r="H797" s="7">
        <v>0</v>
      </c>
      <c r="I797" s="7">
        <v>24.99</v>
      </c>
      <c r="J797" s="7">
        <v>99.96</v>
      </c>
      <c r="K797" s="7" t="s">
        <v>682</v>
      </c>
      <c r="L797" s="7" t="s">
        <v>656</v>
      </c>
      <c r="M797" s="8"/>
      <c r="N797">
        <f>VLOOKUP(B797,Customers!A:J,7,0)</f>
        <v>35</v>
      </c>
      <c r="O797" t="str">
        <f>VLOOKUP(B797,Customers!A:J,5,0)</f>
        <v>San Diego</v>
      </c>
      <c r="P797" t="str">
        <f>VLOOKUP(B797,Customers!A:J,10,0)</f>
        <v>Silver</v>
      </c>
      <c r="Q797" t="str">
        <f>VLOOKUP(B797,Customers!A:J,8,0)</f>
        <v>Female</v>
      </c>
      <c r="R797" t="b">
        <f t="shared" si="24"/>
        <v>1</v>
      </c>
      <c r="S797" s="18">
        <f t="shared" si="25"/>
        <v>45323</v>
      </c>
    </row>
    <row r="798" spans="1:19" x14ac:dyDescent="0.25">
      <c r="A798" s="3" t="s">
        <v>1986</v>
      </c>
      <c r="B798" s="4" t="s">
        <v>342</v>
      </c>
      <c r="C798" s="14">
        <v>44813</v>
      </c>
      <c r="D798" s="4" t="s">
        <v>672</v>
      </c>
      <c r="E798" s="4" t="s">
        <v>673</v>
      </c>
      <c r="F798" s="4">
        <v>24.99</v>
      </c>
      <c r="G798" s="4">
        <v>4</v>
      </c>
      <c r="H798" s="4">
        <v>0</v>
      </c>
      <c r="I798" s="4">
        <v>24.99</v>
      </c>
      <c r="J798" s="4">
        <v>99.96</v>
      </c>
      <c r="K798" s="4" t="s">
        <v>661</v>
      </c>
      <c r="L798" s="4" t="s">
        <v>656</v>
      </c>
      <c r="M798" s="5"/>
      <c r="N798">
        <f>VLOOKUP(B798,Customers!A:J,7,0)</f>
        <v>35</v>
      </c>
      <c r="O798" t="str">
        <f>VLOOKUP(B798,Customers!A:J,5,0)</f>
        <v>San Diego</v>
      </c>
      <c r="P798" t="str">
        <f>VLOOKUP(B798,Customers!A:J,10,0)</f>
        <v>Silver</v>
      </c>
      <c r="Q798" t="str">
        <f>VLOOKUP(B798,Customers!A:J,8,0)</f>
        <v>Female</v>
      </c>
      <c r="R798" t="b">
        <f t="shared" si="24"/>
        <v>1</v>
      </c>
      <c r="S798" s="18">
        <f t="shared" si="25"/>
        <v>44805</v>
      </c>
    </row>
    <row r="799" spans="1:19" x14ac:dyDescent="0.25">
      <c r="A799" s="6" t="s">
        <v>1988</v>
      </c>
      <c r="B799" s="7" t="s">
        <v>342</v>
      </c>
      <c r="C799" s="15">
        <v>45458</v>
      </c>
      <c r="D799" s="7" t="s">
        <v>680</v>
      </c>
      <c r="E799" s="7" t="s">
        <v>688</v>
      </c>
      <c r="F799" s="7">
        <v>29.99</v>
      </c>
      <c r="G799" s="7">
        <v>2</v>
      </c>
      <c r="H799" s="7">
        <v>10</v>
      </c>
      <c r="I799" s="7">
        <v>26.99</v>
      </c>
      <c r="J799" s="7">
        <v>53.98</v>
      </c>
      <c r="K799" s="7" t="s">
        <v>661</v>
      </c>
      <c r="L799" s="7" t="s">
        <v>656</v>
      </c>
      <c r="M799" s="8">
        <v>5</v>
      </c>
      <c r="N799">
        <f>VLOOKUP(B799,Customers!A:J,7,0)</f>
        <v>35</v>
      </c>
      <c r="O799" t="str">
        <f>VLOOKUP(B799,Customers!A:J,5,0)</f>
        <v>San Diego</v>
      </c>
      <c r="P799" t="str">
        <f>VLOOKUP(B799,Customers!A:J,10,0)</f>
        <v>Silver</v>
      </c>
      <c r="Q799" t="str">
        <f>VLOOKUP(B799,Customers!A:J,8,0)</f>
        <v>Female</v>
      </c>
      <c r="R799" t="b">
        <f t="shared" si="24"/>
        <v>1</v>
      </c>
      <c r="S799" s="18">
        <f t="shared" si="25"/>
        <v>45444</v>
      </c>
    </row>
    <row r="800" spans="1:19" x14ac:dyDescent="0.25">
      <c r="A800" s="3" t="s">
        <v>1990</v>
      </c>
      <c r="B800" s="4" t="s">
        <v>342</v>
      </c>
      <c r="C800" s="14">
        <v>45310</v>
      </c>
      <c r="D800" s="4" t="s">
        <v>684</v>
      </c>
      <c r="E800" s="4" t="s">
        <v>685</v>
      </c>
      <c r="F800" s="4">
        <v>49.99</v>
      </c>
      <c r="G800" s="4">
        <v>1</v>
      </c>
      <c r="H800" s="4">
        <v>15</v>
      </c>
      <c r="I800" s="4">
        <v>42.49</v>
      </c>
      <c r="J800" s="4">
        <v>42.49</v>
      </c>
      <c r="K800" s="4" t="s">
        <v>675</v>
      </c>
      <c r="L800" s="4" t="s">
        <v>656</v>
      </c>
      <c r="M800" s="5">
        <v>4</v>
      </c>
      <c r="N800">
        <f>VLOOKUP(B800,Customers!A:J,7,0)</f>
        <v>35</v>
      </c>
      <c r="O800" t="str">
        <f>VLOOKUP(B800,Customers!A:J,5,0)</f>
        <v>San Diego</v>
      </c>
      <c r="P800" t="str">
        <f>VLOOKUP(B800,Customers!A:J,10,0)</f>
        <v>Silver</v>
      </c>
      <c r="Q800" t="str">
        <f>VLOOKUP(B800,Customers!A:J,8,0)</f>
        <v>Female</v>
      </c>
      <c r="R800" t="b">
        <f t="shared" si="24"/>
        <v>1</v>
      </c>
      <c r="S800" s="18">
        <f t="shared" si="25"/>
        <v>45292</v>
      </c>
    </row>
    <row r="801" spans="1:19" x14ac:dyDescent="0.25">
      <c r="A801" s="6" t="s">
        <v>1992</v>
      </c>
      <c r="B801" s="7" t="s">
        <v>342</v>
      </c>
      <c r="C801" s="15">
        <v>45011</v>
      </c>
      <c r="D801" s="7" t="s">
        <v>672</v>
      </c>
      <c r="E801" s="7" t="s">
        <v>724</v>
      </c>
      <c r="F801" s="7">
        <v>89.99</v>
      </c>
      <c r="G801" s="7">
        <v>4</v>
      </c>
      <c r="H801" s="7">
        <v>20</v>
      </c>
      <c r="I801" s="7">
        <v>71.989999999999995</v>
      </c>
      <c r="J801" s="7">
        <v>287.95999999999998</v>
      </c>
      <c r="K801" s="7" t="s">
        <v>661</v>
      </c>
      <c r="L801" s="7" t="s">
        <v>656</v>
      </c>
      <c r="M801" s="8"/>
      <c r="N801">
        <f>VLOOKUP(B801,Customers!A:J,7,0)</f>
        <v>35</v>
      </c>
      <c r="O801" t="str">
        <f>VLOOKUP(B801,Customers!A:J,5,0)</f>
        <v>San Diego</v>
      </c>
      <c r="P801" t="str">
        <f>VLOOKUP(B801,Customers!A:J,10,0)</f>
        <v>Silver</v>
      </c>
      <c r="Q801" t="str">
        <f>VLOOKUP(B801,Customers!A:J,8,0)</f>
        <v>Female</v>
      </c>
      <c r="R801" t="b">
        <f t="shared" si="24"/>
        <v>1</v>
      </c>
      <c r="S801" s="18">
        <f t="shared" si="25"/>
        <v>44986</v>
      </c>
    </row>
    <row r="802" spans="1:19" x14ac:dyDescent="0.25">
      <c r="A802" s="3" t="s">
        <v>1993</v>
      </c>
      <c r="B802" s="4" t="s">
        <v>342</v>
      </c>
      <c r="C802" s="14">
        <v>44918</v>
      </c>
      <c r="D802" s="4" t="s">
        <v>672</v>
      </c>
      <c r="E802" s="4" t="s">
        <v>724</v>
      </c>
      <c r="F802" s="4">
        <v>89.99</v>
      </c>
      <c r="G802" s="4">
        <v>1</v>
      </c>
      <c r="H802" s="4">
        <v>5</v>
      </c>
      <c r="I802" s="4">
        <v>85.49</v>
      </c>
      <c r="J802" s="4">
        <v>85.49</v>
      </c>
      <c r="K802" s="4" t="s">
        <v>675</v>
      </c>
      <c r="L802" s="4" t="s">
        <v>656</v>
      </c>
      <c r="M802" s="5"/>
      <c r="N802">
        <f>VLOOKUP(B802,Customers!A:J,7,0)</f>
        <v>35</v>
      </c>
      <c r="O802" t="str">
        <f>VLOOKUP(B802,Customers!A:J,5,0)</f>
        <v>San Diego</v>
      </c>
      <c r="P802" t="str">
        <f>VLOOKUP(B802,Customers!A:J,10,0)</f>
        <v>Silver</v>
      </c>
      <c r="Q802" t="str">
        <f>VLOOKUP(B802,Customers!A:J,8,0)</f>
        <v>Female</v>
      </c>
      <c r="R802" t="b">
        <f t="shared" si="24"/>
        <v>1</v>
      </c>
      <c r="S802" s="18">
        <f t="shared" si="25"/>
        <v>44896</v>
      </c>
    </row>
    <row r="803" spans="1:19" x14ac:dyDescent="0.25">
      <c r="A803" s="6" t="s">
        <v>1995</v>
      </c>
      <c r="B803" s="7" t="s">
        <v>342</v>
      </c>
      <c r="C803" s="15">
        <v>45185</v>
      </c>
      <c r="D803" s="7" t="s">
        <v>659</v>
      </c>
      <c r="E803" s="7" t="s">
        <v>762</v>
      </c>
      <c r="F803" s="7">
        <v>49.99</v>
      </c>
      <c r="G803" s="7">
        <v>1</v>
      </c>
      <c r="H803" s="7">
        <v>0</v>
      </c>
      <c r="I803" s="7">
        <v>49.99</v>
      </c>
      <c r="J803" s="7">
        <v>49.99</v>
      </c>
      <c r="K803" s="7" t="s">
        <v>655</v>
      </c>
      <c r="L803" s="7" t="s">
        <v>788</v>
      </c>
      <c r="M803" s="8">
        <v>4</v>
      </c>
      <c r="N803">
        <f>VLOOKUP(B803,Customers!A:J,7,0)</f>
        <v>35</v>
      </c>
      <c r="O803" t="str">
        <f>VLOOKUP(B803,Customers!A:J,5,0)</f>
        <v>San Diego</v>
      </c>
      <c r="P803" t="str">
        <f>VLOOKUP(B803,Customers!A:J,10,0)</f>
        <v>Silver</v>
      </c>
      <c r="Q803" t="str">
        <f>VLOOKUP(B803,Customers!A:J,8,0)</f>
        <v>Female</v>
      </c>
      <c r="R803" t="b">
        <f t="shared" si="24"/>
        <v>1</v>
      </c>
      <c r="S803" s="18">
        <f t="shared" si="25"/>
        <v>45170</v>
      </c>
    </row>
    <row r="804" spans="1:19" x14ac:dyDescent="0.25">
      <c r="A804" s="3" t="s">
        <v>1997</v>
      </c>
      <c r="B804" s="4" t="s">
        <v>342</v>
      </c>
      <c r="C804" s="14">
        <v>44737</v>
      </c>
      <c r="D804" s="4" t="s">
        <v>684</v>
      </c>
      <c r="E804" s="4" t="s">
        <v>685</v>
      </c>
      <c r="F804" s="4">
        <v>49.99</v>
      </c>
      <c r="G804" s="4">
        <v>1</v>
      </c>
      <c r="H804" s="4">
        <v>5</v>
      </c>
      <c r="I804" s="4">
        <v>47.49</v>
      </c>
      <c r="J804" s="4">
        <v>47.49</v>
      </c>
      <c r="K804" s="4" t="s">
        <v>682</v>
      </c>
      <c r="L804" s="4" t="s">
        <v>656</v>
      </c>
      <c r="M804" s="5"/>
      <c r="N804">
        <f>VLOOKUP(B804,Customers!A:J,7,0)</f>
        <v>35</v>
      </c>
      <c r="O804" t="str">
        <f>VLOOKUP(B804,Customers!A:J,5,0)</f>
        <v>San Diego</v>
      </c>
      <c r="P804" t="str">
        <f>VLOOKUP(B804,Customers!A:J,10,0)</f>
        <v>Silver</v>
      </c>
      <c r="Q804" t="str">
        <f>VLOOKUP(B804,Customers!A:J,8,0)</f>
        <v>Female</v>
      </c>
      <c r="R804" t="b">
        <f t="shared" si="24"/>
        <v>1</v>
      </c>
      <c r="S804" s="18">
        <f t="shared" si="25"/>
        <v>44713</v>
      </c>
    </row>
    <row r="805" spans="1:19" x14ac:dyDescent="0.25">
      <c r="A805" s="6" t="s">
        <v>1998</v>
      </c>
      <c r="B805" s="7" t="s">
        <v>342</v>
      </c>
      <c r="C805" s="15">
        <v>45180</v>
      </c>
      <c r="D805" s="7" t="s">
        <v>672</v>
      </c>
      <c r="E805" s="7" t="s">
        <v>803</v>
      </c>
      <c r="F805" s="7">
        <v>69.989999999999995</v>
      </c>
      <c r="G805" s="7">
        <v>1</v>
      </c>
      <c r="H805" s="7">
        <v>15</v>
      </c>
      <c r="I805" s="7">
        <v>59.49</v>
      </c>
      <c r="J805" s="7">
        <v>59.49</v>
      </c>
      <c r="K805" s="7" t="s">
        <v>675</v>
      </c>
      <c r="L805" s="7" t="s">
        <v>788</v>
      </c>
      <c r="M805" s="8">
        <v>4</v>
      </c>
      <c r="N805">
        <f>VLOOKUP(B805,Customers!A:J,7,0)</f>
        <v>35</v>
      </c>
      <c r="O805" t="str">
        <f>VLOOKUP(B805,Customers!A:J,5,0)</f>
        <v>San Diego</v>
      </c>
      <c r="P805" t="str">
        <f>VLOOKUP(B805,Customers!A:J,10,0)</f>
        <v>Silver</v>
      </c>
      <c r="Q805" t="str">
        <f>VLOOKUP(B805,Customers!A:J,8,0)</f>
        <v>Female</v>
      </c>
      <c r="R805" t="b">
        <f t="shared" si="24"/>
        <v>1</v>
      </c>
      <c r="S805" s="18">
        <f t="shared" si="25"/>
        <v>45170</v>
      </c>
    </row>
    <row r="806" spans="1:19" x14ac:dyDescent="0.25">
      <c r="A806" s="3" t="s">
        <v>1999</v>
      </c>
      <c r="B806" s="4" t="s">
        <v>342</v>
      </c>
      <c r="C806" s="14">
        <v>45018</v>
      </c>
      <c r="D806" s="4" t="s">
        <v>659</v>
      </c>
      <c r="E806" s="4" t="s">
        <v>820</v>
      </c>
      <c r="F806" s="4">
        <v>39.99</v>
      </c>
      <c r="G806" s="4">
        <v>4</v>
      </c>
      <c r="H806" s="4">
        <v>20</v>
      </c>
      <c r="I806" s="4">
        <v>31.99</v>
      </c>
      <c r="J806" s="4">
        <v>127.96</v>
      </c>
      <c r="K806" s="4" t="s">
        <v>655</v>
      </c>
      <c r="L806" s="4" t="s">
        <v>656</v>
      </c>
      <c r="M806" s="5"/>
      <c r="N806">
        <f>VLOOKUP(B806,Customers!A:J,7,0)</f>
        <v>35</v>
      </c>
      <c r="O806" t="str">
        <f>VLOOKUP(B806,Customers!A:J,5,0)</f>
        <v>San Diego</v>
      </c>
      <c r="P806" t="str">
        <f>VLOOKUP(B806,Customers!A:J,10,0)</f>
        <v>Silver</v>
      </c>
      <c r="Q806" t="str">
        <f>VLOOKUP(B806,Customers!A:J,8,0)</f>
        <v>Female</v>
      </c>
      <c r="R806" t="b">
        <f t="shared" si="24"/>
        <v>1</v>
      </c>
      <c r="S806" s="18">
        <f t="shared" si="25"/>
        <v>45017</v>
      </c>
    </row>
    <row r="807" spans="1:19" x14ac:dyDescent="0.25">
      <c r="A807" s="6" t="s">
        <v>2000</v>
      </c>
      <c r="B807" s="7" t="s">
        <v>345</v>
      </c>
      <c r="C807" s="15">
        <v>44613</v>
      </c>
      <c r="D807" s="7" t="s">
        <v>659</v>
      </c>
      <c r="E807" s="7" t="s">
        <v>660</v>
      </c>
      <c r="F807" s="7">
        <v>19.989999999999998</v>
      </c>
      <c r="G807" s="7">
        <v>1</v>
      </c>
      <c r="H807" s="7">
        <v>10</v>
      </c>
      <c r="I807" s="7">
        <v>17.989999999999998</v>
      </c>
      <c r="J807" s="7">
        <v>17.989999999999998</v>
      </c>
      <c r="K807" s="7" t="s">
        <v>655</v>
      </c>
      <c r="L807" s="7" t="s">
        <v>656</v>
      </c>
      <c r="M807" s="8">
        <v>4</v>
      </c>
      <c r="N807">
        <f>VLOOKUP(B807,Customers!A:J,7,0)</f>
        <v>51</v>
      </c>
      <c r="O807" t="str">
        <f>VLOOKUP(B807,Customers!A:J,5,0)</f>
        <v>San Antonio</v>
      </c>
      <c r="P807" t="str">
        <f>VLOOKUP(B807,Customers!A:J,10,0)</f>
        <v>Free</v>
      </c>
      <c r="Q807" t="str">
        <f>VLOOKUP(B807,Customers!A:J,8,0)</f>
        <v>Male</v>
      </c>
      <c r="R807" t="b">
        <f t="shared" si="24"/>
        <v>1</v>
      </c>
      <c r="S807" s="18">
        <f t="shared" si="25"/>
        <v>44593</v>
      </c>
    </row>
    <row r="808" spans="1:19" x14ac:dyDescent="0.25">
      <c r="A808" s="3" t="s">
        <v>2001</v>
      </c>
      <c r="B808" s="4" t="s">
        <v>345</v>
      </c>
      <c r="C808" s="14">
        <v>45397</v>
      </c>
      <c r="D808" s="4" t="s">
        <v>659</v>
      </c>
      <c r="E808" s="4" t="s">
        <v>762</v>
      </c>
      <c r="F808" s="4">
        <v>49.99</v>
      </c>
      <c r="G808" s="4">
        <v>3</v>
      </c>
      <c r="H808" s="4">
        <v>10</v>
      </c>
      <c r="I808" s="4">
        <v>44.99</v>
      </c>
      <c r="J808" s="4">
        <v>134.97</v>
      </c>
      <c r="K808" s="4" t="s">
        <v>655</v>
      </c>
      <c r="L808" s="4" t="s">
        <v>656</v>
      </c>
      <c r="M808" s="5">
        <v>3</v>
      </c>
      <c r="N808">
        <f>VLOOKUP(B808,Customers!A:J,7,0)</f>
        <v>51</v>
      </c>
      <c r="O808" t="str">
        <f>VLOOKUP(B808,Customers!A:J,5,0)</f>
        <v>San Antonio</v>
      </c>
      <c r="P808" t="str">
        <f>VLOOKUP(B808,Customers!A:J,10,0)</f>
        <v>Free</v>
      </c>
      <c r="Q808" t="str">
        <f>VLOOKUP(B808,Customers!A:J,8,0)</f>
        <v>Male</v>
      </c>
      <c r="R808" t="b">
        <f t="shared" si="24"/>
        <v>1</v>
      </c>
      <c r="S808" s="18">
        <f t="shared" si="25"/>
        <v>45383</v>
      </c>
    </row>
    <row r="809" spans="1:19" x14ac:dyDescent="0.25">
      <c r="A809" s="6" t="s">
        <v>2003</v>
      </c>
      <c r="B809" s="7" t="s">
        <v>345</v>
      </c>
      <c r="C809" s="15">
        <v>44657</v>
      </c>
      <c r="D809" s="7" t="s">
        <v>653</v>
      </c>
      <c r="E809" s="7" t="s">
        <v>827</v>
      </c>
      <c r="F809" s="7">
        <v>29.99</v>
      </c>
      <c r="G809" s="7">
        <v>1</v>
      </c>
      <c r="H809" s="7">
        <v>10</v>
      </c>
      <c r="I809" s="7">
        <v>26.99</v>
      </c>
      <c r="J809" s="7">
        <v>26.99</v>
      </c>
      <c r="K809" s="7" t="s">
        <v>675</v>
      </c>
      <c r="L809" s="7" t="s">
        <v>656</v>
      </c>
      <c r="M809" s="8"/>
      <c r="N809">
        <f>VLOOKUP(B809,Customers!A:J,7,0)</f>
        <v>51</v>
      </c>
      <c r="O809" t="str">
        <f>VLOOKUP(B809,Customers!A:J,5,0)</f>
        <v>San Antonio</v>
      </c>
      <c r="P809" t="str">
        <f>VLOOKUP(B809,Customers!A:J,10,0)</f>
        <v>Free</v>
      </c>
      <c r="Q809" t="str">
        <f>VLOOKUP(B809,Customers!A:J,8,0)</f>
        <v>Male</v>
      </c>
      <c r="R809" t="b">
        <f t="shared" si="24"/>
        <v>1</v>
      </c>
      <c r="S809" s="18">
        <f t="shared" si="25"/>
        <v>44652</v>
      </c>
    </row>
    <row r="810" spans="1:19" x14ac:dyDescent="0.25">
      <c r="A810" s="3" t="s">
        <v>2004</v>
      </c>
      <c r="B810" s="4" t="s">
        <v>345</v>
      </c>
      <c r="C810" s="14">
        <v>45177</v>
      </c>
      <c r="D810" s="4" t="s">
        <v>659</v>
      </c>
      <c r="E810" s="4" t="s">
        <v>664</v>
      </c>
      <c r="F810" s="4">
        <v>24.99</v>
      </c>
      <c r="G810" s="4">
        <v>3</v>
      </c>
      <c r="H810" s="4">
        <v>15</v>
      </c>
      <c r="I810" s="4">
        <v>21.24</v>
      </c>
      <c r="J810" s="4">
        <v>63.72</v>
      </c>
      <c r="K810" s="4" t="s">
        <v>675</v>
      </c>
      <c r="L810" s="4" t="s">
        <v>693</v>
      </c>
      <c r="M810" s="5">
        <v>5</v>
      </c>
      <c r="N810">
        <f>VLOOKUP(B810,Customers!A:J,7,0)</f>
        <v>51</v>
      </c>
      <c r="O810" t="str">
        <f>VLOOKUP(B810,Customers!A:J,5,0)</f>
        <v>San Antonio</v>
      </c>
      <c r="P810" t="str">
        <f>VLOOKUP(B810,Customers!A:J,10,0)</f>
        <v>Free</v>
      </c>
      <c r="Q810" t="str">
        <f>VLOOKUP(B810,Customers!A:J,8,0)</f>
        <v>Male</v>
      </c>
      <c r="R810" t="b">
        <f t="shared" si="24"/>
        <v>1</v>
      </c>
      <c r="S810" s="18">
        <f t="shared" si="25"/>
        <v>45170</v>
      </c>
    </row>
    <row r="811" spans="1:19" x14ac:dyDescent="0.25">
      <c r="A811" s="6" t="s">
        <v>2005</v>
      </c>
      <c r="B811" s="7" t="s">
        <v>345</v>
      </c>
      <c r="C811" s="15">
        <v>45346</v>
      </c>
      <c r="D811" s="7" t="s">
        <v>667</v>
      </c>
      <c r="E811" s="7" t="s">
        <v>668</v>
      </c>
      <c r="F811" s="7">
        <v>64.989999999999995</v>
      </c>
      <c r="G811" s="7">
        <v>1</v>
      </c>
      <c r="H811" s="7">
        <v>0</v>
      </c>
      <c r="I811" s="7">
        <v>64.989999999999995</v>
      </c>
      <c r="J811" s="7">
        <v>64.989999999999995</v>
      </c>
      <c r="K811" s="7" t="s">
        <v>655</v>
      </c>
      <c r="L811" s="7" t="s">
        <v>656</v>
      </c>
      <c r="M811" s="8">
        <v>4</v>
      </c>
      <c r="N811">
        <f>VLOOKUP(B811,Customers!A:J,7,0)</f>
        <v>51</v>
      </c>
      <c r="O811" t="str">
        <f>VLOOKUP(B811,Customers!A:J,5,0)</f>
        <v>San Antonio</v>
      </c>
      <c r="P811" t="str">
        <f>VLOOKUP(B811,Customers!A:J,10,0)</f>
        <v>Free</v>
      </c>
      <c r="Q811" t="str">
        <f>VLOOKUP(B811,Customers!A:J,8,0)</f>
        <v>Male</v>
      </c>
      <c r="R811" t="b">
        <f t="shared" si="24"/>
        <v>1</v>
      </c>
      <c r="S811" s="18">
        <f t="shared" si="25"/>
        <v>45323</v>
      </c>
    </row>
    <row r="812" spans="1:19" x14ac:dyDescent="0.25">
      <c r="A812" s="3" t="s">
        <v>2006</v>
      </c>
      <c r="B812" s="4" t="s">
        <v>345</v>
      </c>
      <c r="C812" s="14">
        <v>44654</v>
      </c>
      <c r="D812" s="4" t="s">
        <v>672</v>
      </c>
      <c r="E812" s="4" t="s">
        <v>735</v>
      </c>
      <c r="F812" s="4">
        <v>44.99</v>
      </c>
      <c r="G812" s="4">
        <v>1</v>
      </c>
      <c r="H812" s="4">
        <v>0</v>
      </c>
      <c r="I812" s="4">
        <v>44.99</v>
      </c>
      <c r="J812" s="4">
        <v>44.99</v>
      </c>
      <c r="K812" s="4" t="s">
        <v>682</v>
      </c>
      <c r="L812" s="4" t="s">
        <v>656</v>
      </c>
      <c r="M812" s="5">
        <v>1</v>
      </c>
      <c r="N812">
        <f>VLOOKUP(B812,Customers!A:J,7,0)</f>
        <v>51</v>
      </c>
      <c r="O812" t="str">
        <f>VLOOKUP(B812,Customers!A:J,5,0)</f>
        <v>San Antonio</v>
      </c>
      <c r="P812" t="str">
        <f>VLOOKUP(B812,Customers!A:J,10,0)</f>
        <v>Free</v>
      </c>
      <c r="Q812" t="str">
        <f>VLOOKUP(B812,Customers!A:J,8,0)</f>
        <v>Male</v>
      </c>
      <c r="R812" t="b">
        <f t="shared" si="24"/>
        <v>1</v>
      </c>
      <c r="S812" s="18">
        <f t="shared" si="25"/>
        <v>44652</v>
      </c>
    </row>
    <row r="813" spans="1:19" x14ac:dyDescent="0.25">
      <c r="A813" s="6" t="s">
        <v>2008</v>
      </c>
      <c r="B813" s="7" t="s">
        <v>345</v>
      </c>
      <c r="C813" s="15">
        <v>44882</v>
      </c>
      <c r="D813" s="7" t="s">
        <v>659</v>
      </c>
      <c r="E813" s="7" t="s">
        <v>660</v>
      </c>
      <c r="F813" s="7">
        <v>19.989999999999998</v>
      </c>
      <c r="G813" s="7">
        <v>1</v>
      </c>
      <c r="H813" s="7">
        <v>15</v>
      </c>
      <c r="I813" s="7">
        <v>16.989999999999998</v>
      </c>
      <c r="J813" s="7">
        <v>16.989999999999998</v>
      </c>
      <c r="K813" s="7" t="s">
        <v>675</v>
      </c>
      <c r="L813" s="7" t="s">
        <v>656</v>
      </c>
      <c r="M813" s="8">
        <v>5</v>
      </c>
      <c r="N813">
        <f>VLOOKUP(B813,Customers!A:J,7,0)</f>
        <v>51</v>
      </c>
      <c r="O813" t="str">
        <f>VLOOKUP(B813,Customers!A:J,5,0)</f>
        <v>San Antonio</v>
      </c>
      <c r="P813" t="str">
        <f>VLOOKUP(B813,Customers!A:J,10,0)</f>
        <v>Free</v>
      </c>
      <c r="Q813" t="str">
        <f>VLOOKUP(B813,Customers!A:J,8,0)</f>
        <v>Male</v>
      </c>
      <c r="R813" t="b">
        <f t="shared" si="24"/>
        <v>1</v>
      </c>
      <c r="S813" s="18">
        <f t="shared" si="25"/>
        <v>44866</v>
      </c>
    </row>
    <row r="814" spans="1:19" x14ac:dyDescent="0.25">
      <c r="A814" s="3" t="s">
        <v>2010</v>
      </c>
      <c r="B814" s="4" t="s">
        <v>345</v>
      </c>
      <c r="C814" s="14">
        <v>45548</v>
      </c>
      <c r="D814" s="4" t="s">
        <v>667</v>
      </c>
      <c r="E814" s="4" t="s">
        <v>714</v>
      </c>
      <c r="F814" s="4">
        <v>44.99</v>
      </c>
      <c r="G814" s="4">
        <v>3</v>
      </c>
      <c r="H814" s="4">
        <v>0</v>
      </c>
      <c r="I814" s="4">
        <v>44.99</v>
      </c>
      <c r="J814" s="4">
        <v>134.97</v>
      </c>
      <c r="K814" s="4" t="s">
        <v>661</v>
      </c>
      <c r="L814" s="4" t="s">
        <v>656</v>
      </c>
      <c r="M814" s="5">
        <v>3</v>
      </c>
      <c r="N814">
        <f>VLOOKUP(B814,Customers!A:J,7,0)</f>
        <v>51</v>
      </c>
      <c r="O814" t="str">
        <f>VLOOKUP(B814,Customers!A:J,5,0)</f>
        <v>San Antonio</v>
      </c>
      <c r="P814" t="str">
        <f>VLOOKUP(B814,Customers!A:J,10,0)</f>
        <v>Free</v>
      </c>
      <c r="Q814" t="str">
        <f>VLOOKUP(B814,Customers!A:J,8,0)</f>
        <v>Male</v>
      </c>
      <c r="R814" t="b">
        <f t="shared" si="24"/>
        <v>1</v>
      </c>
      <c r="S814" s="18">
        <f t="shared" si="25"/>
        <v>45536</v>
      </c>
    </row>
    <row r="815" spans="1:19" x14ac:dyDescent="0.25">
      <c r="A815" s="6" t="s">
        <v>2012</v>
      </c>
      <c r="B815" s="7" t="s">
        <v>345</v>
      </c>
      <c r="C815" s="15">
        <v>45572</v>
      </c>
      <c r="D815" s="7" t="s">
        <v>667</v>
      </c>
      <c r="E815" s="7" t="s">
        <v>714</v>
      </c>
      <c r="F815" s="7">
        <v>44.99</v>
      </c>
      <c r="G815" s="7">
        <v>2</v>
      </c>
      <c r="H815" s="7">
        <v>10</v>
      </c>
      <c r="I815" s="7">
        <v>40.49</v>
      </c>
      <c r="J815" s="7">
        <v>80.98</v>
      </c>
      <c r="K815" s="7" t="s">
        <v>655</v>
      </c>
      <c r="L815" s="7" t="s">
        <v>656</v>
      </c>
      <c r="M815" s="8">
        <v>5</v>
      </c>
      <c r="N815">
        <f>VLOOKUP(B815,Customers!A:J,7,0)</f>
        <v>51</v>
      </c>
      <c r="O815" t="str">
        <f>VLOOKUP(B815,Customers!A:J,5,0)</f>
        <v>San Antonio</v>
      </c>
      <c r="P815" t="str">
        <f>VLOOKUP(B815,Customers!A:J,10,0)</f>
        <v>Free</v>
      </c>
      <c r="Q815" t="str">
        <f>VLOOKUP(B815,Customers!A:J,8,0)</f>
        <v>Male</v>
      </c>
      <c r="R815" t="b">
        <f t="shared" si="24"/>
        <v>1</v>
      </c>
      <c r="S815" s="18">
        <f t="shared" si="25"/>
        <v>45566</v>
      </c>
    </row>
    <row r="816" spans="1:19" x14ac:dyDescent="0.25">
      <c r="A816" s="3" t="s">
        <v>2013</v>
      </c>
      <c r="B816" s="4" t="s">
        <v>348</v>
      </c>
      <c r="C816" s="14">
        <v>44968</v>
      </c>
      <c r="D816" s="4" t="s">
        <v>672</v>
      </c>
      <c r="E816" s="4" t="s">
        <v>673</v>
      </c>
      <c r="F816" s="4">
        <v>24.99</v>
      </c>
      <c r="G816" s="4">
        <v>3</v>
      </c>
      <c r="H816" s="4">
        <v>5</v>
      </c>
      <c r="I816" s="4">
        <v>23.74</v>
      </c>
      <c r="J816" s="4">
        <v>71.22</v>
      </c>
      <c r="K816" s="4" t="s">
        <v>669</v>
      </c>
      <c r="L816" s="4" t="s">
        <v>656</v>
      </c>
      <c r="M816" s="5">
        <v>4</v>
      </c>
      <c r="N816">
        <f>VLOOKUP(B816,Customers!A:J,7,0)</f>
        <v>32</v>
      </c>
      <c r="O816" t="str">
        <f>VLOOKUP(B816,Customers!A:J,5,0)</f>
        <v>Phoenix</v>
      </c>
      <c r="P816" t="str">
        <f>VLOOKUP(B816,Customers!A:J,10,0)</f>
        <v>Free</v>
      </c>
      <c r="Q816" t="str">
        <f>VLOOKUP(B816,Customers!A:J,8,0)</f>
        <v>Female</v>
      </c>
      <c r="R816" t="b">
        <f t="shared" si="24"/>
        <v>1</v>
      </c>
      <c r="S816" s="18">
        <f t="shared" si="25"/>
        <v>44958</v>
      </c>
    </row>
    <row r="817" spans="1:19" x14ac:dyDescent="0.25">
      <c r="A817" s="6" t="s">
        <v>2014</v>
      </c>
      <c r="B817" s="7" t="s">
        <v>348</v>
      </c>
      <c r="C817" s="15">
        <v>45407</v>
      </c>
      <c r="D817" s="7" t="s">
        <v>680</v>
      </c>
      <c r="E817" s="7" t="s">
        <v>688</v>
      </c>
      <c r="F817" s="7">
        <v>29.99</v>
      </c>
      <c r="G817" s="7">
        <v>3</v>
      </c>
      <c r="H817" s="7">
        <v>0</v>
      </c>
      <c r="I817" s="7">
        <v>29.99</v>
      </c>
      <c r="J817" s="7">
        <v>89.97</v>
      </c>
      <c r="K817" s="7" t="s">
        <v>661</v>
      </c>
      <c r="L817" s="7" t="s">
        <v>656</v>
      </c>
      <c r="M817" s="8">
        <v>4</v>
      </c>
      <c r="N817">
        <f>VLOOKUP(B817,Customers!A:J,7,0)</f>
        <v>32</v>
      </c>
      <c r="O817" t="str">
        <f>VLOOKUP(B817,Customers!A:J,5,0)</f>
        <v>Phoenix</v>
      </c>
      <c r="P817" t="str">
        <f>VLOOKUP(B817,Customers!A:J,10,0)</f>
        <v>Free</v>
      </c>
      <c r="Q817" t="str">
        <f>VLOOKUP(B817,Customers!A:J,8,0)</f>
        <v>Female</v>
      </c>
      <c r="R817" t="b">
        <f t="shared" si="24"/>
        <v>1</v>
      </c>
      <c r="S817" s="18">
        <f t="shared" si="25"/>
        <v>45383</v>
      </c>
    </row>
    <row r="818" spans="1:19" x14ac:dyDescent="0.25">
      <c r="A818" s="3" t="s">
        <v>2015</v>
      </c>
      <c r="B818" s="4" t="s">
        <v>348</v>
      </c>
      <c r="C818" s="14">
        <v>44652</v>
      </c>
      <c r="D818" s="4" t="s">
        <v>659</v>
      </c>
      <c r="E818" s="4" t="s">
        <v>820</v>
      </c>
      <c r="F818" s="4">
        <v>39.99</v>
      </c>
      <c r="G818" s="4">
        <v>4</v>
      </c>
      <c r="H818" s="4">
        <v>20</v>
      </c>
      <c r="I818" s="4">
        <v>31.99</v>
      </c>
      <c r="J818" s="4">
        <v>127.96</v>
      </c>
      <c r="K818" s="4" t="s">
        <v>655</v>
      </c>
      <c r="L818" s="4" t="s">
        <v>656</v>
      </c>
      <c r="M818" s="5">
        <v>4</v>
      </c>
      <c r="N818">
        <f>VLOOKUP(B818,Customers!A:J,7,0)</f>
        <v>32</v>
      </c>
      <c r="O818" t="str">
        <f>VLOOKUP(B818,Customers!A:J,5,0)</f>
        <v>Phoenix</v>
      </c>
      <c r="P818" t="str">
        <f>VLOOKUP(B818,Customers!A:J,10,0)</f>
        <v>Free</v>
      </c>
      <c r="Q818" t="str">
        <f>VLOOKUP(B818,Customers!A:J,8,0)</f>
        <v>Female</v>
      </c>
      <c r="R818" t="b">
        <f t="shared" si="24"/>
        <v>1</v>
      </c>
      <c r="S818" s="18">
        <f t="shared" si="25"/>
        <v>44652</v>
      </c>
    </row>
    <row r="819" spans="1:19" x14ac:dyDescent="0.25">
      <c r="A819" s="6" t="s">
        <v>2017</v>
      </c>
      <c r="B819" s="7" t="s">
        <v>348</v>
      </c>
      <c r="C819" s="15">
        <v>45315</v>
      </c>
      <c r="D819" s="7" t="s">
        <v>680</v>
      </c>
      <c r="E819" s="7" t="s">
        <v>749</v>
      </c>
      <c r="F819" s="7">
        <v>14.99</v>
      </c>
      <c r="G819" s="7">
        <v>1</v>
      </c>
      <c r="H819" s="7">
        <v>10</v>
      </c>
      <c r="I819" s="7">
        <v>13.49</v>
      </c>
      <c r="J819" s="7">
        <v>13.49</v>
      </c>
      <c r="K819" s="7" t="s">
        <v>682</v>
      </c>
      <c r="L819" s="7" t="s">
        <v>656</v>
      </c>
      <c r="M819" s="8">
        <v>4</v>
      </c>
      <c r="N819">
        <f>VLOOKUP(B819,Customers!A:J,7,0)</f>
        <v>32</v>
      </c>
      <c r="O819" t="str">
        <f>VLOOKUP(B819,Customers!A:J,5,0)</f>
        <v>Phoenix</v>
      </c>
      <c r="P819" t="str">
        <f>VLOOKUP(B819,Customers!A:J,10,0)</f>
        <v>Free</v>
      </c>
      <c r="Q819" t="str">
        <f>VLOOKUP(B819,Customers!A:J,8,0)</f>
        <v>Female</v>
      </c>
      <c r="R819" t="b">
        <f t="shared" si="24"/>
        <v>1</v>
      </c>
      <c r="S819" s="18">
        <f t="shared" si="25"/>
        <v>45292</v>
      </c>
    </row>
    <row r="820" spans="1:19" x14ac:dyDescent="0.25">
      <c r="A820" s="3" t="s">
        <v>2018</v>
      </c>
      <c r="B820" s="4" t="s">
        <v>348</v>
      </c>
      <c r="C820" s="14">
        <v>45398</v>
      </c>
      <c r="D820" s="4" t="s">
        <v>672</v>
      </c>
      <c r="E820" s="4" t="s">
        <v>724</v>
      </c>
      <c r="F820" s="4">
        <v>89.99</v>
      </c>
      <c r="G820" s="4">
        <v>1</v>
      </c>
      <c r="H820" s="4">
        <v>0</v>
      </c>
      <c r="I820" s="4">
        <v>89.99</v>
      </c>
      <c r="J820" s="4">
        <v>89.99</v>
      </c>
      <c r="K820" s="4" t="s">
        <v>655</v>
      </c>
      <c r="L820" s="4" t="s">
        <v>656</v>
      </c>
      <c r="M820" s="5">
        <v>3</v>
      </c>
      <c r="N820">
        <f>VLOOKUP(B820,Customers!A:J,7,0)</f>
        <v>32</v>
      </c>
      <c r="O820" t="str">
        <f>VLOOKUP(B820,Customers!A:J,5,0)</f>
        <v>Phoenix</v>
      </c>
      <c r="P820" t="str">
        <f>VLOOKUP(B820,Customers!A:J,10,0)</f>
        <v>Free</v>
      </c>
      <c r="Q820" t="str">
        <f>VLOOKUP(B820,Customers!A:J,8,0)</f>
        <v>Female</v>
      </c>
      <c r="R820" t="b">
        <f t="shared" si="24"/>
        <v>1</v>
      </c>
      <c r="S820" s="18">
        <f t="shared" si="25"/>
        <v>45383</v>
      </c>
    </row>
    <row r="821" spans="1:19" x14ac:dyDescent="0.25">
      <c r="A821" s="6" t="s">
        <v>2020</v>
      </c>
      <c r="B821" s="7" t="s">
        <v>348</v>
      </c>
      <c r="C821" s="15">
        <v>45028</v>
      </c>
      <c r="D821" s="7" t="s">
        <v>672</v>
      </c>
      <c r="E821" s="7" t="s">
        <v>724</v>
      </c>
      <c r="F821" s="7">
        <v>89.99</v>
      </c>
      <c r="G821" s="7">
        <v>1</v>
      </c>
      <c r="H821" s="7">
        <v>5</v>
      </c>
      <c r="I821" s="7">
        <v>85.49</v>
      </c>
      <c r="J821" s="7">
        <v>85.49</v>
      </c>
      <c r="K821" s="7" t="s">
        <v>669</v>
      </c>
      <c r="L821" s="7" t="s">
        <v>656</v>
      </c>
      <c r="M821" s="8">
        <v>5</v>
      </c>
      <c r="N821">
        <f>VLOOKUP(B821,Customers!A:J,7,0)</f>
        <v>32</v>
      </c>
      <c r="O821" t="str">
        <f>VLOOKUP(B821,Customers!A:J,5,0)</f>
        <v>Phoenix</v>
      </c>
      <c r="P821" t="str">
        <f>VLOOKUP(B821,Customers!A:J,10,0)</f>
        <v>Free</v>
      </c>
      <c r="Q821" t="str">
        <f>VLOOKUP(B821,Customers!A:J,8,0)</f>
        <v>Female</v>
      </c>
      <c r="R821" t="b">
        <f t="shared" si="24"/>
        <v>1</v>
      </c>
      <c r="S821" s="18">
        <f t="shared" si="25"/>
        <v>45017</v>
      </c>
    </row>
    <row r="822" spans="1:19" x14ac:dyDescent="0.25">
      <c r="A822" s="3" t="s">
        <v>2021</v>
      </c>
      <c r="B822" s="4" t="s">
        <v>348</v>
      </c>
      <c r="C822" s="14">
        <v>44858</v>
      </c>
      <c r="D822" s="4" t="s">
        <v>680</v>
      </c>
      <c r="E822" s="4" t="s">
        <v>681</v>
      </c>
      <c r="F822" s="4">
        <v>19.989999999999998</v>
      </c>
      <c r="G822" s="4">
        <v>3</v>
      </c>
      <c r="H822" s="4">
        <v>0</v>
      </c>
      <c r="I822" s="4">
        <v>19.989999999999998</v>
      </c>
      <c r="J822" s="4">
        <v>59.97</v>
      </c>
      <c r="K822" s="4" t="s">
        <v>682</v>
      </c>
      <c r="L822" s="4" t="s">
        <v>656</v>
      </c>
      <c r="M822" s="5">
        <v>5</v>
      </c>
      <c r="N822">
        <f>VLOOKUP(B822,Customers!A:J,7,0)</f>
        <v>32</v>
      </c>
      <c r="O822" t="str">
        <f>VLOOKUP(B822,Customers!A:J,5,0)</f>
        <v>Phoenix</v>
      </c>
      <c r="P822" t="str">
        <f>VLOOKUP(B822,Customers!A:J,10,0)</f>
        <v>Free</v>
      </c>
      <c r="Q822" t="str">
        <f>VLOOKUP(B822,Customers!A:J,8,0)</f>
        <v>Female</v>
      </c>
      <c r="R822" t="b">
        <f t="shared" si="24"/>
        <v>1</v>
      </c>
      <c r="S822" s="18">
        <f t="shared" si="25"/>
        <v>44835</v>
      </c>
    </row>
    <row r="823" spans="1:19" x14ac:dyDescent="0.25">
      <c r="A823" s="6" t="s">
        <v>2022</v>
      </c>
      <c r="B823" s="7" t="s">
        <v>348</v>
      </c>
      <c r="C823" s="15">
        <v>45303</v>
      </c>
      <c r="D823" s="7" t="s">
        <v>672</v>
      </c>
      <c r="E823" s="7" t="s">
        <v>735</v>
      </c>
      <c r="F823" s="7">
        <v>44.99</v>
      </c>
      <c r="G823" s="7">
        <v>1</v>
      </c>
      <c r="H823" s="7">
        <v>10</v>
      </c>
      <c r="I823" s="7">
        <v>40.49</v>
      </c>
      <c r="J823" s="7">
        <v>40.49</v>
      </c>
      <c r="K823" s="7" t="s">
        <v>669</v>
      </c>
      <c r="L823" s="7" t="s">
        <v>656</v>
      </c>
      <c r="M823" s="8">
        <v>4</v>
      </c>
      <c r="N823">
        <f>VLOOKUP(B823,Customers!A:J,7,0)</f>
        <v>32</v>
      </c>
      <c r="O823" t="str">
        <f>VLOOKUP(B823,Customers!A:J,5,0)</f>
        <v>Phoenix</v>
      </c>
      <c r="P823" t="str">
        <f>VLOOKUP(B823,Customers!A:J,10,0)</f>
        <v>Free</v>
      </c>
      <c r="Q823" t="str">
        <f>VLOOKUP(B823,Customers!A:J,8,0)</f>
        <v>Female</v>
      </c>
      <c r="R823" t="b">
        <f t="shared" si="24"/>
        <v>1</v>
      </c>
      <c r="S823" s="18">
        <f t="shared" si="25"/>
        <v>45292</v>
      </c>
    </row>
    <row r="824" spans="1:19" x14ac:dyDescent="0.25">
      <c r="A824" s="3" t="s">
        <v>2023</v>
      </c>
      <c r="B824" s="4" t="s">
        <v>348</v>
      </c>
      <c r="C824" s="14">
        <v>44648</v>
      </c>
      <c r="D824" s="4" t="s">
        <v>667</v>
      </c>
      <c r="E824" s="4" t="s">
        <v>714</v>
      </c>
      <c r="F824" s="4">
        <v>44.99</v>
      </c>
      <c r="G824" s="4">
        <v>3</v>
      </c>
      <c r="H824" s="4">
        <v>5</v>
      </c>
      <c r="I824" s="4">
        <v>42.74</v>
      </c>
      <c r="J824" s="4">
        <v>128.22</v>
      </c>
      <c r="K824" s="4" t="s">
        <v>655</v>
      </c>
      <c r="L824" s="4" t="s">
        <v>656</v>
      </c>
      <c r="M824" s="5">
        <v>4</v>
      </c>
      <c r="N824">
        <f>VLOOKUP(B824,Customers!A:J,7,0)</f>
        <v>32</v>
      </c>
      <c r="O824" t="str">
        <f>VLOOKUP(B824,Customers!A:J,5,0)</f>
        <v>Phoenix</v>
      </c>
      <c r="P824" t="str">
        <f>VLOOKUP(B824,Customers!A:J,10,0)</f>
        <v>Free</v>
      </c>
      <c r="Q824" t="str">
        <f>VLOOKUP(B824,Customers!A:J,8,0)</f>
        <v>Female</v>
      </c>
      <c r="R824" t="b">
        <f t="shared" si="24"/>
        <v>1</v>
      </c>
      <c r="S824" s="18">
        <f t="shared" si="25"/>
        <v>44621</v>
      </c>
    </row>
    <row r="825" spans="1:19" x14ac:dyDescent="0.25">
      <c r="A825" s="6" t="s">
        <v>2024</v>
      </c>
      <c r="B825" s="7" t="s">
        <v>348</v>
      </c>
      <c r="C825" s="15">
        <v>44945</v>
      </c>
      <c r="D825" s="7" t="s">
        <v>710</v>
      </c>
      <c r="E825" s="7" t="s">
        <v>744</v>
      </c>
      <c r="F825" s="7">
        <v>29.99</v>
      </c>
      <c r="G825" s="7">
        <v>1</v>
      </c>
      <c r="H825" s="7">
        <v>15</v>
      </c>
      <c r="I825" s="7">
        <v>25.49</v>
      </c>
      <c r="J825" s="7">
        <v>25.49</v>
      </c>
      <c r="K825" s="7" t="s">
        <v>655</v>
      </c>
      <c r="L825" s="7" t="s">
        <v>656</v>
      </c>
      <c r="M825" s="8"/>
      <c r="N825">
        <f>VLOOKUP(B825,Customers!A:J,7,0)</f>
        <v>32</v>
      </c>
      <c r="O825" t="str">
        <f>VLOOKUP(B825,Customers!A:J,5,0)</f>
        <v>Phoenix</v>
      </c>
      <c r="P825" t="str">
        <f>VLOOKUP(B825,Customers!A:J,10,0)</f>
        <v>Free</v>
      </c>
      <c r="Q825" t="str">
        <f>VLOOKUP(B825,Customers!A:J,8,0)</f>
        <v>Female</v>
      </c>
      <c r="R825" t="b">
        <f t="shared" si="24"/>
        <v>1</v>
      </c>
      <c r="S825" s="18">
        <f t="shared" si="25"/>
        <v>44927</v>
      </c>
    </row>
    <row r="826" spans="1:19" x14ac:dyDescent="0.25">
      <c r="A826" s="3" t="s">
        <v>2026</v>
      </c>
      <c r="B826" s="4" t="s">
        <v>348</v>
      </c>
      <c r="C826" s="14">
        <v>45224</v>
      </c>
      <c r="D826" s="4" t="s">
        <v>680</v>
      </c>
      <c r="E826" s="4" t="s">
        <v>749</v>
      </c>
      <c r="F826" s="4">
        <v>14.99</v>
      </c>
      <c r="G826" s="4">
        <v>4</v>
      </c>
      <c r="H826" s="4">
        <v>0</v>
      </c>
      <c r="I826" s="4">
        <v>14.99</v>
      </c>
      <c r="J826" s="4">
        <v>59.96</v>
      </c>
      <c r="K826" s="4" t="s">
        <v>669</v>
      </c>
      <c r="L826" s="4" t="s">
        <v>656</v>
      </c>
      <c r="M826" s="5">
        <v>5</v>
      </c>
      <c r="N826">
        <f>VLOOKUP(B826,Customers!A:J,7,0)</f>
        <v>32</v>
      </c>
      <c r="O826" t="str">
        <f>VLOOKUP(B826,Customers!A:J,5,0)</f>
        <v>Phoenix</v>
      </c>
      <c r="P826" t="str">
        <f>VLOOKUP(B826,Customers!A:J,10,0)</f>
        <v>Free</v>
      </c>
      <c r="Q826" t="str">
        <f>VLOOKUP(B826,Customers!A:J,8,0)</f>
        <v>Female</v>
      </c>
      <c r="R826" t="b">
        <f t="shared" si="24"/>
        <v>1</v>
      </c>
      <c r="S826" s="18">
        <f t="shared" si="25"/>
        <v>45200</v>
      </c>
    </row>
    <row r="827" spans="1:19" x14ac:dyDescent="0.25">
      <c r="A827" s="6" t="s">
        <v>2027</v>
      </c>
      <c r="B827" s="7" t="s">
        <v>351</v>
      </c>
      <c r="C827" s="15">
        <v>44750</v>
      </c>
      <c r="D827" s="7" t="s">
        <v>680</v>
      </c>
      <c r="E827" s="7" t="s">
        <v>708</v>
      </c>
      <c r="F827" s="7">
        <v>24.99</v>
      </c>
      <c r="G827" s="7">
        <v>2</v>
      </c>
      <c r="H827" s="7">
        <v>0</v>
      </c>
      <c r="I827" s="7">
        <v>24.99</v>
      </c>
      <c r="J827" s="7">
        <v>49.98</v>
      </c>
      <c r="K827" s="7" t="s">
        <v>669</v>
      </c>
      <c r="L827" s="7" t="s">
        <v>656</v>
      </c>
      <c r="M827" s="8">
        <v>5</v>
      </c>
      <c r="N827">
        <f>VLOOKUP(B827,Customers!A:J,7,0)</f>
        <v>58</v>
      </c>
      <c r="O827" t="str">
        <f>VLOOKUP(B827,Customers!A:J,5,0)</f>
        <v>San Jose</v>
      </c>
      <c r="P827" t="str">
        <f>VLOOKUP(B827,Customers!A:J,10,0)</f>
        <v>Free</v>
      </c>
      <c r="Q827" t="str">
        <f>VLOOKUP(B827,Customers!A:J,8,0)</f>
        <v>Female</v>
      </c>
      <c r="R827" t="b">
        <f t="shared" si="24"/>
        <v>1</v>
      </c>
      <c r="S827" s="18">
        <f t="shared" si="25"/>
        <v>44743</v>
      </c>
    </row>
    <row r="828" spans="1:19" x14ac:dyDescent="0.25">
      <c r="A828" s="3" t="s">
        <v>2028</v>
      </c>
      <c r="B828" s="4" t="s">
        <v>351</v>
      </c>
      <c r="C828" s="14">
        <v>44819</v>
      </c>
      <c r="D828" s="4" t="s">
        <v>667</v>
      </c>
      <c r="E828" s="4" t="s">
        <v>699</v>
      </c>
      <c r="F828" s="4">
        <v>89.99</v>
      </c>
      <c r="G828" s="4">
        <v>1</v>
      </c>
      <c r="H828" s="4">
        <v>10</v>
      </c>
      <c r="I828" s="4">
        <v>80.989999999999995</v>
      </c>
      <c r="J828" s="4">
        <v>80.989999999999995</v>
      </c>
      <c r="K828" s="4" t="s">
        <v>655</v>
      </c>
      <c r="L828" s="4" t="s">
        <v>656</v>
      </c>
      <c r="M828" s="5">
        <v>3</v>
      </c>
      <c r="N828">
        <f>VLOOKUP(B828,Customers!A:J,7,0)</f>
        <v>58</v>
      </c>
      <c r="O828" t="str">
        <f>VLOOKUP(B828,Customers!A:J,5,0)</f>
        <v>San Jose</v>
      </c>
      <c r="P828" t="str">
        <f>VLOOKUP(B828,Customers!A:J,10,0)</f>
        <v>Free</v>
      </c>
      <c r="Q828" t="str">
        <f>VLOOKUP(B828,Customers!A:J,8,0)</f>
        <v>Female</v>
      </c>
      <c r="R828" t="b">
        <f t="shared" si="24"/>
        <v>1</v>
      </c>
      <c r="S828" s="18">
        <f t="shared" si="25"/>
        <v>44805</v>
      </c>
    </row>
    <row r="829" spans="1:19" x14ac:dyDescent="0.25">
      <c r="A829" s="6" t="s">
        <v>2030</v>
      </c>
      <c r="B829" s="7" t="s">
        <v>351</v>
      </c>
      <c r="C829" s="15">
        <v>44842</v>
      </c>
      <c r="D829" s="7" t="s">
        <v>659</v>
      </c>
      <c r="E829" s="7" t="s">
        <v>660</v>
      </c>
      <c r="F829" s="7">
        <v>19.989999999999998</v>
      </c>
      <c r="G829" s="7">
        <v>1</v>
      </c>
      <c r="H829" s="7">
        <v>20</v>
      </c>
      <c r="I829" s="7">
        <v>15.99</v>
      </c>
      <c r="J829" s="7">
        <v>15.99</v>
      </c>
      <c r="K829" s="7" t="s">
        <v>661</v>
      </c>
      <c r="L829" s="7" t="s">
        <v>656</v>
      </c>
      <c r="M829" s="8">
        <v>5</v>
      </c>
      <c r="N829">
        <f>VLOOKUP(B829,Customers!A:J,7,0)</f>
        <v>58</v>
      </c>
      <c r="O829" t="str">
        <f>VLOOKUP(B829,Customers!A:J,5,0)</f>
        <v>San Jose</v>
      </c>
      <c r="P829" t="str">
        <f>VLOOKUP(B829,Customers!A:J,10,0)</f>
        <v>Free</v>
      </c>
      <c r="Q829" t="str">
        <f>VLOOKUP(B829,Customers!A:J,8,0)</f>
        <v>Female</v>
      </c>
      <c r="R829" t="b">
        <f t="shared" si="24"/>
        <v>1</v>
      </c>
      <c r="S829" s="18">
        <f t="shared" si="25"/>
        <v>44835</v>
      </c>
    </row>
    <row r="830" spans="1:19" x14ac:dyDescent="0.25">
      <c r="A830" s="3" t="s">
        <v>2031</v>
      </c>
      <c r="B830" s="4" t="s">
        <v>351</v>
      </c>
      <c r="C830" s="14">
        <v>45254</v>
      </c>
      <c r="D830" s="4" t="s">
        <v>667</v>
      </c>
      <c r="E830" s="4" t="s">
        <v>714</v>
      </c>
      <c r="F830" s="4">
        <v>44.99</v>
      </c>
      <c r="G830" s="4">
        <v>1</v>
      </c>
      <c r="H830" s="4">
        <v>10</v>
      </c>
      <c r="I830" s="4">
        <v>40.49</v>
      </c>
      <c r="J830" s="4">
        <v>40.49</v>
      </c>
      <c r="K830" s="4" t="s">
        <v>661</v>
      </c>
      <c r="L830" s="4" t="s">
        <v>656</v>
      </c>
      <c r="M830" s="5">
        <v>2</v>
      </c>
      <c r="N830">
        <f>VLOOKUP(B830,Customers!A:J,7,0)</f>
        <v>58</v>
      </c>
      <c r="O830" t="str">
        <f>VLOOKUP(B830,Customers!A:J,5,0)</f>
        <v>San Jose</v>
      </c>
      <c r="P830" t="str">
        <f>VLOOKUP(B830,Customers!A:J,10,0)</f>
        <v>Free</v>
      </c>
      <c r="Q830" t="str">
        <f>VLOOKUP(B830,Customers!A:J,8,0)</f>
        <v>Female</v>
      </c>
      <c r="R830" t="b">
        <f t="shared" si="24"/>
        <v>1</v>
      </c>
      <c r="S830" s="18">
        <f t="shared" si="25"/>
        <v>45231</v>
      </c>
    </row>
    <row r="831" spans="1:19" x14ac:dyDescent="0.25">
      <c r="A831" s="6" t="s">
        <v>2032</v>
      </c>
      <c r="B831" s="7" t="s">
        <v>351</v>
      </c>
      <c r="C831" s="15">
        <v>44616</v>
      </c>
      <c r="D831" s="7" t="s">
        <v>667</v>
      </c>
      <c r="E831" s="7" t="s">
        <v>696</v>
      </c>
      <c r="F831" s="7">
        <v>59.99</v>
      </c>
      <c r="G831" s="7">
        <v>1</v>
      </c>
      <c r="H831" s="7">
        <v>5</v>
      </c>
      <c r="I831" s="7">
        <v>56.99</v>
      </c>
      <c r="J831" s="7">
        <v>56.99</v>
      </c>
      <c r="K831" s="7" t="s">
        <v>655</v>
      </c>
      <c r="L831" s="7" t="s">
        <v>656</v>
      </c>
      <c r="M831" s="8">
        <v>3</v>
      </c>
      <c r="N831">
        <f>VLOOKUP(B831,Customers!A:J,7,0)</f>
        <v>58</v>
      </c>
      <c r="O831" t="str">
        <f>VLOOKUP(B831,Customers!A:J,5,0)</f>
        <v>San Jose</v>
      </c>
      <c r="P831" t="str">
        <f>VLOOKUP(B831,Customers!A:J,10,0)</f>
        <v>Free</v>
      </c>
      <c r="Q831" t="str">
        <f>VLOOKUP(B831,Customers!A:J,8,0)</f>
        <v>Female</v>
      </c>
      <c r="R831" t="b">
        <f t="shared" si="24"/>
        <v>1</v>
      </c>
      <c r="S831" s="18">
        <f t="shared" si="25"/>
        <v>44593</v>
      </c>
    </row>
    <row r="832" spans="1:19" x14ac:dyDescent="0.25">
      <c r="A832" s="3" t="s">
        <v>2033</v>
      </c>
      <c r="B832" s="4" t="s">
        <v>351</v>
      </c>
      <c r="C832" s="14">
        <v>44676</v>
      </c>
      <c r="D832" s="4" t="s">
        <v>680</v>
      </c>
      <c r="E832" s="4" t="s">
        <v>749</v>
      </c>
      <c r="F832" s="4">
        <v>14.99</v>
      </c>
      <c r="G832" s="4">
        <v>1</v>
      </c>
      <c r="H832" s="4">
        <v>5</v>
      </c>
      <c r="I832" s="4">
        <v>14.24</v>
      </c>
      <c r="J832" s="4">
        <v>14.24</v>
      </c>
      <c r="K832" s="4" t="s">
        <v>661</v>
      </c>
      <c r="L832" s="4" t="s">
        <v>656</v>
      </c>
      <c r="M832" s="5">
        <v>4</v>
      </c>
      <c r="N832">
        <f>VLOOKUP(B832,Customers!A:J,7,0)</f>
        <v>58</v>
      </c>
      <c r="O832" t="str">
        <f>VLOOKUP(B832,Customers!A:J,5,0)</f>
        <v>San Jose</v>
      </c>
      <c r="P832" t="str">
        <f>VLOOKUP(B832,Customers!A:J,10,0)</f>
        <v>Free</v>
      </c>
      <c r="Q832" t="str">
        <f>VLOOKUP(B832,Customers!A:J,8,0)</f>
        <v>Female</v>
      </c>
      <c r="R832" t="b">
        <f t="shared" si="24"/>
        <v>1</v>
      </c>
      <c r="S832" s="18">
        <f t="shared" si="25"/>
        <v>44652</v>
      </c>
    </row>
    <row r="833" spans="1:19" x14ac:dyDescent="0.25">
      <c r="A833" s="6" t="s">
        <v>2035</v>
      </c>
      <c r="B833" s="7" t="s">
        <v>351</v>
      </c>
      <c r="C833" s="15">
        <v>45305</v>
      </c>
      <c r="D833" s="7" t="s">
        <v>667</v>
      </c>
      <c r="E833" s="7" t="s">
        <v>668</v>
      </c>
      <c r="F833" s="7">
        <v>64.989999999999995</v>
      </c>
      <c r="G833" s="7">
        <v>2</v>
      </c>
      <c r="H833" s="7">
        <v>10</v>
      </c>
      <c r="I833" s="7">
        <v>58.49</v>
      </c>
      <c r="J833" s="7">
        <v>116.98</v>
      </c>
      <c r="K833" s="7" t="s">
        <v>669</v>
      </c>
      <c r="L833" s="7" t="s">
        <v>656</v>
      </c>
      <c r="M833" s="8">
        <v>4</v>
      </c>
      <c r="N833">
        <f>VLOOKUP(B833,Customers!A:J,7,0)</f>
        <v>58</v>
      </c>
      <c r="O833" t="str">
        <f>VLOOKUP(B833,Customers!A:J,5,0)</f>
        <v>San Jose</v>
      </c>
      <c r="P833" t="str">
        <f>VLOOKUP(B833,Customers!A:J,10,0)</f>
        <v>Free</v>
      </c>
      <c r="Q833" t="str">
        <f>VLOOKUP(B833,Customers!A:J,8,0)</f>
        <v>Female</v>
      </c>
      <c r="R833" t="b">
        <f t="shared" si="24"/>
        <v>1</v>
      </c>
      <c r="S833" s="18">
        <f t="shared" si="25"/>
        <v>45292</v>
      </c>
    </row>
    <row r="834" spans="1:19" x14ac:dyDescent="0.25">
      <c r="A834" s="3" t="s">
        <v>2036</v>
      </c>
      <c r="B834" s="4" t="s">
        <v>354</v>
      </c>
      <c r="C834" s="14">
        <v>45118</v>
      </c>
      <c r="D834" s="4" t="s">
        <v>684</v>
      </c>
      <c r="E834" s="4" t="s">
        <v>815</v>
      </c>
      <c r="F834" s="4">
        <v>34.99</v>
      </c>
      <c r="G834" s="4">
        <v>4</v>
      </c>
      <c r="H834" s="4">
        <v>0</v>
      </c>
      <c r="I834" s="4">
        <v>34.99</v>
      </c>
      <c r="J834" s="4">
        <v>139.96</v>
      </c>
      <c r="K834" s="4" t="s">
        <v>669</v>
      </c>
      <c r="L834" s="4" t="s">
        <v>656</v>
      </c>
      <c r="M834" s="5"/>
      <c r="N834">
        <f>VLOOKUP(B834,Customers!A:J,7,0)</f>
        <v>57</v>
      </c>
      <c r="O834" t="str">
        <f>VLOOKUP(B834,Customers!A:J,5,0)</f>
        <v>San Jose</v>
      </c>
      <c r="P834" t="str">
        <f>VLOOKUP(B834,Customers!A:J,10,0)</f>
        <v>Free</v>
      </c>
      <c r="Q834" t="str">
        <f>VLOOKUP(B834,Customers!A:J,8,0)</f>
        <v>Male</v>
      </c>
      <c r="R834" t="b">
        <f t="shared" si="24"/>
        <v>1</v>
      </c>
      <c r="S834" s="18">
        <f t="shared" si="25"/>
        <v>45108</v>
      </c>
    </row>
    <row r="835" spans="1:19" x14ac:dyDescent="0.25">
      <c r="A835" s="6" t="s">
        <v>2037</v>
      </c>
      <c r="B835" s="7" t="s">
        <v>354</v>
      </c>
      <c r="C835" s="15">
        <v>45008</v>
      </c>
      <c r="D835" s="7" t="s">
        <v>684</v>
      </c>
      <c r="E835" s="7" t="s">
        <v>685</v>
      </c>
      <c r="F835" s="7">
        <v>49.99</v>
      </c>
      <c r="G835" s="7">
        <v>2</v>
      </c>
      <c r="H835" s="7">
        <v>10</v>
      </c>
      <c r="I835" s="7">
        <v>44.99</v>
      </c>
      <c r="J835" s="7">
        <v>89.98</v>
      </c>
      <c r="K835" s="7" t="s">
        <v>669</v>
      </c>
      <c r="L835" s="7" t="s">
        <v>656</v>
      </c>
      <c r="M835" s="8">
        <v>2</v>
      </c>
      <c r="N835">
        <f>VLOOKUP(B835,Customers!A:J,7,0)</f>
        <v>57</v>
      </c>
      <c r="O835" t="str">
        <f>VLOOKUP(B835,Customers!A:J,5,0)</f>
        <v>San Jose</v>
      </c>
      <c r="P835" t="str">
        <f>VLOOKUP(B835,Customers!A:J,10,0)</f>
        <v>Free</v>
      </c>
      <c r="Q835" t="str">
        <f>VLOOKUP(B835,Customers!A:J,8,0)</f>
        <v>Male</v>
      </c>
      <c r="R835" t="b">
        <f t="shared" ref="R835:R898" si="26">ISNUMBER(C835)</f>
        <v>1</v>
      </c>
      <c r="S835" s="18">
        <f t="shared" ref="S835:S898" si="27">DATE(YEAR(C835),MONTH(C835),1)</f>
        <v>44986</v>
      </c>
    </row>
    <row r="836" spans="1:19" x14ac:dyDescent="0.25">
      <c r="A836" s="3" t="s">
        <v>2038</v>
      </c>
      <c r="B836" s="4" t="s">
        <v>354</v>
      </c>
      <c r="C836" s="14">
        <v>45270</v>
      </c>
      <c r="D836" s="4" t="s">
        <v>653</v>
      </c>
      <c r="E836" s="4" t="s">
        <v>654</v>
      </c>
      <c r="F836" s="4">
        <v>39.99</v>
      </c>
      <c r="G836" s="4">
        <v>4</v>
      </c>
      <c r="H836" s="4">
        <v>5</v>
      </c>
      <c r="I836" s="4">
        <v>37.99</v>
      </c>
      <c r="J836" s="4">
        <v>151.96</v>
      </c>
      <c r="K836" s="4" t="s">
        <v>661</v>
      </c>
      <c r="L836" s="4" t="s">
        <v>656</v>
      </c>
      <c r="M836" s="5"/>
      <c r="N836">
        <f>VLOOKUP(B836,Customers!A:J,7,0)</f>
        <v>57</v>
      </c>
      <c r="O836" t="str">
        <f>VLOOKUP(B836,Customers!A:J,5,0)</f>
        <v>San Jose</v>
      </c>
      <c r="P836" t="str">
        <f>VLOOKUP(B836,Customers!A:J,10,0)</f>
        <v>Free</v>
      </c>
      <c r="Q836" t="str">
        <f>VLOOKUP(B836,Customers!A:J,8,0)</f>
        <v>Male</v>
      </c>
      <c r="R836" t="b">
        <f t="shared" si="26"/>
        <v>1</v>
      </c>
      <c r="S836" s="18">
        <f t="shared" si="27"/>
        <v>45261</v>
      </c>
    </row>
    <row r="837" spans="1:19" x14ac:dyDescent="0.25">
      <c r="A837" s="6" t="s">
        <v>2040</v>
      </c>
      <c r="B837" s="7" t="s">
        <v>354</v>
      </c>
      <c r="C837" s="15">
        <v>44822</v>
      </c>
      <c r="D837" s="7" t="s">
        <v>684</v>
      </c>
      <c r="E837" s="7" t="s">
        <v>702</v>
      </c>
      <c r="F837" s="7">
        <v>199.99</v>
      </c>
      <c r="G837" s="7">
        <v>4</v>
      </c>
      <c r="H837" s="7">
        <v>0</v>
      </c>
      <c r="I837" s="7">
        <v>199.99</v>
      </c>
      <c r="J837" s="7">
        <v>799.96</v>
      </c>
      <c r="K837" s="7" t="s">
        <v>661</v>
      </c>
      <c r="L837" s="7" t="s">
        <v>656</v>
      </c>
      <c r="M837" s="8">
        <v>4</v>
      </c>
      <c r="N837">
        <f>VLOOKUP(B837,Customers!A:J,7,0)</f>
        <v>57</v>
      </c>
      <c r="O837" t="str">
        <f>VLOOKUP(B837,Customers!A:J,5,0)</f>
        <v>San Jose</v>
      </c>
      <c r="P837" t="str">
        <f>VLOOKUP(B837,Customers!A:J,10,0)</f>
        <v>Free</v>
      </c>
      <c r="Q837" t="str">
        <f>VLOOKUP(B837,Customers!A:J,8,0)</f>
        <v>Male</v>
      </c>
      <c r="R837" t="b">
        <f t="shared" si="26"/>
        <v>1</v>
      </c>
      <c r="S837" s="18">
        <f t="shared" si="27"/>
        <v>44805</v>
      </c>
    </row>
    <row r="838" spans="1:19" x14ac:dyDescent="0.25">
      <c r="A838" s="3" t="s">
        <v>2041</v>
      </c>
      <c r="B838" s="4" t="s">
        <v>354</v>
      </c>
      <c r="C838" s="14">
        <v>45375</v>
      </c>
      <c r="D838" s="4" t="s">
        <v>680</v>
      </c>
      <c r="E838" s="4" t="s">
        <v>688</v>
      </c>
      <c r="F838" s="4">
        <v>29.99</v>
      </c>
      <c r="G838" s="4">
        <v>1</v>
      </c>
      <c r="H838" s="4">
        <v>15</v>
      </c>
      <c r="I838" s="4">
        <v>25.49</v>
      </c>
      <c r="J838" s="4">
        <v>25.49</v>
      </c>
      <c r="K838" s="4" t="s">
        <v>682</v>
      </c>
      <c r="L838" s="4" t="s">
        <v>739</v>
      </c>
      <c r="M838" s="5">
        <v>2</v>
      </c>
      <c r="N838">
        <f>VLOOKUP(B838,Customers!A:J,7,0)</f>
        <v>57</v>
      </c>
      <c r="O838" t="str">
        <f>VLOOKUP(B838,Customers!A:J,5,0)</f>
        <v>San Jose</v>
      </c>
      <c r="P838" t="str">
        <f>VLOOKUP(B838,Customers!A:J,10,0)</f>
        <v>Free</v>
      </c>
      <c r="Q838" t="str">
        <f>VLOOKUP(B838,Customers!A:J,8,0)</f>
        <v>Male</v>
      </c>
      <c r="R838" t="b">
        <f t="shared" si="26"/>
        <v>1</v>
      </c>
      <c r="S838" s="18">
        <f t="shared" si="27"/>
        <v>45352</v>
      </c>
    </row>
    <row r="839" spans="1:19" x14ac:dyDescent="0.25">
      <c r="A839" s="6" t="s">
        <v>2043</v>
      </c>
      <c r="B839" s="7" t="s">
        <v>354</v>
      </c>
      <c r="C839" s="15">
        <v>44700</v>
      </c>
      <c r="D839" s="7" t="s">
        <v>710</v>
      </c>
      <c r="E839" s="7" t="s">
        <v>711</v>
      </c>
      <c r="F839" s="7">
        <v>14.99</v>
      </c>
      <c r="G839" s="7">
        <v>1</v>
      </c>
      <c r="H839" s="7">
        <v>10</v>
      </c>
      <c r="I839" s="7">
        <v>13.49</v>
      </c>
      <c r="J839" s="7">
        <v>13.49</v>
      </c>
      <c r="K839" s="7" t="s">
        <v>655</v>
      </c>
      <c r="L839" s="7" t="s">
        <v>788</v>
      </c>
      <c r="M839" s="8">
        <v>4</v>
      </c>
      <c r="N839">
        <f>VLOOKUP(B839,Customers!A:J,7,0)</f>
        <v>57</v>
      </c>
      <c r="O839" t="str">
        <f>VLOOKUP(B839,Customers!A:J,5,0)</f>
        <v>San Jose</v>
      </c>
      <c r="P839" t="str">
        <f>VLOOKUP(B839,Customers!A:J,10,0)</f>
        <v>Free</v>
      </c>
      <c r="Q839" t="str">
        <f>VLOOKUP(B839,Customers!A:J,8,0)</f>
        <v>Male</v>
      </c>
      <c r="R839" t="b">
        <f t="shared" si="26"/>
        <v>1</v>
      </c>
      <c r="S839" s="18">
        <f t="shared" si="27"/>
        <v>44682</v>
      </c>
    </row>
    <row r="840" spans="1:19" x14ac:dyDescent="0.25">
      <c r="A840" s="3" t="s">
        <v>2044</v>
      </c>
      <c r="B840" s="4" t="s">
        <v>354</v>
      </c>
      <c r="C840" s="14">
        <v>45652</v>
      </c>
      <c r="D840" s="4" t="s">
        <v>680</v>
      </c>
      <c r="E840" s="4" t="s">
        <v>749</v>
      </c>
      <c r="F840" s="4">
        <v>14.99</v>
      </c>
      <c r="G840" s="4">
        <v>4</v>
      </c>
      <c r="H840" s="4">
        <v>20</v>
      </c>
      <c r="I840" s="4">
        <v>11.99</v>
      </c>
      <c r="J840" s="4">
        <v>47.96</v>
      </c>
      <c r="K840" s="4" t="s">
        <v>669</v>
      </c>
      <c r="L840" s="4" t="s">
        <v>656</v>
      </c>
      <c r="M840" s="5">
        <v>3</v>
      </c>
      <c r="N840">
        <f>VLOOKUP(B840,Customers!A:J,7,0)</f>
        <v>57</v>
      </c>
      <c r="O840" t="str">
        <f>VLOOKUP(B840,Customers!A:J,5,0)</f>
        <v>San Jose</v>
      </c>
      <c r="P840" t="str">
        <f>VLOOKUP(B840,Customers!A:J,10,0)</f>
        <v>Free</v>
      </c>
      <c r="Q840" t="str">
        <f>VLOOKUP(B840,Customers!A:J,8,0)</f>
        <v>Male</v>
      </c>
      <c r="R840" t="b">
        <f t="shared" si="26"/>
        <v>1</v>
      </c>
      <c r="S840" s="18">
        <f t="shared" si="27"/>
        <v>45627</v>
      </c>
    </row>
    <row r="841" spans="1:19" x14ac:dyDescent="0.25">
      <c r="A841" s="6" t="s">
        <v>2046</v>
      </c>
      <c r="B841" s="7" t="s">
        <v>354</v>
      </c>
      <c r="C841" s="15">
        <v>44998</v>
      </c>
      <c r="D841" s="7" t="s">
        <v>710</v>
      </c>
      <c r="E841" s="7" t="s">
        <v>721</v>
      </c>
      <c r="F841" s="7">
        <v>24.99</v>
      </c>
      <c r="G841" s="7">
        <v>4</v>
      </c>
      <c r="H841" s="7">
        <v>0</v>
      </c>
      <c r="I841" s="7">
        <v>24.99</v>
      </c>
      <c r="J841" s="7">
        <v>99.96</v>
      </c>
      <c r="K841" s="7" t="s">
        <v>669</v>
      </c>
      <c r="L841" s="7" t="s">
        <v>656</v>
      </c>
      <c r="M841" s="8">
        <v>5</v>
      </c>
      <c r="N841">
        <f>VLOOKUP(B841,Customers!A:J,7,0)</f>
        <v>57</v>
      </c>
      <c r="O841" t="str">
        <f>VLOOKUP(B841,Customers!A:J,5,0)</f>
        <v>San Jose</v>
      </c>
      <c r="P841" t="str">
        <f>VLOOKUP(B841,Customers!A:J,10,0)</f>
        <v>Free</v>
      </c>
      <c r="Q841" t="str">
        <f>VLOOKUP(B841,Customers!A:J,8,0)</f>
        <v>Male</v>
      </c>
      <c r="R841" t="b">
        <f t="shared" si="26"/>
        <v>1</v>
      </c>
      <c r="S841" s="18">
        <f t="shared" si="27"/>
        <v>44986</v>
      </c>
    </row>
    <row r="842" spans="1:19" x14ac:dyDescent="0.25">
      <c r="A842" s="3" t="s">
        <v>2047</v>
      </c>
      <c r="B842" s="4" t="s">
        <v>354</v>
      </c>
      <c r="C842" s="14">
        <v>45155</v>
      </c>
      <c r="D842" s="4" t="s">
        <v>710</v>
      </c>
      <c r="E842" s="4" t="s">
        <v>744</v>
      </c>
      <c r="F842" s="4">
        <v>29.99</v>
      </c>
      <c r="G842" s="4">
        <v>3</v>
      </c>
      <c r="H842" s="4">
        <v>0</v>
      </c>
      <c r="I842" s="4">
        <v>29.99</v>
      </c>
      <c r="J842" s="4">
        <v>89.97</v>
      </c>
      <c r="K842" s="4" t="s">
        <v>655</v>
      </c>
      <c r="L842" s="4" t="s">
        <v>656</v>
      </c>
      <c r="M842" s="5">
        <v>5</v>
      </c>
      <c r="N842">
        <f>VLOOKUP(B842,Customers!A:J,7,0)</f>
        <v>57</v>
      </c>
      <c r="O842" t="str">
        <f>VLOOKUP(B842,Customers!A:J,5,0)</f>
        <v>San Jose</v>
      </c>
      <c r="P842" t="str">
        <f>VLOOKUP(B842,Customers!A:J,10,0)</f>
        <v>Free</v>
      </c>
      <c r="Q842" t="str">
        <f>VLOOKUP(B842,Customers!A:J,8,0)</f>
        <v>Male</v>
      </c>
      <c r="R842" t="b">
        <f t="shared" si="26"/>
        <v>1</v>
      </c>
      <c r="S842" s="18">
        <f t="shared" si="27"/>
        <v>45139</v>
      </c>
    </row>
    <row r="843" spans="1:19" x14ac:dyDescent="0.25">
      <c r="A843" s="6" t="s">
        <v>2048</v>
      </c>
      <c r="B843" s="7" t="s">
        <v>354</v>
      </c>
      <c r="C843" s="15">
        <v>45031</v>
      </c>
      <c r="D843" s="7" t="s">
        <v>684</v>
      </c>
      <c r="E843" s="7" t="s">
        <v>815</v>
      </c>
      <c r="F843" s="7">
        <v>34.99</v>
      </c>
      <c r="G843" s="7">
        <v>3</v>
      </c>
      <c r="H843" s="7">
        <v>0</v>
      </c>
      <c r="I843" s="7">
        <v>34.99</v>
      </c>
      <c r="J843" s="7">
        <v>104.97</v>
      </c>
      <c r="K843" s="7" t="s">
        <v>682</v>
      </c>
      <c r="L843" s="7" t="s">
        <v>656</v>
      </c>
      <c r="M843" s="8"/>
      <c r="N843">
        <f>VLOOKUP(B843,Customers!A:J,7,0)</f>
        <v>57</v>
      </c>
      <c r="O843" t="str">
        <f>VLOOKUP(B843,Customers!A:J,5,0)</f>
        <v>San Jose</v>
      </c>
      <c r="P843" t="str">
        <f>VLOOKUP(B843,Customers!A:J,10,0)</f>
        <v>Free</v>
      </c>
      <c r="Q843" t="str">
        <f>VLOOKUP(B843,Customers!A:J,8,0)</f>
        <v>Male</v>
      </c>
      <c r="R843" t="b">
        <f t="shared" si="26"/>
        <v>1</v>
      </c>
      <c r="S843" s="18">
        <f t="shared" si="27"/>
        <v>45017</v>
      </c>
    </row>
    <row r="844" spans="1:19" x14ac:dyDescent="0.25">
      <c r="A844" s="3" t="s">
        <v>2049</v>
      </c>
      <c r="B844" s="4" t="s">
        <v>354</v>
      </c>
      <c r="C844" s="14">
        <v>44607</v>
      </c>
      <c r="D844" s="4" t="s">
        <v>653</v>
      </c>
      <c r="E844" s="4" t="s">
        <v>654</v>
      </c>
      <c r="F844" s="4">
        <v>39.99</v>
      </c>
      <c r="G844" s="4">
        <v>3</v>
      </c>
      <c r="H844" s="4">
        <v>20</v>
      </c>
      <c r="I844" s="4">
        <v>31.99</v>
      </c>
      <c r="J844" s="4">
        <v>95.97</v>
      </c>
      <c r="K844" s="4" t="s">
        <v>661</v>
      </c>
      <c r="L844" s="4" t="s">
        <v>656</v>
      </c>
      <c r="M844" s="5">
        <v>4</v>
      </c>
      <c r="N844">
        <f>VLOOKUP(B844,Customers!A:J,7,0)</f>
        <v>57</v>
      </c>
      <c r="O844" t="str">
        <f>VLOOKUP(B844,Customers!A:J,5,0)</f>
        <v>San Jose</v>
      </c>
      <c r="P844" t="str">
        <f>VLOOKUP(B844,Customers!A:J,10,0)</f>
        <v>Free</v>
      </c>
      <c r="Q844" t="str">
        <f>VLOOKUP(B844,Customers!A:J,8,0)</f>
        <v>Male</v>
      </c>
      <c r="R844" t="b">
        <f t="shared" si="26"/>
        <v>1</v>
      </c>
      <c r="S844" s="18">
        <f t="shared" si="27"/>
        <v>44593</v>
      </c>
    </row>
    <row r="845" spans="1:19" x14ac:dyDescent="0.25">
      <c r="A845" s="6" t="s">
        <v>2050</v>
      </c>
      <c r="B845" s="7" t="s">
        <v>354</v>
      </c>
      <c r="C845" s="15">
        <v>44762</v>
      </c>
      <c r="D845" s="7" t="s">
        <v>710</v>
      </c>
      <c r="E845" s="7" t="s">
        <v>721</v>
      </c>
      <c r="F845" s="7">
        <v>24.99</v>
      </c>
      <c r="G845" s="7">
        <v>2</v>
      </c>
      <c r="H845" s="7">
        <v>0</v>
      </c>
      <c r="I845" s="7">
        <v>24.99</v>
      </c>
      <c r="J845" s="7">
        <v>49.98</v>
      </c>
      <c r="K845" s="7" t="s">
        <v>661</v>
      </c>
      <c r="L845" s="7" t="s">
        <v>656</v>
      </c>
      <c r="M845" s="8">
        <v>3</v>
      </c>
      <c r="N845">
        <f>VLOOKUP(B845,Customers!A:J,7,0)</f>
        <v>57</v>
      </c>
      <c r="O845" t="str">
        <f>VLOOKUP(B845,Customers!A:J,5,0)</f>
        <v>San Jose</v>
      </c>
      <c r="P845" t="str">
        <f>VLOOKUP(B845,Customers!A:J,10,0)</f>
        <v>Free</v>
      </c>
      <c r="Q845" t="str">
        <f>VLOOKUP(B845,Customers!A:J,8,0)</f>
        <v>Male</v>
      </c>
      <c r="R845" t="b">
        <f t="shared" si="26"/>
        <v>1</v>
      </c>
      <c r="S845" s="18">
        <f t="shared" si="27"/>
        <v>44743</v>
      </c>
    </row>
    <row r="846" spans="1:19" x14ac:dyDescent="0.25">
      <c r="A846" s="3" t="s">
        <v>2052</v>
      </c>
      <c r="B846" s="4" t="s">
        <v>354</v>
      </c>
      <c r="C846" s="14">
        <v>45209</v>
      </c>
      <c r="D846" s="4" t="s">
        <v>672</v>
      </c>
      <c r="E846" s="4" t="s">
        <v>673</v>
      </c>
      <c r="F846" s="4">
        <v>24.99</v>
      </c>
      <c r="G846" s="4">
        <v>2</v>
      </c>
      <c r="H846" s="4">
        <v>5</v>
      </c>
      <c r="I846" s="4">
        <v>23.74</v>
      </c>
      <c r="J846" s="4">
        <v>47.48</v>
      </c>
      <c r="K846" s="4" t="s">
        <v>675</v>
      </c>
      <c r="L846" s="4" t="s">
        <v>656</v>
      </c>
      <c r="M846" s="5"/>
      <c r="N846">
        <f>VLOOKUP(B846,Customers!A:J,7,0)</f>
        <v>57</v>
      </c>
      <c r="O846" t="str">
        <f>VLOOKUP(B846,Customers!A:J,5,0)</f>
        <v>San Jose</v>
      </c>
      <c r="P846" t="str">
        <f>VLOOKUP(B846,Customers!A:J,10,0)</f>
        <v>Free</v>
      </c>
      <c r="Q846" t="str">
        <f>VLOOKUP(B846,Customers!A:J,8,0)</f>
        <v>Male</v>
      </c>
      <c r="R846" t="b">
        <f t="shared" si="26"/>
        <v>1</v>
      </c>
      <c r="S846" s="18">
        <f t="shared" si="27"/>
        <v>45200</v>
      </c>
    </row>
    <row r="847" spans="1:19" x14ac:dyDescent="0.25">
      <c r="A847" s="6" t="s">
        <v>2053</v>
      </c>
      <c r="B847" s="7" t="s">
        <v>354</v>
      </c>
      <c r="C847" s="15">
        <v>45006</v>
      </c>
      <c r="D847" s="7" t="s">
        <v>710</v>
      </c>
      <c r="E847" s="7" t="s">
        <v>730</v>
      </c>
      <c r="F847" s="7">
        <v>39.99</v>
      </c>
      <c r="G847" s="7">
        <v>1</v>
      </c>
      <c r="H847" s="7">
        <v>20</v>
      </c>
      <c r="I847" s="7">
        <v>31.99</v>
      </c>
      <c r="J847" s="7">
        <v>31.99</v>
      </c>
      <c r="K847" s="7" t="s">
        <v>669</v>
      </c>
      <c r="L847" s="7" t="s">
        <v>656</v>
      </c>
      <c r="M847" s="8">
        <v>5</v>
      </c>
      <c r="N847">
        <f>VLOOKUP(B847,Customers!A:J,7,0)</f>
        <v>57</v>
      </c>
      <c r="O847" t="str">
        <f>VLOOKUP(B847,Customers!A:J,5,0)</f>
        <v>San Jose</v>
      </c>
      <c r="P847" t="str">
        <f>VLOOKUP(B847,Customers!A:J,10,0)</f>
        <v>Free</v>
      </c>
      <c r="Q847" t="str">
        <f>VLOOKUP(B847,Customers!A:J,8,0)</f>
        <v>Male</v>
      </c>
      <c r="R847" t="b">
        <f t="shared" si="26"/>
        <v>1</v>
      </c>
      <c r="S847" s="18">
        <f t="shared" si="27"/>
        <v>44986</v>
      </c>
    </row>
    <row r="848" spans="1:19" x14ac:dyDescent="0.25">
      <c r="A848" s="3" t="s">
        <v>2054</v>
      </c>
      <c r="B848" s="4" t="s">
        <v>354</v>
      </c>
      <c r="C848" s="14">
        <v>45402</v>
      </c>
      <c r="D848" s="4" t="s">
        <v>680</v>
      </c>
      <c r="E848" s="4" t="s">
        <v>688</v>
      </c>
      <c r="F848" s="4">
        <v>29.99</v>
      </c>
      <c r="G848" s="4">
        <v>3</v>
      </c>
      <c r="H848" s="4">
        <v>0</v>
      </c>
      <c r="I848" s="4">
        <v>29.99</v>
      </c>
      <c r="J848" s="4">
        <v>89.97</v>
      </c>
      <c r="K848" s="4" t="s">
        <v>669</v>
      </c>
      <c r="L848" s="4" t="s">
        <v>656</v>
      </c>
      <c r="M848" s="5">
        <v>2</v>
      </c>
      <c r="N848">
        <f>VLOOKUP(B848,Customers!A:J,7,0)</f>
        <v>57</v>
      </c>
      <c r="O848" t="str">
        <f>VLOOKUP(B848,Customers!A:J,5,0)</f>
        <v>San Jose</v>
      </c>
      <c r="P848" t="str">
        <f>VLOOKUP(B848,Customers!A:J,10,0)</f>
        <v>Free</v>
      </c>
      <c r="Q848" t="str">
        <f>VLOOKUP(B848,Customers!A:J,8,0)</f>
        <v>Male</v>
      </c>
      <c r="R848" t="b">
        <f t="shared" si="26"/>
        <v>1</v>
      </c>
      <c r="S848" s="18">
        <f t="shared" si="27"/>
        <v>45383</v>
      </c>
    </row>
    <row r="849" spans="1:19" x14ac:dyDescent="0.25">
      <c r="A849" s="6" t="s">
        <v>2055</v>
      </c>
      <c r="B849" s="7" t="s">
        <v>357</v>
      </c>
      <c r="C849" s="15">
        <v>44676</v>
      </c>
      <c r="D849" s="7" t="s">
        <v>667</v>
      </c>
      <c r="E849" s="7" t="s">
        <v>699</v>
      </c>
      <c r="F849" s="7">
        <v>89.99</v>
      </c>
      <c r="G849" s="7">
        <v>3</v>
      </c>
      <c r="H849" s="7">
        <v>5</v>
      </c>
      <c r="I849" s="7">
        <v>85.49</v>
      </c>
      <c r="J849" s="7">
        <v>256.47000000000003</v>
      </c>
      <c r="K849" s="7" t="s">
        <v>682</v>
      </c>
      <c r="L849" s="7" t="s">
        <v>656</v>
      </c>
      <c r="M849" s="8">
        <v>1</v>
      </c>
      <c r="N849">
        <f>VLOOKUP(B849,Customers!A:J,7,0)</f>
        <v>47</v>
      </c>
      <c r="O849" t="str">
        <f>VLOOKUP(B849,Customers!A:J,5,0)</f>
        <v>Chicago</v>
      </c>
      <c r="P849" t="str">
        <f>VLOOKUP(B849,Customers!A:J,10,0)</f>
        <v>Free</v>
      </c>
      <c r="Q849" t="str">
        <f>VLOOKUP(B849,Customers!A:J,8,0)</f>
        <v>Female</v>
      </c>
      <c r="R849" t="b">
        <f t="shared" si="26"/>
        <v>1</v>
      </c>
      <c r="S849" s="18">
        <f t="shared" si="27"/>
        <v>44652</v>
      </c>
    </row>
    <row r="850" spans="1:19" x14ac:dyDescent="0.25">
      <c r="A850" s="3" t="s">
        <v>2056</v>
      </c>
      <c r="B850" s="4" t="s">
        <v>360</v>
      </c>
      <c r="C850" s="14">
        <v>44814</v>
      </c>
      <c r="D850" s="4" t="s">
        <v>653</v>
      </c>
      <c r="E850" s="4" t="s">
        <v>654</v>
      </c>
      <c r="F850" s="4">
        <v>39.99</v>
      </c>
      <c r="G850" s="4">
        <v>4</v>
      </c>
      <c r="H850" s="4">
        <v>10</v>
      </c>
      <c r="I850" s="4">
        <v>35.99</v>
      </c>
      <c r="J850" s="4">
        <v>143.96</v>
      </c>
      <c r="K850" s="4" t="s">
        <v>669</v>
      </c>
      <c r="L850" s="4" t="s">
        <v>656</v>
      </c>
      <c r="M850" s="5">
        <v>4</v>
      </c>
      <c r="N850">
        <f>VLOOKUP(B850,Customers!A:J,7,0)</f>
        <v>59</v>
      </c>
      <c r="O850" t="str">
        <f>VLOOKUP(B850,Customers!A:J,5,0)</f>
        <v>San Jose</v>
      </c>
      <c r="P850" t="str">
        <f>VLOOKUP(B850,Customers!A:J,10,0)</f>
        <v>Free</v>
      </c>
      <c r="Q850" t="str">
        <f>VLOOKUP(B850,Customers!A:J,8,0)</f>
        <v>Female</v>
      </c>
      <c r="R850" t="b">
        <f t="shared" si="26"/>
        <v>1</v>
      </c>
      <c r="S850" s="18">
        <f t="shared" si="27"/>
        <v>44805</v>
      </c>
    </row>
    <row r="851" spans="1:19" x14ac:dyDescent="0.25">
      <c r="A851" s="6" t="s">
        <v>2057</v>
      </c>
      <c r="B851" s="7" t="s">
        <v>360</v>
      </c>
      <c r="C851" s="15">
        <v>44747</v>
      </c>
      <c r="D851" s="7" t="s">
        <v>680</v>
      </c>
      <c r="E851" s="7" t="s">
        <v>681</v>
      </c>
      <c r="F851" s="7">
        <v>19.989999999999998</v>
      </c>
      <c r="G851" s="7">
        <v>1</v>
      </c>
      <c r="H851" s="7">
        <v>0</v>
      </c>
      <c r="I851" s="7">
        <v>19.989999999999998</v>
      </c>
      <c r="J851" s="7">
        <v>19.989999999999998</v>
      </c>
      <c r="K851" s="7" t="s">
        <v>675</v>
      </c>
      <c r="L851" s="7" t="s">
        <v>656</v>
      </c>
      <c r="M851" s="8">
        <v>2</v>
      </c>
      <c r="N851">
        <f>VLOOKUP(B851,Customers!A:J,7,0)</f>
        <v>59</v>
      </c>
      <c r="O851" t="str">
        <f>VLOOKUP(B851,Customers!A:J,5,0)</f>
        <v>San Jose</v>
      </c>
      <c r="P851" t="str">
        <f>VLOOKUP(B851,Customers!A:J,10,0)</f>
        <v>Free</v>
      </c>
      <c r="Q851" t="str">
        <f>VLOOKUP(B851,Customers!A:J,8,0)</f>
        <v>Female</v>
      </c>
      <c r="R851" t="b">
        <f t="shared" si="26"/>
        <v>1</v>
      </c>
      <c r="S851" s="18">
        <f t="shared" si="27"/>
        <v>44743</v>
      </c>
    </row>
    <row r="852" spans="1:19" x14ac:dyDescent="0.25">
      <c r="A852" s="3" t="s">
        <v>2058</v>
      </c>
      <c r="B852" s="4" t="s">
        <v>360</v>
      </c>
      <c r="C852" s="14">
        <v>45220</v>
      </c>
      <c r="D852" s="4" t="s">
        <v>710</v>
      </c>
      <c r="E852" s="4" t="s">
        <v>721</v>
      </c>
      <c r="F852" s="4">
        <v>24.99</v>
      </c>
      <c r="G852" s="4">
        <v>1</v>
      </c>
      <c r="H852" s="4">
        <v>20</v>
      </c>
      <c r="I852" s="4">
        <v>19.989999999999998</v>
      </c>
      <c r="J852" s="4">
        <v>19.989999999999998</v>
      </c>
      <c r="K852" s="4" t="s">
        <v>682</v>
      </c>
      <c r="L852" s="4" t="s">
        <v>788</v>
      </c>
      <c r="M852" s="5"/>
      <c r="N852">
        <f>VLOOKUP(B852,Customers!A:J,7,0)</f>
        <v>59</v>
      </c>
      <c r="O852" t="str">
        <f>VLOOKUP(B852,Customers!A:J,5,0)</f>
        <v>San Jose</v>
      </c>
      <c r="P852" t="str">
        <f>VLOOKUP(B852,Customers!A:J,10,0)</f>
        <v>Free</v>
      </c>
      <c r="Q852" t="str">
        <f>VLOOKUP(B852,Customers!A:J,8,0)</f>
        <v>Female</v>
      </c>
      <c r="R852" t="b">
        <f t="shared" si="26"/>
        <v>1</v>
      </c>
      <c r="S852" s="18">
        <f t="shared" si="27"/>
        <v>45200</v>
      </c>
    </row>
    <row r="853" spans="1:19" x14ac:dyDescent="0.25">
      <c r="A853" s="6" t="s">
        <v>2059</v>
      </c>
      <c r="B853" s="7" t="s">
        <v>360</v>
      </c>
      <c r="C853" s="15">
        <v>44580</v>
      </c>
      <c r="D853" s="7" t="s">
        <v>659</v>
      </c>
      <c r="E853" s="7" t="s">
        <v>762</v>
      </c>
      <c r="F853" s="7">
        <v>49.99</v>
      </c>
      <c r="G853" s="7">
        <v>4</v>
      </c>
      <c r="H853" s="7">
        <v>15</v>
      </c>
      <c r="I853" s="7">
        <v>42.49</v>
      </c>
      <c r="J853" s="7">
        <v>169.96</v>
      </c>
      <c r="K853" s="7" t="s">
        <v>661</v>
      </c>
      <c r="L853" s="7" t="s">
        <v>656</v>
      </c>
      <c r="M853" s="8">
        <v>5</v>
      </c>
      <c r="N853">
        <f>VLOOKUP(B853,Customers!A:J,7,0)</f>
        <v>59</v>
      </c>
      <c r="O853" t="str">
        <f>VLOOKUP(B853,Customers!A:J,5,0)</f>
        <v>San Jose</v>
      </c>
      <c r="P853" t="str">
        <f>VLOOKUP(B853,Customers!A:J,10,0)</f>
        <v>Free</v>
      </c>
      <c r="Q853" t="str">
        <f>VLOOKUP(B853,Customers!A:J,8,0)</f>
        <v>Female</v>
      </c>
      <c r="R853" t="b">
        <f t="shared" si="26"/>
        <v>1</v>
      </c>
      <c r="S853" s="18">
        <f t="shared" si="27"/>
        <v>44562</v>
      </c>
    </row>
    <row r="854" spans="1:19" x14ac:dyDescent="0.25">
      <c r="A854" s="3" t="s">
        <v>2061</v>
      </c>
      <c r="B854" s="4" t="s">
        <v>360</v>
      </c>
      <c r="C854" s="14">
        <v>44903</v>
      </c>
      <c r="D854" s="4" t="s">
        <v>653</v>
      </c>
      <c r="E854" s="4" t="s">
        <v>769</v>
      </c>
      <c r="F854" s="4">
        <v>49.99</v>
      </c>
      <c r="G854" s="4">
        <v>4</v>
      </c>
      <c r="H854" s="4">
        <v>0</v>
      </c>
      <c r="I854" s="4">
        <v>49.99</v>
      </c>
      <c r="J854" s="4">
        <v>199.96</v>
      </c>
      <c r="K854" s="4" t="s">
        <v>669</v>
      </c>
      <c r="L854" s="4" t="s">
        <v>656</v>
      </c>
      <c r="M854" s="5">
        <v>3</v>
      </c>
      <c r="N854">
        <f>VLOOKUP(B854,Customers!A:J,7,0)</f>
        <v>59</v>
      </c>
      <c r="O854" t="str">
        <f>VLOOKUP(B854,Customers!A:J,5,0)</f>
        <v>San Jose</v>
      </c>
      <c r="P854" t="str">
        <f>VLOOKUP(B854,Customers!A:J,10,0)</f>
        <v>Free</v>
      </c>
      <c r="Q854" t="str">
        <f>VLOOKUP(B854,Customers!A:J,8,0)</f>
        <v>Female</v>
      </c>
      <c r="R854" t="b">
        <f t="shared" si="26"/>
        <v>1</v>
      </c>
      <c r="S854" s="18">
        <f t="shared" si="27"/>
        <v>44896</v>
      </c>
    </row>
    <row r="855" spans="1:19" x14ac:dyDescent="0.25">
      <c r="A855" s="6" t="s">
        <v>2062</v>
      </c>
      <c r="B855" s="7" t="s">
        <v>360</v>
      </c>
      <c r="C855" s="15">
        <v>45308</v>
      </c>
      <c r="D855" s="7" t="s">
        <v>653</v>
      </c>
      <c r="E855" s="7" t="s">
        <v>827</v>
      </c>
      <c r="F855" s="7">
        <v>29.99</v>
      </c>
      <c r="G855" s="7">
        <v>2</v>
      </c>
      <c r="H855" s="7">
        <v>0</v>
      </c>
      <c r="I855" s="7">
        <v>29.99</v>
      </c>
      <c r="J855" s="7">
        <v>59.98</v>
      </c>
      <c r="K855" s="7" t="s">
        <v>675</v>
      </c>
      <c r="L855" s="7" t="s">
        <v>656</v>
      </c>
      <c r="M855" s="8"/>
      <c r="N855">
        <f>VLOOKUP(B855,Customers!A:J,7,0)</f>
        <v>59</v>
      </c>
      <c r="O855" t="str">
        <f>VLOOKUP(B855,Customers!A:J,5,0)</f>
        <v>San Jose</v>
      </c>
      <c r="P855" t="str">
        <f>VLOOKUP(B855,Customers!A:J,10,0)</f>
        <v>Free</v>
      </c>
      <c r="Q855" t="str">
        <f>VLOOKUP(B855,Customers!A:J,8,0)</f>
        <v>Female</v>
      </c>
      <c r="R855" t="b">
        <f t="shared" si="26"/>
        <v>1</v>
      </c>
      <c r="S855" s="18">
        <f t="shared" si="27"/>
        <v>45292</v>
      </c>
    </row>
    <row r="856" spans="1:19" x14ac:dyDescent="0.25">
      <c r="A856" s="3" t="s">
        <v>2064</v>
      </c>
      <c r="B856" s="4" t="s">
        <v>363</v>
      </c>
      <c r="C856" s="14">
        <v>45624</v>
      </c>
      <c r="D856" s="4" t="s">
        <v>659</v>
      </c>
      <c r="E856" s="4" t="s">
        <v>762</v>
      </c>
      <c r="F856" s="4">
        <v>49.99</v>
      </c>
      <c r="G856" s="4">
        <v>1</v>
      </c>
      <c r="H856" s="4">
        <v>20</v>
      </c>
      <c r="I856" s="4">
        <v>39.99</v>
      </c>
      <c r="J856" s="4">
        <v>39.99</v>
      </c>
      <c r="K856" s="4" t="s">
        <v>669</v>
      </c>
      <c r="L856" s="4" t="s">
        <v>656</v>
      </c>
      <c r="M856" s="5"/>
      <c r="N856">
        <f>VLOOKUP(B856,Customers!A:J,7,0)</f>
        <v>53</v>
      </c>
      <c r="O856" t="str">
        <f>VLOOKUP(B856,Customers!A:J,5,0)</f>
        <v>Austin</v>
      </c>
      <c r="P856" t="str">
        <f>VLOOKUP(B856,Customers!A:J,10,0)</f>
        <v>Free</v>
      </c>
      <c r="Q856" t="str">
        <f>VLOOKUP(B856,Customers!A:J,8,0)</f>
        <v>Female</v>
      </c>
      <c r="R856" t="b">
        <f t="shared" si="26"/>
        <v>1</v>
      </c>
      <c r="S856" s="18">
        <f t="shared" si="27"/>
        <v>45597</v>
      </c>
    </row>
    <row r="857" spans="1:19" x14ac:dyDescent="0.25">
      <c r="A857" s="6" t="s">
        <v>2066</v>
      </c>
      <c r="B857" s="7" t="s">
        <v>363</v>
      </c>
      <c r="C857" s="15">
        <v>44830</v>
      </c>
      <c r="D857" s="7" t="s">
        <v>659</v>
      </c>
      <c r="E857" s="7" t="s">
        <v>660</v>
      </c>
      <c r="F857" s="7">
        <v>19.989999999999998</v>
      </c>
      <c r="G857" s="7">
        <v>4</v>
      </c>
      <c r="H857" s="7">
        <v>0</v>
      </c>
      <c r="I857" s="7">
        <v>19.989999999999998</v>
      </c>
      <c r="J857" s="7">
        <v>79.959999999999994</v>
      </c>
      <c r="K857" s="7" t="s">
        <v>669</v>
      </c>
      <c r="L857" s="7" t="s">
        <v>656</v>
      </c>
      <c r="M857" s="8">
        <v>5</v>
      </c>
      <c r="N857">
        <f>VLOOKUP(B857,Customers!A:J,7,0)</f>
        <v>53</v>
      </c>
      <c r="O857" t="str">
        <f>VLOOKUP(B857,Customers!A:J,5,0)</f>
        <v>Austin</v>
      </c>
      <c r="P857" t="str">
        <f>VLOOKUP(B857,Customers!A:J,10,0)</f>
        <v>Free</v>
      </c>
      <c r="Q857" t="str">
        <f>VLOOKUP(B857,Customers!A:J,8,0)</f>
        <v>Female</v>
      </c>
      <c r="R857" t="b">
        <f t="shared" si="26"/>
        <v>1</v>
      </c>
      <c r="S857" s="18">
        <f t="shared" si="27"/>
        <v>44805</v>
      </c>
    </row>
    <row r="858" spans="1:19" x14ac:dyDescent="0.25">
      <c r="A858" s="3" t="s">
        <v>2067</v>
      </c>
      <c r="B858" s="4" t="s">
        <v>363</v>
      </c>
      <c r="C858" s="14">
        <v>45526</v>
      </c>
      <c r="D858" s="4" t="s">
        <v>653</v>
      </c>
      <c r="E858" s="4" t="s">
        <v>654</v>
      </c>
      <c r="F858" s="4">
        <v>39.99</v>
      </c>
      <c r="G858" s="4">
        <v>4</v>
      </c>
      <c r="H858" s="4">
        <v>15</v>
      </c>
      <c r="I858" s="4">
        <v>33.99</v>
      </c>
      <c r="J858" s="4">
        <v>135.96</v>
      </c>
      <c r="K858" s="4" t="s">
        <v>655</v>
      </c>
      <c r="L858" s="4" t="s">
        <v>656</v>
      </c>
      <c r="M858" s="5">
        <v>5</v>
      </c>
      <c r="N858">
        <f>VLOOKUP(B858,Customers!A:J,7,0)</f>
        <v>53</v>
      </c>
      <c r="O858" t="str">
        <f>VLOOKUP(B858,Customers!A:J,5,0)</f>
        <v>Austin</v>
      </c>
      <c r="P858" t="str">
        <f>VLOOKUP(B858,Customers!A:J,10,0)</f>
        <v>Free</v>
      </c>
      <c r="Q858" t="str">
        <f>VLOOKUP(B858,Customers!A:J,8,0)</f>
        <v>Female</v>
      </c>
      <c r="R858" t="b">
        <f t="shared" si="26"/>
        <v>1</v>
      </c>
      <c r="S858" s="18">
        <f t="shared" si="27"/>
        <v>45505</v>
      </c>
    </row>
    <row r="859" spans="1:19" x14ac:dyDescent="0.25">
      <c r="A859" s="6" t="s">
        <v>2068</v>
      </c>
      <c r="B859" s="7" t="s">
        <v>363</v>
      </c>
      <c r="C859" s="15">
        <v>45341</v>
      </c>
      <c r="D859" s="7" t="s">
        <v>710</v>
      </c>
      <c r="E859" s="7" t="s">
        <v>744</v>
      </c>
      <c r="F859" s="7">
        <v>29.99</v>
      </c>
      <c r="G859" s="7">
        <v>3</v>
      </c>
      <c r="H859" s="7">
        <v>20</v>
      </c>
      <c r="I859" s="7">
        <v>23.99</v>
      </c>
      <c r="J859" s="7">
        <v>71.97</v>
      </c>
      <c r="K859" s="7" t="s">
        <v>682</v>
      </c>
      <c r="L859" s="7" t="s">
        <v>656</v>
      </c>
      <c r="M859" s="8"/>
      <c r="N859">
        <f>VLOOKUP(B859,Customers!A:J,7,0)</f>
        <v>53</v>
      </c>
      <c r="O859" t="str">
        <f>VLOOKUP(B859,Customers!A:J,5,0)</f>
        <v>Austin</v>
      </c>
      <c r="P859" t="str">
        <f>VLOOKUP(B859,Customers!A:J,10,0)</f>
        <v>Free</v>
      </c>
      <c r="Q859" t="str">
        <f>VLOOKUP(B859,Customers!A:J,8,0)</f>
        <v>Female</v>
      </c>
      <c r="R859" t="b">
        <f t="shared" si="26"/>
        <v>1</v>
      </c>
      <c r="S859" s="18">
        <f t="shared" si="27"/>
        <v>45323</v>
      </c>
    </row>
    <row r="860" spans="1:19" x14ac:dyDescent="0.25">
      <c r="A860" s="3" t="s">
        <v>2069</v>
      </c>
      <c r="B860" s="4" t="s">
        <v>363</v>
      </c>
      <c r="C860" s="14">
        <v>45176</v>
      </c>
      <c r="D860" s="4" t="s">
        <v>653</v>
      </c>
      <c r="E860" s="4" t="s">
        <v>727</v>
      </c>
      <c r="F860" s="4">
        <v>14.99</v>
      </c>
      <c r="G860" s="4">
        <v>4</v>
      </c>
      <c r="H860" s="4">
        <v>15</v>
      </c>
      <c r="I860" s="4">
        <v>12.74</v>
      </c>
      <c r="J860" s="4">
        <v>50.96</v>
      </c>
      <c r="K860" s="4" t="s">
        <v>675</v>
      </c>
      <c r="L860" s="4" t="s">
        <v>656</v>
      </c>
      <c r="M860" s="5"/>
      <c r="N860">
        <f>VLOOKUP(B860,Customers!A:J,7,0)</f>
        <v>53</v>
      </c>
      <c r="O860" t="str">
        <f>VLOOKUP(B860,Customers!A:J,5,0)</f>
        <v>Austin</v>
      </c>
      <c r="P860" t="str">
        <f>VLOOKUP(B860,Customers!A:J,10,0)</f>
        <v>Free</v>
      </c>
      <c r="Q860" t="str">
        <f>VLOOKUP(B860,Customers!A:J,8,0)</f>
        <v>Female</v>
      </c>
      <c r="R860" t="b">
        <f t="shared" si="26"/>
        <v>1</v>
      </c>
      <c r="S860" s="18">
        <f t="shared" si="27"/>
        <v>45170</v>
      </c>
    </row>
    <row r="861" spans="1:19" x14ac:dyDescent="0.25">
      <c r="A861" s="6" t="s">
        <v>2070</v>
      </c>
      <c r="B861" s="7" t="s">
        <v>363</v>
      </c>
      <c r="C861" s="15">
        <v>44984</v>
      </c>
      <c r="D861" s="7" t="s">
        <v>680</v>
      </c>
      <c r="E861" s="7" t="s">
        <v>688</v>
      </c>
      <c r="F861" s="7">
        <v>29.99</v>
      </c>
      <c r="G861" s="7">
        <v>4</v>
      </c>
      <c r="H861" s="7">
        <v>0</v>
      </c>
      <c r="I861" s="7">
        <v>29.99</v>
      </c>
      <c r="J861" s="7">
        <v>119.96</v>
      </c>
      <c r="K861" s="7" t="s">
        <v>669</v>
      </c>
      <c r="L861" s="7" t="s">
        <v>656</v>
      </c>
      <c r="M861" s="8">
        <v>5</v>
      </c>
      <c r="N861">
        <f>VLOOKUP(B861,Customers!A:J,7,0)</f>
        <v>53</v>
      </c>
      <c r="O861" t="str">
        <f>VLOOKUP(B861,Customers!A:J,5,0)</f>
        <v>Austin</v>
      </c>
      <c r="P861" t="str">
        <f>VLOOKUP(B861,Customers!A:J,10,0)</f>
        <v>Free</v>
      </c>
      <c r="Q861" t="str">
        <f>VLOOKUP(B861,Customers!A:J,8,0)</f>
        <v>Female</v>
      </c>
      <c r="R861" t="b">
        <f t="shared" si="26"/>
        <v>1</v>
      </c>
      <c r="S861" s="18">
        <f t="shared" si="27"/>
        <v>44958</v>
      </c>
    </row>
    <row r="862" spans="1:19" x14ac:dyDescent="0.25">
      <c r="A862" s="3" t="s">
        <v>2072</v>
      </c>
      <c r="B862" s="4" t="s">
        <v>363</v>
      </c>
      <c r="C862" s="14">
        <v>44789</v>
      </c>
      <c r="D862" s="4" t="s">
        <v>680</v>
      </c>
      <c r="E862" s="4" t="s">
        <v>749</v>
      </c>
      <c r="F862" s="4">
        <v>14.99</v>
      </c>
      <c r="G862" s="4">
        <v>1</v>
      </c>
      <c r="H862" s="4">
        <v>5</v>
      </c>
      <c r="I862" s="4">
        <v>14.24</v>
      </c>
      <c r="J862" s="4">
        <v>14.24</v>
      </c>
      <c r="K862" s="4" t="s">
        <v>661</v>
      </c>
      <c r="L862" s="4" t="s">
        <v>656</v>
      </c>
      <c r="M862" s="5">
        <v>4</v>
      </c>
      <c r="N862">
        <f>VLOOKUP(B862,Customers!A:J,7,0)</f>
        <v>53</v>
      </c>
      <c r="O862" t="str">
        <f>VLOOKUP(B862,Customers!A:J,5,0)</f>
        <v>Austin</v>
      </c>
      <c r="P862" t="str">
        <f>VLOOKUP(B862,Customers!A:J,10,0)</f>
        <v>Free</v>
      </c>
      <c r="Q862" t="str">
        <f>VLOOKUP(B862,Customers!A:J,8,0)</f>
        <v>Female</v>
      </c>
      <c r="R862" t="b">
        <f t="shared" si="26"/>
        <v>1</v>
      </c>
      <c r="S862" s="18">
        <f t="shared" si="27"/>
        <v>44774</v>
      </c>
    </row>
    <row r="863" spans="1:19" x14ac:dyDescent="0.25">
      <c r="A863" s="6" t="s">
        <v>2073</v>
      </c>
      <c r="B863" s="7" t="s">
        <v>366</v>
      </c>
      <c r="C863" s="15">
        <v>45402</v>
      </c>
      <c r="D863" s="7" t="s">
        <v>667</v>
      </c>
      <c r="E863" s="7" t="s">
        <v>714</v>
      </c>
      <c r="F863" s="7">
        <v>44.99</v>
      </c>
      <c r="G863" s="7">
        <v>2</v>
      </c>
      <c r="H863" s="7">
        <v>15</v>
      </c>
      <c r="I863" s="7">
        <v>38.24</v>
      </c>
      <c r="J863" s="7">
        <v>76.48</v>
      </c>
      <c r="K863" s="7" t="s">
        <v>661</v>
      </c>
      <c r="L863" s="7" t="s">
        <v>656</v>
      </c>
      <c r="M863" s="8">
        <v>5</v>
      </c>
      <c r="N863">
        <f>VLOOKUP(B863,Customers!A:J,7,0)</f>
        <v>21</v>
      </c>
      <c r="O863" t="str">
        <f>VLOOKUP(B863,Customers!A:J,5,0)</f>
        <v>Philadelphia</v>
      </c>
      <c r="P863" t="str">
        <f>VLOOKUP(B863,Customers!A:J,10,0)</f>
        <v>Platinum</v>
      </c>
      <c r="Q863" t="str">
        <f>VLOOKUP(B863,Customers!A:J,8,0)</f>
        <v>Male</v>
      </c>
      <c r="R863" t="b">
        <f t="shared" si="26"/>
        <v>1</v>
      </c>
      <c r="S863" s="18">
        <f t="shared" si="27"/>
        <v>45383</v>
      </c>
    </row>
    <row r="864" spans="1:19" x14ac:dyDescent="0.25">
      <c r="A864" s="3" t="s">
        <v>2074</v>
      </c>
      <c r="B864" s="4" t="s">
        <v>366</v>
      </c>
      <c r="C864" s="14">
        <v>44859</v>
      </c>
      <c r="D864" s="4" t="s">
        <v>667</v>
      </c>
      <c r="E864" s="4" t="s">
        <v>699</v>
      </c>
      <c r="F864" s="4">
        <v>89.99</v>
      </c>
      <c r="G864" s="4">
        <v>2</v>
      </c>
      <c r="H864" s="4">
        <v>0</v>
      </c>
      <c r="I864" s="4">
        <v>89.99</v>
      </c>
      <c r="J864" s="4">
        <v>179.98</v>
      </c>
      <c r="K864" s="4" t="s">
        <v>682</v>
      </c>
      <c r="L864" s="4" t="s">
        <v>656</v>
      </c>
      <c r="M864" s="5">
        <v>5</v>
      </c>
      <c r="N864">
        <f>VLOOKUP(B864,Customers!A:J,7,0)</f>
        <v>21</v>
      </c>
      <c r="O864" t="str">
        <f>VLOOKUP(B864,Customers!A:J,5,0)</f>
        <v>Philadelphia</v>
      </c>
      <c r="P864" t="str">
        <f>VLOOKUP(B864,Customers!A:J,10,0)</f>
        <v>Platinum</v>
      </c>
      <c r="Q864" t="str">
        <f>VLOOKUP(B864,Customers!A:J,8,0)</f>
        <v>Male</v>
      </c>
      <c r="R864" t="b">
        <f t="shared" si="26"/>
        <v>1</v>
      </c>
      <c r="S864" s="18">
        <f t="shared" si="27"/>
        <v>44835</v>
      </c>
    </row>
    <row r="865" spans="1:19" x14ac:dyDescent="0.25">
      <c r="A865" s="6" t="s">
        <v>2075</v>
      </c>
      <c r="B865" s="7" t="s">
        <v>366</v>
      </c>
      <c r="C865" s="15">
        <v>45354</v>
      </c>
      <c r="D865" s="7" t="s">
        <v>667</v>
      </c>
      <c r="E865" s="7" t="s">
        <v>714</v>
      </c>
      <c r="F865" s="7">
        <v>44.99</v>
      </c>
      <c r="G865" s="7">
        <v>4</v>
      </c>
      <c r="H865" s="7">
        <v>0</v>
      </c>
      <c r="I865" s="7">
        <v>44.99</v>
      </c>
      <c r="J865" s="7">
        <v>179.96</v>
      </c>
      <c r="K865" s="7" t="s">
        <v>682</v>
      </c>
      <c r="L865" s="7" t="s">
        <v>656</v>
      </c>
      <c r="M865" s="8"/>
      <c r="N865">
        <f>VLOOKUP(B865,Customers!A:J,7,0)</f>
        <v>21</v>
      </c>
      <c r="O865" t="str">
        <f>VLOOKUP(B865,Customers!A:J,5,0)</f>
        <v>Philadelphia</v>
      </c>
      <c r="P865" t="str">
        <f>VLOOKUP(B865,Customers!A:J,10,0)</f>
        <v>Platinum</v>
      </c>
      <c r="Q865" t="str">
        <f>VLOOKUP(B865,Customers!A:J,8,0)</f>
        <v>Male</v>
      </c>
      <c r="R865" t="b">
        <f t="shared" si="26"/>
        <v>1</v>
      </c>
      <c r="S865" s="18">
        <f t="shared" si="27"/>
        <v>45352</v>
      </c>
    </row>
    <row r="866" spans="1:19" x14ac:dyDescent="0.25">
      <c r="A866" s="3" t="s">
        <v>2076</v>
      </c>
      <c r="B866" s="4" t="s">
        <v>366</v>
      </c>
      <c r="C866" s="14">
        <v>45547</v>
      </c>
      <c r="D866" s="4" t="s">
        <v>672</v>
      </c>
      <c r="E866" s="4" t="s">
        <v>735</v>
      </c>
      <c r="F866" s="4">
        <v>44.99</v>
      </c>
      <c r="G866" s="4">
        <v>2</v>
      </c>
      <c r="H866" s="4">
        <v>0</v>
      </c>
      <c r="I866" s="4">
        <v>44.99</v>
      </c>
      <c r="J866" s="4">
        <v>89.98</v>
      </c>
      <c r="K866" s="4" t="s">
        <v>661</v>
      </c>
      <c r="L866" s="4" t="s">
        <v>656</v>
      </c>
      <c r="M866" s="5"/>
      <c r="N866">
        <f>VLOOKUP(B866,Customers!A:J,7,0)</f>
        <v>21</v>
      </c>
      <c r="O866" t="str">
        <f>VLOOKUP(B866,Customers!A:J,5,0)</f>
        <v>Philadelphia</v>
      </c>
      <c r="P866" t="str">
        <f>VLOOKUP(B866,Customers!A:J,10,0)</f>
        <v>Platinum</v>
      </c>
      <c r="Q866" t="str">
        <f>VLOOKUP(B866,Customers!A:J,8,0)</f>
        <v>Male</v>
      </c>
      <c r="R866" t="b">
        <f t="shared" si="26"/>
        <v>1</v>
      </c>
      <c r="S866" s="18">
        <f t="shared" si="27"/>
        <v>45536</v>
      </c>
    </row>
    <row r="867" spans="1:19" x14ac:dyDescent="0.25">
      <c r="A867" s="6" t="s">
        <v>2078</v>
      </c>
      <c r="B867" s="7" t="s">
        <v>366</v>
      </c>
      <c r="C867" s="15">
        <v>45635</v>
      </c>
      <c r="D867" s="7" t="s">
        <v>653</v>
      </c>
      <c r="E867" s="7" t="s">
        <v>827</v>
      </c>
      <c r="F867" s="7">
        <v>29.99</v>
      </c>
      <c r="G867" s="7">
        <v>2</v>
      </c>
      <c r="H867" s="7">
        <v>15</v>
      </c>
      <c r="I867" s="7">
        <v>25.49</v>
      </c>
      <c r="J867" s="7">
        <v>50.98</v>
      </c>
      <c r="K867" s="7" t="s">
        <v>675</v>
      </c>
      <c r="L867" s="7" t="s">
        <v>656</v>
      </c>
      <c r="M867" s="8">
        <v>4</v>
      </c>
      <c r="N867">
        <f>VLOOKUP(B867,Customers!A:J,7,0)</f>
        <v>21</v>
      </c>
      <c r="O867" t="str">
        <f>VLOOKUP(B867,Customers!A:J,5,0)</f>
        <v>Philadelphia</v>
      </c>
      <c r="P867" t="str">
        <f>VLOOKUP(B867,Customers!A:J,10,0)</f>
        <v>Platinum</v>
      </c>
      <c r="Q867" t="str">
        <f>VLOOKUP(B867,Customers!A:J,8,0)</f>
        <v>Male</v>
      </c>
      <c r="R867" t="b">
        <f t="shared" si="26"/>
        <v>1</v>
      </c>
      <c r="S867" s="18">
        <f t="shared" si="27"/>
        <v>45627</v>
      </c>
    </row>
    <row r="868" spans="1:19" x14ac:dyDescent="0.25">
      <c r="A868" s="3" t="s">
        <v>2079</v>
      </c>
      <c r="B868" s="4" t="s">
        <v>366</v>
      </c>
      <c r="C868" s="14">
        <v>45264</v>
      </c>
      <c r="D868" s="4" t="s">
        <v>710</v>
      </c>
      <c r="E868" s="4" t="s">
        <v>744</v>
      </c>
      <c r="F868" s="4">
        <v>29.99</v>
      </c>
      <c r="G868" s="4">
        <v>2</v>
      </c>
      <c r="H868" s="4">
        <v>0</v>
      </c>
      <c r="I868" s="4">
        <v>29.99</v>
      </c>
      <c r="J868" s="4">
        <v>59.98</v>
      </c>
      <c r="K868" s="4" t="s">
        <v>669</v>
      </c>
      <c r="L868" s="4" t="s">
        <v>656</v>
      </c>
      <c r="M868" s="5">
        <v>3</v>
      </c>
      <c r="N868">
        <f>VLOOKUP(B868,Customers!A:J,7,0)</f>
        <v>21</v>
      </c>
      <c r="O868" t="str">
        <f>VLOOKUP(B868,Customers!A:J,5,0)</f>
        <v>Philadelphia</v>
      </c>
      <c r="P868" t="str">
        <f>VLOOKUP(B868,Customers!A:J,10,0)</f>
        <v>Platinum</v>
      </c>
      <c r="Q868" t="str">
        <f>VLOOKUP(B868,Customers!A:J,8,0)</f>
        <v>Male</v>
      </c>
      <c r="R868" t="b">
        <f t="shared" si="26"/>
        <v>1</v>
      </c>
      <c r="S868" s="18">
        <f t="shared" si="27"/>
        <v>45261</v>
      </c>
    </row>
    <row r="869" spans="1:19" x14ac:dyDescent="0.25">
      <c r="A869" s="6" t="s">
        <v>2080</v>
      </c>
      <c r="B869" s="7" t="s">
        <v>366</v>
      </c>
      <c r="C869" s="15">
        <v>45020</v>
      </c>
      <c r="D869" s="7" t="s">
        <v>710</v>
      </c>
      <c r="E869" s="7" t="s">
        <v>721</v>
      </c>
      <c r="F869" s="7">
        <v>24.99</v>
      </c>
      <c r="G869" s="7">
        <v>1</v>
      </c>
      <c r="H869" s="7">
        <v>0</v>
      </c>
      <c r="I869" s="7">
        <v>24.99</v>
      </c>
      <c r="J869" s="7">
        <v>24.99</v>
      </c>
      <c r="K869" s="7" t="s">
        <v>675</v>
      </c>
      <c r="L869" s="7" t="s">
        <v>656</v>
      </c>
      <c r="M869" s="8">
        <v>2</v>
      </c>
      <c r="N869">
        <f>VLOOKUP(B869,Customers!A:J,7,0)</f>
        <v>21</v>
      </c>
      <c r="O869" t="str">
        <f>VLOOKUP(B869,Customers!A:J,5,0)</f>
        <v>Philadelphia</v>
      </c>
      <c r="P869" t="str">
        <f>VLOOKUP(B869,Customers!A:J,10,0)</f>
        <v>Platinum</v>
      </c>
      <c r="Q869" t="str">
        <f>VLOOKUP(B869,Customers!A:J,8,0)</f>
        <v>Male</v>
      </c>
      <c r="R869" t="b">
        <f t="shared" si="26"/>
        <v>1</v>
      </c>
      <c r="S869" s="18">
        <f t="shared" si="27"/>
        <v>45017</v>
      </c>
    </row>
    <row r="870" spans="1:19" x14ac:dyDescent="0.25">
      <c r="A870" s="3" t="s">
        <v>2081</v>
      </c>
      <c r="B870" s="4" t="s">
        <v>366</v>
      </c>
      <c r="C870" s="14">
        <v>44574</v>
      </c>
      <c r="D870" s="4" t="s">
        <v>659</v>
      </c>
      <c r="E870" s="4" t="s">
        <v>820</v>
      </c>
      <c r="F870" s="4">
        <v>39.99</v>
      </c>
      <c r="G870" s="4">
        <v>2</v>
      </c>
      <c r="H870" s="4">
        <v>10</v>
      </c>
      <c r="I870" s="4">
        <v>35.99</v>
      </c>
      <c r="J870" s="4">
        <v>71.98</v>
      </c>
      <c r="K870" s="4" t="s">
        <v>661</v>
      </c>
      <c r="L870" s="4" t="s">
        <v>656</v>
      </c>
      <c r="M870" s="5">
        <v>3</v>
      </c>
      <c r="N870">
        <f>VLOOKUP(B870,Customers!A:J,7,0)</f>
        <v>21</v>
      </c>
      <c r="O870" t="str">
        <f>VLOOKUP(B870,Customers!A:J,5,0)</f>
        <v>Philadelphia</v>
      </c>
      <c r="P870" t="str">
        <f>VLOOKUP(B870,Customers!A:J,10,0)</f>
        <v>Platinum</v>
      </c>
      <c r="Q870" t="str">
        <f>VLOOKUP(B870,Customers!A:J,8,0)</f>
        <v>Male</v>
      </c>
      <c r="R870" t="b">
        <f t="shared" si="26"/>
        <v>1</v>
      </c>
      <c r="S870" s="18">
        <f t="shared" si="27"/>
        <v>44562</v>
      </c>
    </row>
    <row r="871" spans="1:19" x14ac:dyDescent="0.25">
      <c r="A871" s="6" t="s">
        <v>2082</v>
      </c>
      <c r="B871" s="7" t="s">
        <v>366</v>
      </c>
      <c r="C871" s="15">
        <v>45639</v>
      </c>
      <c r="D871" s="7" t="s">
        <v>672</v>
      </c>
      <c r="E871" s="7" t="s">
        <v>803</v>
      </c>
      <c r="F871" s="7">
        <v>69.989999999999995</v>
      </c>
      <c r="G871" s="7">
        <v>3</v>
      </c>
      <c r="H871" s="7">
        <v>5</v>
      </c>
      <c r="I871" s="7">
        <v>66.489999999999995</v>
      </c>
      <c r="J871" s="7">
        <v>199.47</v>
      </c>
      <c r="K871" s="7" t="s">
        <v>669</v>
      </c>
      <c r="L871" s="7" t="s">
        <v>656</v>
      </c>
      <c r="M871" s="8">
        <v>3</v>
      </c>
      <c r="N871">
        <f>VLOOKUP(B871,Customers!A:J,7,0)</f>
        <v>21</v>
      </c>
      <c r="O871" t="str">
        <f>VLOOKUP(B871,Customers!A:J,5,0)</f>
        <v>Philadelphia</v>
      </c>
      <c r="P871" t="str">
        <f>VLOOKUP(B871,Customers!A:J,10,0)</f>
        <v>Platinum</v>
      </c>
      <c r="Q871" t="str">
        <f>VLOOKUP(B871,Customers!A:J,8,0)</f>
        <v>Male</v>
      </c>
      <c r="R871" t="b">
        <f t="shared" si="26"/>
        <v>1</v>
      </c>
      <c r="S871" s="18">
        <f t="shared" si="27"/>
        <v>45627</v>
      </c>
    </row>
    <row r="872" spans="1:19" x14ac:dyDescent="0.25">
      <c r="A872" s="3" t="s">
        <v>2084</v>
      </c>
      <c r="B872" s="4" t="s">
        <v>366</v>
      </c>
      <c r="C872" s="14">
        <v>44668</v>
      </c>
      <c r="D872" s="4" t="s">
        <v>684</v>
      </c>
      <c r="E872" s="4" t="s">
        <v>705</v>
      </c>
      <c r="F872" s="4">
        <v>79.989999999999995</v>
      </c>
      <c r="G872" s="4">
        <v>3</v>
      </c>
      <c r="H872" s="4">
        <v>5</v>
      </c>
      <c r="I872" s="4">
        <v>75.989999999999995</v>
      </c>
      <c r="J872" s="4">
        <v>227.97</v>
      </c>
      <c r="K872" s="4" t="s">
        <v>661</v>
      </c>
      <c r="L872" s="4" t="s">
        <v>656</v>
      </c>
      <c r="M872" s="5">
        <v>1</v>
      </c>
      <c r="N872">
        <f>VLOOKUP(B872,Customers!A:J,7,0)</f>
        <v>21</v>
      </c>
      <c r="O872" t="str">
        <f>VLOOKUP(B872,Customers!A:J,5,0)</f>
        <v>Philadelphia</v>
      </c>
      <c r="P872" t="str">
        <f>VLOOKUP(B872,Customers!A:J,10,0)</f>
        <v>Platinum</v>
      </c>
      <c r="Q872" t="str">
        <f>VLOOKUP(B872,Customers!A:J,8,0)</f>
        <v>Male</v>
      </c>
      <c r="R872" t="b">
        <f t="shared" si="26"/>
        <v>1</v>
      </c>
      <c r="S872" s="18">
        <f t="shared" si="27"/>
        <v>44652</v>
      </c>
    </row>
    <row r="873" spans="1:19" x14ac:dyDescent="0.25">
      <c r="A873" s="6" t="s">
        <v>2086</v>
      </c>
      <c r="B873" s="7" t="s">
        <v>366</v>
      </c>
      <c r="C873" s="15">
        <v>44665</v>
      </c>
      <c r="D873" s="7" t="s">
        <v>684</v>
      </c>
      <c r="E873" s="7" t="s">
        <v>815</v>
      </c>
      <c r="F873" s="7">
        <v>34.99</v>
      </c>
      <c r="G873" s="7">
        <v>4</v>
      </c>
      <c r="H873" s="7">
        <v>5</v>
      </c>
      <c r="I873" s="7">
        <v>33.24</v>
      </c>
      <c r="J873" s="7">
        <v>132.96</v>
      </c>
      <c r="K873" s="7" t="s">
        <v>669</v>
      </c>
      <c r="L873" s="7" t="s">
        <v>656</v>
      </c>
      <c r="M873" s="8"/>
      <c r="N873">
        <f>VLOOKUP(B873,Customers!A:J,7,0)</f>
        <v>21</v>
      </c>
      <c r="O873" t="str">
        <f>VLOOKUP(B873,Customers!A:J,5,0)</f>
        <v>Philadelphia</v>
      </c>
      <c r="P873" t="str">
        <f>VLOOKUP(B873,Customers!A:J,10,0)</f>
        <v>Platinum</v>
      </c>
      <c r="Q873" t="str">
        <f>VLOOKUP(B873,Customers!A:J,8,0)</f>
        <v>Male</v>
      </c>
      <c r="R873" t="b">
        <f t="shared" si="26"/>
        <v>1</v>
      </c>
      <c r="S873" s="18">
        <f t="shared" si="27"/>
        <v>44652</v>
      </c>
    </row>
    <row r="874" spans="1:19" x14ac:dyDescent="0.25">
      <c r="A874" s="3" t="s">
        <v>2088</v>
      </c>
      <c r="B874" s="4" t="s">
        <v>369</v>
      </c>
      <c r="C874" s="14">
        <v>44992</v>
      </c>
      <c r="D874" s="4" t="s">
        <v>680</v>
      </c>
      <c r="E874" s="4" t="s">
        <v>708</v>
      </c>
      <c r="F874" s="4">
        <v>24.99</v>
      </c>
      <c r="G874" s="4">
        <v>4</v>
      </c>
      <c r="H874" s="4">
        <v>0</v>
      </c>
      <c r="I874" s="4">
        <v>24.99</v>
      </c>
      <c r="J874" s="4">
        <v>99.96</v>
      </c>
      <c r="K874" s="4" t="s">
        <v>675</v>
      </c>
      <c r="L874" s="4" t="s">
        <v>656</v>
      </c>
      <c r="M874" s="5">
        <v>3</v>
      </c>
      <c r="N874">
        <f>VLOOKUP(B874,Customers!A:J,7,0)</f>
        <v>33</v>
      </c>
      <c r="O874" t="str">
        <f>VLOOKUP(B874,Customers!A:J,5,0)</f>
        <v>Houston</v>
      </c>
      <c r="P874" t="str">
        <f>VLOOKUP(B874,Customers!A:J,10,0)</f>
        <v>Platinum</v>
      </c>
      <c r="Q874" t="str">
        <f>VLOOKUP(B874,Customers!A:J,8,0)</f>
        <v>Male</v>
      </c>
      <c r="R874" t="b">
        <f t="shared" si="26"/>
        <v>1</v>
      </c>
      <c r="S874" s="18">
        <f t="shared" si="27"/>
        <v>44986</v>
      </c>
    </row>
    <row r="875" spans="1:19" x14ac:dyDescent="0.25">
      <c r="A875" s="6" t="s">
        <v>2090</v>
      </c>
      <c r="B875" s="7" t="s">
        <v>369</v>
      </c>
      <c r="C875" s="15">
        <v>45569</v>
      </c>
      <c r="D875" s="7" t="s">
        <v>672</v>
      </c>
      <c r="E875" s="7" t="s">
        <v>673</v>
      </c>
      <c r="F875" s="7">
        <v>24.99</v>
      </c>
      <c r="G875" s="7">
        <v>3</v>
      </c>
      <c r="H875" s="7">
        <v>0</v>
      </c>
      <c r="I875" s="7">
        <v>24.99</v>
      </c>
      <c r="J875" s="7">
        <v>74.97</v>
      </c>
      <c r="K875" s="7" t="s">
        <v>669</v>
      </c>
      <c r="L875" s="7" t="s">
        <v>785</v>
      </c>
      <c r="M875" s="8">
        <v>4</v>
      </c>
      <c r="N875">
        <f>VLOOKUP(B875,Customers!A:J,7,0)</f>
        <v>33</v>
      </c>
      <c r="O875" t="str">
        <f>VLOOKUP(B875,Customers!A:J,5,0)</f>
        <v>Houston</v>
      </c>
      <c r="P875" t="str">
        <f>VLOOKUP(B875,Customers!A:J,10,0)</f>
        <v>Platinum</v>
      </c>
      <c r="Q875" t="str">
        <f>VLOOKUP(B875,Customers!A:J,8,0)</f>
        <v>Male</v>
      </c>
      <c r="R875" t="b">
        <f t="shared" si="26"/>
        <v>1</v>
      </c>
      <c r="S875" s="18">
        <f t="shared" si="27"/>
        <v>45566</v>
      </c>
    </row>
    <row r="876" spans="1:19" x14ac:dyDescent="0.25">
      <c r="A876" s="3" t="s">
        <v>2091</v>
      </c>
      <c r="B876" s="4" t="s">
        <v>369</v>
      </c>
      <c r="C876" s="14">
        <v>44562</v>
      </c>
      <c r="D876" s="4" t="s">
        <v>672</v>
      </c>
      <c r="E876" s="4" t="s">
        <v>724</v>
      </c>
      <c r="F876" s="4">
        <v>89.99</v>
      </c>
      <c r="G876" s="4">
        <v>3</v>
      </c>
      <c r="H876" s="4">
        <v>5</v>
      </c>
      <c r="I876" s="4">
        <v>85.49</v>
      </c>
      <c r="J876" s="4">
        <v>256.47000000000003</v>
      </c>
      <c r="K876" s="4" t="s">
        <v>675</v>
      </c>
      <c r="L876" s="4" t="s">
        <v>656</v>
      </c>
      <c r="M876" s="5"/>
      <c r="N876">
        <f>VLOOKUP(B876,Customers!A:J,7,0)</f>
        <v>33</v>
      </c>
      <c r="O876" t="str">
        <f>VLOOKUP(B876,Customers!A:J,5,0)</f>
        <v>Houston</v>
      </c>
      <c r="P876" t="str">
        <f>VLOOKUP(B876,Customers!A:J,10,0)</f>
        <v>Platinum</v>
      </c>
      <c r="Q876" t="str">
        <f>VLOOKUP(B876,Customers!A:J,8,0)</f>
        <v>Male</v>
      </c>
      <c r="R876" t="b">
        <f t="shared" si="26"/>
        <v>1</v>
      </c>
      <c r="S876" s="18">
        <f t="shared" si="27"/>
        <v>44562</v>
      </c>
    </row>
    <row r="877" spans="1:19" x14ac:dyDescent="0.25">
      <c r="A877" s="6" t="s">
        <v>2093</v>
      </c>
      <c r="B877" s="7" t="s">
        <v>372</v>
      </c>
      <c r="C877" s="15">
        <v>45465</v>
      </c>
      <c r="D877" s="7" t="s">
        <v>653</v>
      </c>
      <c r="E877" s="7" t="s">
        <v>727</v>
      </c>
      <c r="F877" s="7">
        <v>14.99</v>
      </c>
      <c r="G877" s="7">
        <v>3</v>
      </c>
      <c r="H877" s="7">
        <v>0</v>
      </c>
      <c r="I877" s="7">
        <v>14.99</v>
      </c>
      <c r="J877" s="7">
        <v>44.97</v>
      </c>
      <c r="K877" s="7" t="s">
        <v>669</v>
      </c>
      <c r="L877" s="7" t="s">
        <v>656</v>
      </c>
      <c r="M877" s="8">
        <v>5</v>
      </c>
      <c r="N877">
        <f>VLOOKUP(B877,Customers!A:J,7,0)</f>
        <v>23</v>
      </c>
      <c r="O877" t="str">
        <f>VLOOKUP(B877,Customers!A:J,5,0)</f>
        <v>San Diego</v>
      </c>
      <c r="P877" t="str">
        <f>VLOOKUP(B877,Customers!A:J,10,0)</f>
        <v>Free</v>
      </c>
      <c r="Q877" t="str">
        <f>VLOOKUP(B877,Customers!A:J,8,0)</f>
        <v>Female</v>
      </c>
      <c r="R877" t="b">
        <f t="shared" si="26"/>
        <v>1</v>
      </c>
      <c r="S877" s="18">
        <f t="shared" si="27"/>
        <v>45444</v>
      </c>
    </row>
    <row r="878" spans="1:19" x14ac:dyDescent="0.25">
      <c r="A878" s="3" t="s">
        <v>2094</v>
      </c>
      <c r="B878" s="4" t="s">
        <v>372</v>
      </c>
      <c r="C878" s="14">
        <v>45283</v>
      </c>
      <c r="D878" s="4" t="s">
        <v>653</v>
      </c>
      <c r="E878" s="4" t="s">
        <v>654</v>
      </c>
      <c r="F878" s="4">
        <v>39.99</v>
      </c>
      <c r="G878" s="4">
        <v>1</v>
      </c>
      <c r="H878" s="4">
        <v>0</v>
      </c>
      <c r="I878" s="4">
        <v>39.99</v>
      </c>
      <c r="J878" s="4">
        <v>39.99</v>
      </c>
      <c r="K878" s="4" t="s">
        <v>655</v>
      </c>
      <c r="L878" s="4" t="s">
        <v>739</v>
      </c>
      <c r="M878" s="5">
        <v>4</v>
      </c>
      <c r="N878">
        <f>VLOOKUP(B878,Customers!A:J,7,0)</f>
        <v>23</v>
      </c>
      <c r="O878" t="str">
        <f>VLOOKUP(B878,Customers!A:J,5,0)</f>
        <v>San Diego</v>
      </c>
      <c r="P878" t="str">
        <f>VLOOKUP(B878,Customers!A:J,10,0)</f>
        <v>Free</v>
      </c>
      <c r="Q878" t="str">
        <f>VLOOKUP(B878,Customers!A:J,8,0)</f>
        <v>Female</v>
      </c>
      <c r="R878" t="b">
        <f t="shared" si="26"/>
        <v>1</v>
      </c>
      <c r="S878" s="18">
        <f t="shared" si="27"/>
        <v>45261</v>
      </c>
    </row>
    <row r="879" spans="1:19" x14ac:dyDescent="0.25">
      <c r="A879" s="6" t="s">
        <v>2096</v>
      </c>
      <c r="B879" s="7" t="s">
        <v>372</v>
      </c>
      <c r="C879" s="15">
        <v>45277</v>
      </c>
      <c r="D879" s="7" t="s">
        <v>672</v>
      </c>
      <c r="E879" s="7" t="s">
        <v>803</v>
      </c>
      <c r="F879" s="7">
        <v>69.989999999999995</v>
      </c>
      <c r="G879" s="7">
        <v>1</v>
      </c>
      <c r="H879" s="7">
        <v>15</v>
      </c>
      <c r="I879" s="7">
        <v>59.49</v>
      </c>
      <c r="J879" s="7">
        <v>59.49</v>
      </c>
      <c r="K879" s="7" t="s">
        <v>655</v>
      </c>
      <c r="L879" s="7" t="s">
        <v>656</v>
      </c>
      <c r="M879" s="8"/>
      <c r="N879">
        <f>VLOOKUP(B879,Customers!A:J,7,0)</f>
        <v>23</v>
      </c>
      <c r="O879" t="str">
        <f>VLOOKUP(B879,Customers!A:J,5,0)</f>
        <v>San Diego</v>
      </c>
      <c r="P879" t="str">
        <f>VLOOKUP(B879,Customers!A:J,10,0)</f>
        <v>Free</v>
      </c>
      <c r="Q879" t="str">
        <f>VLOOKUP(B879,Customers!A:J,8,0)</f>
        <v>Female</v>
      </c>
      <c r="R879" t="b">
        <f t="shared" si="26"/>
        <v>1</v>
      </c>
      <c r="S879" s="18">
        <f t="shared" si="27"/>
        <v>45261</v>
      </c>
    </row>
    <row r="880" spans="1:19" x14ac:dyDescent="0.25">
      <c r="A880" s="3" t="s">
        <v>2098</v>
      </c>
      <c r="B880" s="4" t="s">
        <v>372</v>
      </c>
      <c r="C880" s="14">
        <v>45519</v>
      </c>
      <c r="D880" s="4" t="s">
        <v>672</v>
      </c>
      <c r="E880" s="4" t="s">
        <v>673</v>
      </c>
      <c r="F880" s="4">
        <v>24.99</v>
      </c>
      <c r="G880" s="4">
        <v>1</v>
      </c>
      <c r="H880" s="4">
        <v>0</v>
      </c>
      <c r="I880" s="4">
        <v>24.99</v>
      </c>
      <c r="J880" s="4">
        <v>24.99</v>
      </c>
      <c r="K880" s="4" t="s">
        <v>669</v>
      </c>
      <c r="L880" s="4" t="s">
        <v>656</v>
      </c>
      <c r="M880" s="5">
        <v>3</v>
      </c>
      <c r="N880">
        <f>VLOOKUP(B880,Customers!A:J,7,0)</f>
        <v>23</v>
      </c>
      <c r="O880" t="str">
        <f>VLOOKUP(B880,Customers!A:J,5,0)</f>
        <v>San Diego</v>
      </c>
      <c r="P880" t="str">
        <f>VLOOKUP(B880,Customers!A:J,10,0)</f>
        <v>Free</v>
      </c>
      <c r="Q880" t="str">
        <f>VLOOKUP(B880,Customers!A:J,8,0)</f>
        <v>Female</v>
      </c>
      <c r="R880" t="b">
        <f t="shared" si="26"/>
        <v>1</v>
      </c>
      <c r="S880" s="18">
        <f t="shared" si="27"/>
        <v>45505</v>
      </c>
    </row>
    <row r="881" spans="1:19" x14ac:dyDescent="0.25">
      <c r="A881" s="6" t="s">
        <v>2099</v>
      </c>
      <c r="B881" s="7" t="s">
        <v>372</v>
      </c>
      <c r="C881" s="15">
        <v>45065</v>
      </c>
      <c r="D881" s="7" t="s">
        <v>672</v>
      </c>
      <c r="E881" s="7" t="s">
        <v>803</v>
      </c>
      <c r="F881" s="7">
        <v>69.989999999999995</v>
      </c>
      <c r="G881" s="7">
        <v>4</v>
      </c>
      <c r="H881" s="7">
        <v>15</v>
      </c>
      <c r="I881" s="7">
        <v>59.49</v>
      </c>
      <c r="J881" s="7">
        <v>237.96</v>
      </c>
      <c r="K881" s="7" t="s">
        <v>682</v>
      </c>
      <c r="L881" s="7" t="s">
        <v>656</v>
      </c>
      <c r="M881" s="8">
        <v>5</v>
      </c>
      <c r="N881">
        <f>VLOOKUP(B881,Customers!A:J,7,0)</f>
        <v>23</v>
      </c>
      <c r="O881" t="str">
        <f>VLOOKUP(B881,Customers!A:J,5,0)</f>
        <v>San Diego</v>
      </c>
      <c r="P881" t="str">
        <f>VLOOKUP(B881,Customers!A:J,10,0)</f>
        <v>Free</v>
      </c>
      <c r="Q881" t="str">
        <f>VLOOKUP(B881,Customers!A:J,8,0)</f>
        <v>Female</v>
      </c>
      <c r="R881" t="b">
        <f t="shared" si="26"/>
        <v>1</v>
      </c>
      <c r="S881" s="18">
        <f t="shared" si="27"/>
        <v>45047</v>
      </c>
    </row>
    <row r="882" spans="1:19" x14ac:dyDescent="0.25">
      <c r="A882" s="3" t="s">
        <v>2100</v>
      </c>
      <c r="B882" s="4" t="s">
        <v>372</v>
      </c>
      <c r="C882" s="14">
        <v>45350</v>
      </c>
      <c r="D882" s="4" t="s">
        <v>659</v>
      </c>
      <c r="E882" s="4" t="s">
        <v>762</v>
      </c>
      <c r="F882" s="4">
        <v>49.99</v>
      </c>
      <c r="G882" s="4">
        <v>2</v>
      </c>
      <c r="H882" s="4">
        <v>20</v>
      </c>
      <c r="I882" s="4">
        <v>39.99</v>
      </c>
      <c r="J882" s="4">
        <v>79.98</v>
      </c>
      <c r="K882" s="4" t="s">
        <v>669</v>
      </c>
      <c r="L882" s="4" t="s">
        <v>656</v>
      </c>
      <c r="M882" s="5">
        <v>3</v>
      </c>
      <c r="N882">
        <f>VLOOKUP(B882,Customers!A:J,7,0)</f>
        <v>23</v>
      </c>
      <c r="O882" t="str">
        <f>VLOOKUP(B882,Customers!A:J,5,0)</f>
        <v>San Diego</v>
      </c>
      <c r="P882" t="str">
        <f>VLOOKUP(B882,Customers!A:J,10,0)</f>
        <v>Free</v>
      </c>
      <c r="Q882" t="str">
        <f>VLOOKUP(B882,Customers!A:J,8,0)</f>
        <v>Female</v>
      </c>
      <c r="R882" t="b">
        <f t="shared" si="26"/>
        <v>1</v>
      </c>
      <c r="S882" s="18">
        <f t="shared" si="27"/>
        <v>45323</v>
      </c>
    </row>
    <row r="883" spans="1:19" x14ac:dyDescent="0.25">
      <c r="A883" s="6" t="s">
        <v>2102</v>
      </c>
      <c r="B883" s="7" t="s">
        <v>372</v>
      </c>
      <c r="C883" s="15">
        <v>44587</v>
      </c>
      <c r="D883" s="7" t="s">
        <v>710</v>
      </c>
      <c r="E883" s="7" t="s">
        <v>711</v>
      </c>
      <c r="F883" s="7">
        <v>14.99</v>
      </c>
      <c r="G883" s="7">
        <v>2</v>
      </c>
      <c r="H883" s="7">
        <v>10</v>
      </c>
      <c r="I883" s="7">
        <v>13.49</v>
      </c>
      <c r="J883" s="7">
        <v>26.98</v>
      </c>
      <c r="K883" s="7" t="s">
        <v>669</v>
      </c>
      <c r="L883" s="7" t="s">
        <v>693</v>
      </c>
      <c r="M883" s="8"/>
      <c r="N883">
        <f>VLOOKUP(B883,Customers!A:J,7,0)</f>
        <v>23</v>
      </c>
      <c r="O883" t="str">
        <f>VLOOKUP(B883,Customers!A:J,5,0)</f>
        <v>San Diego</v>
      </c>
      <c r="P883" t="str">
        <f>VLOOKUP(B883,Customers!A:J,10,0)</f>
        <v>Free</v>
      </c>
      <c r="Q883" t="str">
        <f>VLOOKUP(B883,Customers!A:J,8,0)</f>
        <v>Female</v>
      </c>
      <c r="R883" t="b">
        <f t="shared" si="26"/>
        <v>1</v>
      </c>
      <c r="S883" s="18">
        <f t="shared" si="27"/>
        <v>44562</v>
      </c>
    </row>
    <row r="884" spans="1:19" x14ac:dyDescent="0.25">
      <c r="A884" s="3" t="s">
        <v>2103</v>
      </c>
      <c r="B884" s="4" t="s">
        <v>372</v>
      </c>
      <c r="C884" s="14">
        <v>45586</v>
      </c>
      <c r="D884" s="4" t="s">
        <v>672</v>
      </c>
      <c r="E884" s="4" t="s">
        <v>724</v>
      </c>
      <c r="F884" s="4">
        <v>89.99</v>
      </c>
      <c r="G884" s="4">
        <v>3</v>
      </c>
      <c r="H884" s="4">
        <v>15</v>
      </c>
      <c r="I884" s="4">
        <v>76.489999999999995</v>
      </c>
      <c r="J884" s="4">
        <v>229.47</v>
      </c>
      <c r="K884" s="4" t="s">
        <v>682</v>
      </c>
      <c r="L884" s="4" t="s">
        <v>693</v>
      </c>
      <c r="M884" s="5"/>
      <c r="N884">
        <f>VLOOKUP(B884,Customers!A:J,7,0)</f>
        <v>23</v>
      </c>
      <c r="O884" t="str">
        <f>VLOOKUP(B884,Customers!A:J,5,0)</f>
        <v>San Diego</v>
      </c>
      <c r="P884" t="str">
        <f>VLOOKUP(B884,Customers!A:J,10,0)</f>
        <v>Free</v>
      </c>
      <c r="Q884" t="str">
        <f>VLOOKUP(B884,Customers!A:J,8,0)</f>
        <v>Female</v>
      </c>
      <c r="R884" t="b">
        <f t="shared" si="26"/>
        <v>1</v>
      </c>
      <c r="S884" s="18">
        <f t="shared" si="27"/>
        <v>45566</v>
      </c>
    </row>
    <row r="885" spans="1:19" x14ac:dyDescent="0.25">
      <c r="A885" s="6" t="s">
        <v>2105</v>
      </c>
      <c r="B885" s="7" t="s">
        <v>372</v>
      </c>
      <c r="C885" s="15">
        <v>45426</v>
      </c>
      <c r="D885" s="7" t="s">
        <v>667</v>
      </c>
      <c r="E885" s="7" t="s">
        <v>714</v>
      </c>
      <c r="F885" s="7">
        <v>44.99</v>
      </c>
      <c r="G885" s="7">
        <v>1</v>
      </c>
      <c r="H885" s="7">
        <v>0</v>
      </c>
      <c r="I885" s="7">
        <v>44.99</v>
      </c>
      <c r="J885" s="7">
        <v>44.99</v>
      </c>
      <c r="K885" s="7" t="s">
        <v>655</v>
      </c>
      <c r="L885" s="7" t="s">
        <v>656</v>
      </c>
      <c r="M885" s="8"/>
      <c r="N885">
        <f>VLOOKUP(B885,Customers!A:J,7,0)</f>
        <v>23</v>
      </c>
      <c r="O885" t="str">
        <f>VLOOKUP(B885,Customers!A:J,5,0)</f>
        <v>San Diego</v>
      </c>
      <c r="P885" t="str">
        <f>VLOOKUP(B885,Customers!A:J,10,0)</f>
        <v>Free</v>
      </c>
      <c r="Q885" t="str">
        <f>VLOOKUP(B885,Customers!A:J,8,0)</f>
        <v>Female</v>
      </c>
      <c r="R885" t="b">
        <f t="shared" si="26"/>
        <v>1</v>
      </c>
      <c r="S885" s="18">
        <f t="shared" si="27"/>
        <v>45413</v>
      </c>
    </row>
    <row r="886" spans="1:19" x14ac:dyDescent="0.25">
      <c r="A886" s="3" t="s">
        <v>2106</v>
      </c>
      <c r="B886" s="4" t="s">
        <v>372</v>
      </c>
      <c r="C886" s="14">
        <v>45532</v>
      </c>
      <c r="D886" s="4" t="s">
        <v>680</v>
      </c>
      <c r="E886" s="4" t="s">
        <v>749</v>
      </c>
      <c r="F886" s="4">
        <v>14.99</v>
      </c>
      <c r="G886" s="4">
        <v>3</v>
      </c>
      <c r="H886" s="4">
        <v>10</v>
      </c>
      <c r="I886" s="4">
        <v>13.49</v>
      </c>
      <c r="J886" s="4">
        <v>40.47</v>
      </c>
      <c r="K886" s="4" t="s">
        <v>669</v>
      </c>
      <c r="L886" s="4" t="s">
        <v>656</v>
      </c>
      <c r="M886" s="5">
        <v>4</v>
      </c>
      <c r="N886">
        <f>VLOOKUP(B886,Customers!A:J,7,0)</f>
        <v>23</v>
      </c>
      <c r="O886" t="str">
        <f>VLOOKUP(B886,Customers!A:J,5,0)</f>
        <v>San Diego</v>
      </c>
      <c r="P886" t="str">
        <f>VLOOKUP(B886,Customers!A:J,10,0)</f>
        <v>Free</v>
      </c>
      <c r="Q886" t="str">
        <f>VLOOKUP(B886,Customers!A:J,8,0)</f>
        <v>Female</v>
      </c>
      <c r="R886" t="b">
        <f t="shared" si="26"/>
        <v>1</v>
      </c>
      <c r="S886" s="18">
        <f t="shared" si="27"/>
        <v>45505</v>
      </c>
    </row>
    <row r="887" spans="1:19" x14ac:dyDescent="0.25">
      <c r="A887" s="6" t="s">
        <v>2107</v>
      </c>
      <c r="B887" s="7" t="s">
        <v>372</v>
      </c>
      <c r="C887" s="15">
        <v>44666</v>
      </c>
      <c r="D887" s="7" t="s">
        <v>672</v>
      </c>
      <c r="E887" s="7" t="s">
        <v>724</v>
      </c>
      <c r="F887" s="7">
        <v>89.99</v>
      </c>
      <c r="G887" s="7">
        <v>4</v>
      </c>
      <c r="H887" s="7">
        <v>10</v>
      </c>
      <c r="I887" s="7">
        <v>80.989999999999995</v>
      </c>
      <c r="J887" s="7">
        <v>323.95999999999998</v>
      </c>
      <c r="K887" s="7" t="s">
        <v>655</v>
      </c>
      <c r="L887" s="7" t="s">
        <v>656</v>
      </c>
      <c r="M887" s="8">
        <v>4</v>
      </c>
      <c r="N887">
        <f>VLOOKUP(B887,Customers!A:J,7,0)</f>
        <v>23</v>
      </c>
      <c r="O887" t="str">
        <f>VLOOKUP(B887,Customers!A:J,5,0)</f>
        <v>San Diego</v>
      </c>
      <c r="P887" t="str">
        <f>VLOOKUP(B887,Customers!A:J,10,0)</f>
        <v>Free</v>
      </c>
      <c r="Q887" t="str">
        <f>VLOOKUP(B887,Customers!A:J,8,0)</f>
        <v>Female</v>
      </c>
      <c r="R887" t="b">
        <f t="shared" si="26"/>
        <v>1</v>
      </c>
      <c r="S887" s="18">
        <f t="shared" si="27"/>
        <v>44652</v>
      </c>
    </row>
    <row r="888" spans="1:19" x14ac:dyDescent="0.25">
      <c r="A888" s="3" t="s">
        <v>2108</v>
      </c>
      <c r="B888" s="4" t="s">
        <v>372</v>
      </c>
      <c r="C888" s="14">
        <v>45005</v>
      </c>
      <c r="D888" s="4" t="s">
        <v>653</v>
      </c>
      <c r="E888" s="4" t="s">
        <v>727</v>
      </c>
      <c r="F888" s="4">
        <v>14.99</v>
      </c>
      <c r="G888" s="4">
        <v>3</v>
      </c>
      <c r="H888" s="4">
        <v>15</v>
      </c>
      <c r="I888" s="4">
        <v>12.74</v>
      </c>
      <c r="J888" s="4">
        <v>38.22</v>
      </c>
      <c r="K888" s="4" t="s">
        <v>661</v>
      </c>
      <c r="L888" s="4" t="s">
        <v>656</v>
      </c>
      <c r="M888" s="5">
        <v>5</v>
      </c>
      <c r="N888">
        <f>VLOOKUP(B888,Customers!A:J,7,0)</f>
        <v>23</v>
      </c>
      <c r="O888" t="str">
        <f>VLOOKUP(B888,Customers!A:J,5,0)</f>
        <v>San Diego</v>
      </c>
      <c r="P888" t="str">
        <f>VLOOKUP(B888,Customers!A:J,10,0)</f>
        <v>Free</v>
      </c>
      <c r="Q888" t="str">
        <f>VLOOKUP(B888,Customers!A:J,8,0)</f>
        <v>Female</v>
      </c>
      <c r="R888" t="b">
        <f t="shared" si="26"/>
        <v>1</v>
      </c>
      <c r="S888" s="18">
        <f t="shared" si="27"/>
        <v>44986</v>
      </c>
    </row>
    <row r="889" spans="1:19" x14ac:dyDescent="0.25">
      <c r="A889" s="6" t="s">
        <v>2109</v>
      </c>
      <c r="B889" s="7" t="s">
        <v>372</v>
      </c>
      <c r="C889" s="15">
        <v>45171</v>
      </c>
      <c r="D889" s="7" t="s">
        <v>672</v>
      </c>
      <c r="E889" s="7" t="s">
        <v>673</v>
      </c>
      <c r="F889" s="7">
        <v>24.99</v>
      </c>
      <c r="G889" s="7">
        <v>4</v>
      </c>
      <c r="H889" s="7">
        <v>15</v>
      </c>
      <c r="I889" s="7">
        <v>21.24</v>
      </c>
      <c r="J889" s="7">
        <v>84.96</v>
      </c>
      <c r="K889" s="7" t="s">
        <v>675</v>
      </c>
      <c r="L889" s="7" t="s">
        <v>656</v>
      </c>
      <c r="M889" s="8"/>
      <c r="N889">
        <f>VLOOKUP(B889,Customers!A:J,7,0)</f>
        <v>23</v>
      </c>
      <c r="O889" t="str">
        <f>VLOOKUP(B889,Customers!A:J,5,0)</f>
        <v>San Diego</v>
      </c>
      <c r="P889" t="str">
        <f>VLOOKUP(B889,Customers!A:J,10,0)</f>
        <v>Free</v>
      </c>
      <c r="Q889" t="str">
        <f>VLOOKUP(B889,Customers!A:J,8,0)</f>
        <v>Female</v>
      </c>
      <c r="R889" t="b">
        <f t="shared" si="26"/>
        <v>1</v>
      </c>
      <c r="S889" s="18">
        <f t="shared" si="27"/>
        <v>45170</v>
      </c>
    </row>
    <row r="890" spans="1:19" x14ac:dyDescent="0.25">
      <c r="A890" s="3" t="s">
        <v>2110</v>
      </c>
      <c r="B890" s="4" t="s">
        <v>375</v>
      </c>
      <c r="C890" s="14">
        <v>45372</v>
      </c>
      <c r="D890" s="4" t="s">
        <v>672</v>
      </c>
      <c r="E890" s="4" t="s">
        <v>724</v>
      </c>
      <c r="F890" s="4">
        <v>89.99</v>
      </c>
      <c r="G890" s="4">
        <v>1</v>
      </c>
      <c r="H890" s="4">
        <v>0</v>
      </c>
      <c r="I890" s="4">
        <v>89.99</v>
      </c>
      <c r="J890" s="4">
        <v>89.99</v>
      </c>
      <c r="K890" s="4" t="s">
        <v>655</v>
      </c>
      <c r="L890" s="4" t="s">
        <v>656</v>
      </c>
      <c r="M890" s="5">
        <v>5</v>
      </c>
      <c r="N890">
        <f>VLOOKUP(B890,Customers!A:J,7,0)</f>
        <v>38</v>
      </c>
      <c r="O890" t="str">
        <f>VLOOKUP(B890,Customers!A:J,5,0)</f>
        <v>San Jose</v>
      </c>
      <c r="P890" t="str">
        <f>VLOOKUP(B890,Customers!A:J,10,0)</f>
        <v>Gold</v>
      </c>
      <c r="Q890" t="str">
        <f>VLOOKUP(B890,Customers!A:J,8,0)</f>
        <v>Female</v>
      </c>
      <c r="R890" t="b">
        <f t="shared" si="26"/>
        <v>1</v>
      </c>
      <c r="S890" s="18">
        <f t="shared" si="27"/>
        <v>45352</v>
      </c>
    </row>
    <row r="891" spans="1:19" x14ac:dyDescent="0.25">
      <c r="A891" s="6" t="s">
        <v>2111</v>
      </c>
      <c r="B891" s="7" t="s">
        <v>375</v>
      </c>
      <c r="C891" s="15">
        <v>44981</v>
      </c>
      <c r="D891" s="7" t="s">
        <v>672</v>
      </c>
      <c r="E891" s="7" t="s">
        <v>673</v>
      </c>
      <c r="F891" s="7">
        <v>24.99</v>
      </c>
      <c r="G891" s="7">
        <v>3</v>
      </c>
      <c r="H891" s="7">
        <v>0</v>
      </c>
      <c r="I891" s="7">
        <v>24.99</v>
      </c>
      <c r="J891" s="7">
        <v>74.97</v>
      </c>
      <c r="K891" s="7" t="s">
        <v>655</v>
      </c>
      <c r="L891" s="7" t="s">
        <v>656</v>
      </c>
      <c r="M891" s="8">
        <v>5</v>
      </c>
      <c r="N891">
        <f>VLOOKUP(B891,Customers!A:J,7,0)</f>
        <v>38</v>
      </c>
      <c r="O891" t="str">
        <f>VLOOKUP(B891,Customers!A:J,5,0)</f>
        <v>San Jose</v>
      </c>
      <c r="P891" t="str">
        <f>VLOOKUP(B891,Customers!A:J,10,0)</f>
        <v>Gold</v>
      </c>
      <c r="Q891" t="str">
        <f>VLOOKUP(B891,Customers!A:J,8,0)</f>
        <v>Female</v>
      </c>
      <c r="R891" t="b">
        <f t="shared" si="26"/>
        <v>1</v>
      </c>
      <c r="S891" s="18">
        <f t="shared" si="27"/>
        <v>44958</v>
      </c>
    </row>
    <row r="892" spans="1:19" x14ac:dyDescent="0.25">
      <c r="A892" s="3" t="s">
        <v>2113</v>
      </c>
      <c r="B892" s="4" t="s">
        <v>375</v>
      </c>
      <c r="C892" s="14">
        <v>45324</v>
      </c>
      <c r="D892" s="4" t="s">
        <v>672</v>
      </c>
      <c r="E892" s="4" t="s">
        <v>735</v>
      </c>
      <c r="F892" s="4">
        <v>44.99</v>
      </c>
      <c r="G892" s="4">
        <v>2</v>
      </c>
      <c r="H892" s="4">
        <v>10</v>
      </c>
      <c r="I892" s="4">
        <v>40.49</v>
      </c>
      <c r="J892" s="4">
        <v>80.98</v>
      </c>
      <c r="K892" s="4" t="s">
        <v>682</v>
      </c>
      <c r="L892" s="4" t="s">
        <v>656</v>
      </c>
      <c r="M892" s="5">
        <v>3</v>
      </c>
      <c r="N892">
        <f>VLOOKUP(B892,Customers!A:J,7,0)</f>
        <v>38</v>
      </c>
      <c r="O892" t="str">
        <f>VLOOKUP(B892,Customers!A:J,5,0)</f>
        <v>San Jose</v>
      </c>
      <c r="P892" t="str">
        <f>VLOOKUP(B892,Customers!A:J,10,0)</f>
        <v>Gold</v>
      </c>
      <c r="Q892" t="str">
        <f>VLOOKUP(B892,Customers!A:J,8,0)</f>
        <v>Female</v>
      </c>
      <c r="R892" t="b">
        <f t="shared" si="26"/>
        <v>1</v>
      </c>
      <c r="S892" s="18">
        <f t="shared" si="27"/>
        <v>45323</v>
      </c>
    </row>
    <row r="893" spans="1:19" x14ac:dyDescent="0.25">
      <c r="A893" s="6" t="s">
        <v>2115</v>
      </c>
      <c r="B893" s="7" t="s">
        <v>375</v>
      </c>
      <c r="C893" s="15">
        <v>45261</v>
      </c>
      <c r="D893" s="7" t="s">
        <v>680</v>
      </c>
      <c r="E893" s="7" t="s">
        <v>688</v>
      </c>
      <c r="F893" s="7">
        <v>29.99</v>
      </c>
      <c r="G893" s="7">
        <v>4</v>
      </c>
      <c r="H893" s="7">
        <v>20</v>
      </c>
      <c r="I893" s="7">
        <v>23.99</v>
      </c>
      <c r="J893" s="7">
        <v>95.96</v>
      </c>
      <c r="K893" s="7" t="s">
        <v>669</v>
      </c>
      <c r="L893" s="7" t="s">
        <v>656</v>
      </c>
      <c r="M893" s="8">
        <v>4</v>
      </c>
      <c r="N893">
        <f>VLOOKUP(B893,Customers!A:J,7,0)</f>
        <v>38</v>
      </c>
      <c r="O893" t="str">
        <f>VLOOKUP(B893,Customers!A:J,5,0)</f>
        <v>San Jose</v>
      </c>
      <c r="P893" t="str">
        <f>VLOOKUP(B893,Customers!A:J,10,0)</f>
        <v>Gold</v>
      </c>
      <c r="Q893" t="str">
        <f>VLOOKUP(B893,Customers!A:J,8,0)</f>
        <v>Female</v>
      </c>
      <c r="R893" t="b">
        <f t="shared" si="26"/>
        <v>1</v>
      </c>
      <c r="S893" s="18">
        <f t="shared" si="27"/>
        <v>45261</v>
      </c>
    </row>
    <row r="894" spans="1:19" x14ac:dyDescent="0.25">
      <c r="A894" s="3" t="s">
        <v>2117</v>
      </c>
      <c r="B894" s="4" t="s">
        <v>375</v>
      </c>
      <c r="C894" s="14">
        <v>45520</v>
      </c>
      <c r="D894" s="4" t="s">
        <v>710</v>
      </c>
      <c r="E894" s="4" t="s">
        <v>744</v>
      </c>
      <c r="F894" s="4">
        <v>29.99</v>
      </c>
      <c r="G894" s="4">
        <v>4</v>
      </c>
      <c r="H894" s="4">
        <v>10</v>
      </c>
      <c r="I894" s="4">
        <v>26.99</v>
      </c>
      <c r="J894" s="4">
        <v>107.96</v>
      </c>
      <c r="K894" s="4" t="s">
        <v>675</v>
      </c>
      <c r="L894" s="4" t="s">
        <v>656</v>
      </c>
      <c r="M894" s="5">
        <v>5</v>
      </c>
      <c r="N894">
        <f>VLOOKUP(B894,Customers!A:J,7,0)</f>
        <v>38</v>
      </c>
      <c r="O894" t="str">
        <f>VLOOKUP(B894,Customers!A:J,5,0)</f>
        <v>San Jose</v>
      </c>
      <c r="P894" t="str">
        <f>VLOOKUP(B894,Customers!A:J,10,0)</f>
        <v>Gold</v>
      </c>
      <c r="Q894" t="str">
        <f>VLOOKUP(B894,Customers!A:J,8,0)</f>
        <v>Female</v>
      </c>
      <c r="R894" t="b">
        <f t="shared" si="26"/>
        <v>1</v>
      </c>
      <c r="S894" s="18">
        <f t="shared" si="27"/>
        <v>45505</v>
      </c>
    </row>
    <row r="895" spans="1:19" x14ac:dyDescent="0.25">
      <c r="A895" s="6" t="s">
        <v>2119</v>
      </c>
      <c r="B895" s="7" t="s">
        <v>375</v>
      </c>
      <c r="C895" s="15">
        <v>44836</v>
      </c>
      <c r="D895" s="7" t="s">
        <v>653</v>
      </c>
      <c r="E895" s="7" t="s">
        <v>769</v>
      </c>
      <c r="F895" s="7">
        <v>49.99</v>
      </c>
      <c r="G895" s="7">
        <v>4</v>
      </c>
      <c r="H895" s="7">
        <v>0</v>
      </c>
      <c r="I895" s="7">
        <v>49.99</v>
      </c>
      <c r="J895" s="7">
        <v>199.96</v>
      </c>
      <c r="K895" s="7" t="s">
        <v>669</v>
      </c>
      <c r="L895" s="7" t="s">
        <v>656</v>
      </c>
      <c r="M895" s="8">
        <v>4</v>
      </c>
      <c r="N895">
        <f>VLOOKUP(B895,Customers!A:J,7,0)</f>
        <v>38</v>
      </c>
      <c r="O895" t="str">
        <f>VLOOKUP(B895,Customers!A:J,5,0)</f>
        <v>San Jose</v>
      </c>
      <c r="P895" t="str">
        <f>VLOOKUP(B895,Customers!A:J,10,0)</f>
        <v>Gold</v>
      </c>
      <c r="Q895" t="str">
        <f>VLOOKUP(B895,Customers!A:J,8,0)</f>
        <v>Female</v>
      </c>
      <c r="R895" t="b">
        <f t="shared" si="26"/>
        <v>1</v>
      </c>
      <c r="S895" s="18">
        <f t="shared" si="27"/>
        <v>44835</v>
      </c>
    </row>
    <row r="896" spans="1:19" x14ac:dyDescent="0.25">
      <c r="A896" s="3" t="s">
        <v>2120</v>
      </c>
      <c r="B896" s="4" t="s">
        <v>378</v>
      </c>
      <c r="C896" s="14">
        <v>44904</v>
      </c>
      <c r="D896" s="4" t="s">
        <v>684</v>
      </c>
      <c r="E896" s="4" t="s">
        <v>702</v>
      </c>
      <c r="F896" s="4">
        <v>199.99</v>
      </c>
      <c r="G896" s="4">
        <v>3</v>
      </c>
      <c r="H896" s="4">
        <v>15</v>
      </c>
      <c r="I896" s="4">
        <v>169.99</v>
      </c>
      <c r="J896" s="4">
        <v>509.97</v>
      </c>
      <c r="K896" s="4" t="s">
        <v>675</v>
      </c>
      <c r="L896" s="4" t="s">
        <v>656</v>
      </c>
      <c r="M896" s="5">
        <v>4</v>
      </c>
      <c r="N896">
        <f>VLOOKUP(B896,Customers!A:J,7,0)</f>
        <v>19</v>
      </c>
      <c r="O896" t="str">
        <f>VLOOKUP(B896,Customers!A:J,5,0)</f>
        <v>San Antonio</v>
      </c>
      <c r="P896" t="str">
        <f>VLOOKUP(B896,Customers!A:J,10,0)</f>
        <v>Silver</v>
      </c>
      <c r="Q896" t="str">
        <f>VLOOKUP(B896,Customers!A:J,8,0)</f>
        <v>Female</v>
      </c>
      <c r="R896" t="b">
        <f t="shared" si="26"/>
        <v>1</v>
      </c>
      <c r="S896" s="18">
        <f t="shared" si="27"/>
        <v>44896</v>
      </c>
    </row>
    <row r="897" spans="1:19" x14ac:dyDescent="0.25">
      <c r="A897" s="6" t="s">
        <v>2122</v>
      </c>
      <c r="B897" s="7" t="s">
        <v>378</v>
      </c>
      <c r="C897" s="15">
        <v>44801</v>
      </c>
      <c r="D897" s="7" t="s">
        <v>659</v>
      </c>
      <c r="E897" s="7" t="s">
        <v>660</v>
      </c>
      <c r="F897" s="7">
        <v>19.989999999999998</v>
      </c>
      <c r="G897" s="7">
        <v>4</v>
      </c>
      <c r="H897" s="7">
        <v>0</v>
      </c>
      <c r="I897" s="7">
        <v>19.989999999999998</v>
      </c>
      <c r="J897" s="7">
        <v>79.959999999999994</v>
      </c>
      <c r="K897" s="7" t="s">
        <v>675</v>
      </c>
      <c r="L897" s="7" t="s">
        <v>656</v>
      </c>
      <c r="M897" s="8">
        <v>4</v>
      </c>
      <c r="N897">
        <f>VLOOKUP(B897,Customers!A:J,7,0)</f>
        <v>19</v>
      </c>
      <c r="O897" t="str">
        <f>VLOOKUP(B897,Customers!A:J,5,0)</f>
        <v>San Antonio</v>
      </c>
      <c r="P897" t="str">
        <f>VLOOKUP(B897,Customers!A:J,10,0)</f>
        <v>Silver</v>
      </c>
      <c r="Q897" t="str">
        <f>VLOOKUP(B897,Customers!A:J,8,0)</f>
        <v>Female</v>
      </c>
      <c r="R897" t="b">
        <f t="shared" si="26"/>
        <v>1</v>
      </c>
      <c r="S897" s="18">
        <f t="shared" si="27"/>
        <v>44774</v>
      </c>
    </row>
    <row r="898" spans="1:19" x14ac:dyDescent="0.25">
      <c r="A898" s="3" t="s">
        <v>2124</v>
      </c>
      <c r="B898" s="4" t="s">
        <v>378</v>
      </c>
      <c r="C898" s="14">
        <v>45506</v>
      </c>
      <c r="D898" s="4" t="s">
        <v>672</v>
      </c>
      <c r="E898" s="4" t="s">
        <v>803</v>
      </c>
      <c r="F898" s="4">
        <v>69.989999999999995</v>
      </c>
      <c r="G898" s="4">
        <v>1</v>
      </c>
      <c r="H898" s="4">
        <v>15</v>
      </c>
      <c r="I898" s="4">
        <v>59.49</v>
      </c>
      <c r="J898" s="4">
        <v>59.49</v>
      </c>
      <c r="K898" s="4" t="s">
        <v>682</v>
      </c>
      <c r="L898" s="4" t="s">
        <v>739</v>
      </c>
      <c r="M898" s="5"/>
      <c r="N898">
        <f>VLOOKUP(B898,Customers!A:J,7,0)</f>
        <v>19</v>
      </c>
      <c r="O898" t="str">
        <f>VLOOKUP(B898,Customers!A:J,5,0)</f>
        <v>San Antonio</v>
      </c>
      <c r="P898" t="str">
        <f>VLOOKUP(B898,Customers!A:J,10,0)</f>
        <v>Silver</v>
      </c>
      <c r="Q898" t="str">
        <f>VLOOKUP(B898,Customers!A:J,8,0)</f>
        <v>Female</v>
      </c>
      <c r="R898" t="b">
        <f t="shared" si="26"/>
        <v>1</v>
      </c>
      <c r="S898" s="18">
        <f t="shared" si="27"/>
        <v>45505</v>
      </c>
    </row>
    <row r="899" spans="1:19" x14ac:dyDescent="0.25">
      <c r="A899" s="6" t="s">
        <v>2125</v>
      </c>
      <c r="B899" s="7" t="s">
        <v>378</v>
      </c>
      <c r="C899" s="15">
        <v>44807</v>
      </c>
      <c r="D899" s="7" t="s">
        <v>653</v>
      </c>
      <c r="E899" s="7" t="s">
        <v>827</v>
      </c>
      <c r="F899" s="7">
        <v>29.99</v>
      </c>
      <c r="G899" s="7">
        <v>3</v>
      </c>
      <c r="H899" s="7">
        <v>15</v>
      </c>
      <c r="I899" s="7">
        <v>25.49</v>
      </c>
      <c r="J899" s="7">
        <v>76.47</v>
      </c>
      <c r="K899" s="7" t="s">
        <v>675</v>
      </c>
      <c r="L899" s="7" t="s">
        <v>656</v>
      </c>
      <c r="M899" s="8"/>
      <c r="N899">
        <f>VLOOKUP(B899,Customers!A:J,7,0)</f>
        <v>19</v>
      </c>
      <c r="O899" t="str">
        <f>VLOOKUP(B899,Customers!A:J,5,0)</f>
        <v>San Antonio</v>
      </c>
      <c r="P899" t="str">
        <f>VLOOKUP(B899,Customers!A:J,10,0)</f>
        <v>Silver</v>
      </c>
      <c r="Q899" t="str">
        <f>VLOOKUP(B899,Customers!A:J,8,0)</f>
        <v>Female</v>
      </c>
      <c r="R899" t="b">
        <f t="shared" ref="R899:R962" si="28">ISNUMBER(C899)</f>
        <v>1</v>
      </c>
      <c r="S899" s="18">
        <f t="shared" ref="S899:S962" si="29">DATE(YEAR(C899),MONTH(C899),1)</f>
        <v>44805</v>
      </c>
    </row>
    <row r="900" spans="1:19" x14ac:dyDescent="0.25">
      <c r="A900" s="3" t="s">
        <v>2126</v>
      </c>
      <c r="B900" s="4" t="s">
        <v>378</v>
      </c>
      <c r="C900" s="14">
        <v>45648</v>
      </c>
      <c r="D900" s="4" t="s">
        <v>659</v>
      </c>
      <c r="E900" s="4" t="s">
        <v>762</v>
      </c>
      <c r="F900" s="4">
        <v>49.99</v>
      </c>
      <c r="G900" s="4">
        <v>1</v>
      </c>
      <c r="H900" s="4">
        <v>0</v>
      </c>
      <c r="I900" s="4">
        <v>49.99</v>
      </c>
      <c r="J900" s="4">
        <v>49.99</v>
      </c>
      <c r="K900" s="4" t="s">
        <v>675</v>
      </c>
      <c r="L900" s="4" t="s">
        <v>656</v>
      </c>
      <c r="M900" s="5"/>
      <c r="N900">
        <f>VLOOKUP(B900,Customers!A:J,7,0)</f>
        <v>19</v>
      </c>
      <c r="O900" t="str">
        <f>VLOOKUP(B900,Customers!A:J,5,0)</f>
        <v>San Antonio</v>
      </c>
      <c r="P900" t="str">
        <f>VLOOKUP(B900,Customers!A:J,10,0)</f>
        <v>Silver</v>
      </c>
      <c r="Q900" t="str">
        <f>VLOOKUP(B900,Customers!A:J,8,0)</f>
        <v>Female</v>
      </c>
      <c r="R900" t="b">
        <f t="shared" si="28"/>
        <v>1</v>
      </c>
      <c r="S900" s="18">
        <f t="shared" si="29"/>
        <v>45627</v>
      </c>
    </row>
    <row r="901" spans="1:19" x14ac:dyDescent="0.25">
      <c r="A901" s="6" t="s">
        <v>2128</v>
      </c>
      <c r="B901" s="7" t="s">
        <v>381</v>
      </c>
      <c r="C901" s="15">
        <v>44927</v>
      </c>
      <c r="D901" s="7" t="s">
        <v>710</v>
      </c>
      <c r="E901" s="7" t="s">
        <v>721</v>
      </c>
      <c r="F901" s="7">
        <v>24.99</v>
      </c>
      <c r="G901" s="7">
        <v>3</v>
      </c>
      <c r="H901" s="7">
        <v>5</v>
      </c>
      <c r="I901" s="7">
        <v>23.74</v>
      </c>
      <c r="J901" s="7">
        <v>71.22</v>
      </c>
      <c r="K901" s="7" t="s">
        <v>661</v>
      </c>
      <c r="L901" s="7" t="s">
        <v>656</v>
      </c>
      <c r="M901" s="8"/>
      <c r="N901">
        <f>VLOOKUP(B901,Customers!A:J,7,0)</f>
        <v>62</v>
      </c>
      <c r="O901" t="str">
        <f>VLOOKUP(B901,Customers!A:J,5,0)</f>
        <v>San Diego</v>
      </c>
      <c r="P901" t="str">
        <f>VLOOKUP(B901,Customers!A:J,10,0)</f>
        <v>Free</v>
      </c>
      <c r="Q901" t="str">
        <f>VLOOKUP(B901,Customers!A:J,8,0)</f>
        <v>Female</v>
      </c>
      <c r="R901" t="b">
        <f t="shared" si="28"/>
        <v>1</v>
      </c>
      <c r="S901" s="18">
        <f t="shared" si="29"/>
        <v>44927</v>
      </c>
    </row>
    <row r="902" spans="1:19" x14ac:dyDescent="0.25">
      <c r="A902" s="3" t="s">
        <v>2129</v>
      </c>
      <c r="B902" s="4" t="s">
        <v>381</v>
      </c>
      <c r="C902" s="14">
        <v>45123</v>
      </c>
      <c r="D902" s="4" t="s">
        <v>684</v>
      </c>
      <c r="E902" s="4" t="s">
        <v>705</v>
      </c>
      <c r="F902" s="4">
        <v>79.989999999999995</v>
      </c>
      <c r="G902" s="4">
        <v>3</v>
      </c>
      <c r="H902" s="4">
        <v>20</v>
      </c>
      <c r="I902" s="4">
        <v>63.99</v>
      </c>
      <c r="J902" s="4">
        <v>191.97</v>
      </c>
      <c r="K902" s="4" t="s">
        <v>675</v>
      </c>
      <c r="L902" s="4" t="s">
        <v>656</v>
      </c>
      <c r="M902" s="5">
        <v>3</v>
      </c>
      <c r="N902">
        <f>VLOOKUP(B902,Customers!A:J,7,0)</f>
        <v>62</v>
      </c>
      <c r="O902" t="str">
        <f>VLOOKUP(B902,Customers!A:J,5,0)</f>
        <v>San Diego</v>
      </c>
      <c r="P902" t="str">
        <f>VLOOKUP(B902,Customers!A:J,10,0)</f>
        <v>Free</v>
      </c>
      <c r="Q902" t="str">
        <f>VLOOKUP(B902,Customers!A:J,8,0)</f>
        <v>Female</v>
      </c>
      <c r="R902" t="b">
        <f t="shared" si="28"/>
        <v>1</v>
      </c>
      <c r="S902" s="18">
        <f t="shared" si="29"/>
        <v>45108</v>
      </c>
    </row>
    <row r="903" spans="1:19" x14ac:dyDescent="0.25">
      <c r="A903" s="6" t="s">
        <v>2130</v>
      </c>
      <c r="B903" s="7" t="s">
        <v>381</v>
      </c>
      <c r="C903" s="15">
        <v>45265</v>
      </c>
      <c r="D903" s="7" t="s">
        <v>672</v>
      </c>
      <c r="E903" s="7" t="s">
        <v>803</v>
      </c>
      <c r="F903" s="7">
        <v>69.989999999999995</v>
      </c>
      <c r="G903" s="7">
        <v>4</v>
      </c>
      <c r="H903" s="7">
        <v>5</v>
      </c>
      <c r="I903" s="7">
        <v>66.489999999999995</v>
      </c>
      <c r="J903" s="7">
        <v>265.95999999999998</v>
      </c>
      <c r="K903" s="7" t="s">
        <v>661</v>
      </c>
      <c r="L903" s="7" t="s">
        <v>656</v>
      </c>
      <c r="M903" s="8"/>
      <c r="N903">
        <f>VLOOKUP(B903,Customers!A:J,7,0)</f>
        <v>62</v>
      </c>
      <c r="O903" t="str">
        <f>VLOOKUP(B903,Customers!A:J,5,0)</f>
        <v>San Diego</v>
      </c>
      <c r="P903" t="str">
        <f>VLOOKUP(B903,Customers!A:J,10,0)</f>
        <v>Free</v>
      </c>
      <c r="Q903" t="str">
        <f>VLOOKUP(B903,Customers!A:J,8,0)</f>
        <v>Female</v>
      </c>
      <c r="R903" t="b">
        <f t="shared" si="28"/>
        <v>1</v>
      </c>
      <c r="S903" s="18">
        <f t="shared" si="29"/>
        <v>45261</v>
      </c>
    </row>
    <row r="904" spans="1:19" x14ac:dyDescent="0.25">
      <c r="A904" s="3" t="s">
        <v>2132</v>
      </c>
      <c r="B904" s="4" t="s">
        <v>381</v>
      </c>
      <c r="C904" s="14">
        <v>45497</v>
      </c>
      <c r="D904" s="4" t="s">
        <v>653</v>
      </c>
      <c r="E904" s="4" t="s">
        <v>727</v>
      </c>
      <c r="F904" s="4">
        <v>14.99</v>
      </c>
      <c r="G904" s="4">
        <v>4</v>
      </c>
      <c r="H904" s="4">
        <v>0</v>
      </c>
      <c r="I904" s="4">
        <v>14.99</v>
      </c>
      <c r="J904" s="4">
        <v>59.96</v>
      </c>
      <c r="K904" s="4" t="s">
        <v>669</v>
      </c>
      <c r="L904" s="4" t="s">
        <v>656</v>
      </c>
      <c r="M904" s="5"/>
      <c r="N904">
        <f>VLOOKUP(B904,Customers!A:J,7,0)</f>
        <v>62</v>
      </c>
      <c r="O904" t="str">
        <f>VLOOKUP(B904,Customers!A:J,5,0)</f>
        <v>San Diego</v>
      </c>
      <c r="P904" t="str">
        <f>VLOOKUP(B904,Customers!A:J,10,0)</f>
        <v>Free</v>
      </c>
      <c r="Q904" t="str">
        <f>VLOOKUP(B904,Customers!A:J,8,0)</f>
        <v>Female</v>
      </c>
      <c r="R904" t="b">
        <f t="shared" si="28"/>
        <v>1</v>
      </c>
      <c r="S904" s="18">
        <f t="shared" si="29"/>
        <v>45474</v>
      </c>
    </row>
    <row r="905" spans="1:19" x14ac:dyDescent="0.25">
      <c r="A905" s="6" t="s">
        <v>2133</v>
      </c>
      <c r="B905" s="7" t="s">
        <v>381</v>
      </c>
      <c r="C905" s="15">
        <v>44609</v>
      </c>
      <c r="D905" s="7" t="s">
        <v>659</v>
      </c>
      <c r="E905" s="7" t="s">
        <v>762</v>
      </c>
      <c r="F905" s="7">
        <v>49.99</v>
      </c>
      <c r="G905" s="7">
        <v>4</v>
      </c>
      <c r="H905" s="7">
        <v>0</v>
      </c>
      <c r="I905" s="7">
        <v>49.99</v>
      </c>
      <c r="J905" s="7">
        <v>199.96</v>
      </c>
      <c r="K905" s="7" t="s">
        <v>655</v>
      </c>
      <c r="L905" s="7" t="s">
        <v>656</v>
      </c>
      <c r="M905" s="8">
        <v>4</v>
      </c>
      <c r="N905">
        <f>VLOOKUP(B905,Customers!A:J,7,0)</f>
        <v>62</v>
      </c>
      <c r="O905" t="str">
        <f>VLOOKUP(B905,Customers!A:J,5,0)</f>
        <v>San Diego</v>
      </c>
      <c r="P905" t="str">
        <f>VLOOKUP(B905,Customers!A:J,10,0)</f>
        <v>Free</v>
      </c>
      <c r="Q905" t="str">
        <f>VLOOKUP(B905,Customers!A:J,8,0)</f>
        <v>Female</v>
      </c>
      <c r="R905" t="b">
        <f t="shared" si="28"/>
        <v>1</v>
      </c>
      <c r="S905" s="18">
        <f t="shared" si="29"/>
        <v>44593</v>
      </c>
    </row>
    <row r="906" spans="1:19" x14ac:dyDescent="0.25">
      <c r="A906" s="3" t="s">
        <v>2134</v>
      </c>
      <c r="B906" s="4" t="s">
        <v>381</v>
      </c>
      <c r="C906" s="14">
        <v>45224</v>
      </c>
      <c r="D906" s="4" t="s">
        <v>653</v>
      </c>
      <c r="E906" s="4" t="s">
        <v>654</v>
      </c>
      <c r="F906" s="4">
        <v>39.99</v>
      </c>
      <c r="G906" s="4">
        <v>4</v>
      </c>
      <c r="H906" s="4">
        <v>10</v>
      </c>
      <c r="I906" s="4">
        <v>35.99</v>
      </c>
      <c r="J906" s="4">
        <v>143.96</v>
      </c>
      <c r="K906" s="4" t="s">
        <v>675</v>
      </c>
      <c r="L906" s="4" t="s">
        <v>656</v>
      </c>
      <c r="M906" s="5"/>
      <c r="N906">
        <f>VLOOKUP(B906,Customers!A:J,7,0)</f>
        <v>62</v>
      </c>
      <c r="O906" t="str">
        <f>VLOOKUP(B906,Customers!A:J,5,0)</f>
        <v>San Diego</v>
      </c>
      <c r="P906" t="str">
        <f>VLOOKUP(B906,Customers!A:J,10,0)</f>
        <v>Free</v>
      </c>
      <c r="Q906" t="str">
        <f>VLOOKUP(B906,Customers!A:J,8,0)</f>
        <v>Female</v>
      </c>
      <c r="R906" t="b">
        <f t="shared" si="28"/>
        <v>1</v>
      </c>
      <c r="S906" s="18">
        <f t="shared" si="29"/>
        <v>45200</v>
      </c>
    </row>
    <row r="907" spans="1:19" x14ac:dyDescent="0.25">
      <c r="A907" s="6" t="s">
        <v>2135</v>
      </c>
      <c r="B907" s="7" t="s">
        <v>381</v>
      </c>
      <c r="C907" s="15">
        <v>45454</v>
      </c>
      <c r="D907" s="7" t="s">
        <v>684</v>
      </c>
      <c r="E907" s="7" t="s">
        <v>685</v>
      </c>
      <c r="F907" s="7">
        <v>49.99</v>
      </c>
      <c r="G907" s="7">
        <v>2</v>
      </c>
      <c r="H907" s="7">
        <v>0</v>
      </c>
      <c r="I907" s="7">
        <v>49.99</v>
      </c>
      <c r="J907" s="7">
        <v>99.98</v>
      </c>
      <c r="K907" s="7" t="s">
        <v>675</v>
      </c>
      <c r="L907" s="7" t="s">
        <v>656</v>
      </c>
      <c r="M907" s="8">
        <v>4</v>
      </c>
      <c r="N907">
        <f>VLOOKUP(B907,Customers!A:J,7,0)</f>
        <v>62</v>
      </c>
      <c r="O907" t="str">
        <f>VLOOKUP(B907,Customers!A:J,5,0)</f>
        <v>San Diego</v>
      </c>
      <c r="P907" t="str">
        <f>VLOOKUP(B907,Customers!A:J,10,0)</f>
        <v>Free</v>
      </c>
      <c r="Q907" t="str">
        <f>VLOOKUP(B907,Customers!A:J,8,0)</f>
        <v>Female</v>
      </c>
      <c r="R907" t="b">
        <f t="shared" si="28"/>
        <v>1</v>
      </c>
      <c r="S907" s="18">
        <f t="shared" si="29"/>
        <v>45444</v>
      </c>
    </row>
    <row r="908" spans="1:19" x14ac:dyDescent="0.25">
      <c r="A908" s="3" t="s">
        <v>2136</v>
      </c>
      <c r="B908" s="4" t="s">
        <v>381</v>
      </c>
      <c r="C908" s="14">
        <v>44979</v>
      </c>
      <c r="D908" s="4" t="s">
        <v>659</v>
      </c>
      <c r="E908" s="4" t="s">
        <v>762</v>
      </c>
      <c r="F908" s="4">
        <v>49.99</v>
      </c>
      <c r="G908" s="4">
        <v>4</v>
      </c>
      <c r="H908" s="4">
        <v>20</v>
      </c>
      <c r="I908" s="4">
        <v>39.99</v>
      </c>
      <c r="J908" s="4">
        <v>159.96</v>
      </c>
      <c r="K908" s="4" t="s">
        <v>661</v>
      </c>
      <c r="L908" s="4" t="s">
        <v>693</v>
      </c>
      <c r="M908" s="5">
        <v>5</v>
      </c>
      <c r="N908">
        <f>VLOOKUP(B908,Customers!A:J,7,0)</f>
        <v>62</v>
      </c>
      <c r="O908" t="str">
        <f>VLOOKUP(B908,Customers!A:J,5,0)</f>
        <v>San Diego</v>
      </c>
      <c r="P908" t="str">
        <f>VLOOKUP(B908,Customers!A:J,10,0)</f>
        <v>Free</v>
      </c>
      <c r="Q908" t="str">
        <f>VLOOKUP(B908,Customers!A:J,8,0)</f>
        <v>Female</v>
      </c>
      <c r="R908" t="b">
        <f t="shared" si="28"/>
        <v>1</v>
      </c>
      <c r="S908" s="18">
        <f t="shared" si="29"/>
        <v>44958</v>
      </c>
    </row>
    <row r="909" spans="1:19" x14ac:dyDescent="0.25">
      <c r="A909" s="6" t="s">
        <v>2138</v>
      </c>
      <c r="B909" s="7" t="s">
        <v>381</v>
      </c>
      <c r="C909" s="15">
        <v>45496</v>
      </c>
      <c r="D909" s="7" t="s">
        <v>667</v>
      </c>
      <c r="E909" s="7" t="s">
        <v>714</v>
      </c>
      <c r="F909" s="7">
        <v>44.99</v>
      </c>
      <c r="G909" s="7">
        <v>3</v>
      </c>
      <c r="H909" s="7">
        <v>20</v>
      </c>
      <c r="I909" s="7">
        <v>35.99</v>
      </c>
      <c r="J909" s="7">
        <v>107.97</v>
      </c>
      <c r="K909" s="7" t="s">
        <v>661</v>
      </c>
      <c r="L909" s="7" t="s">
        <v>656</v>
      </c>
      <c r="M909" s="8">
        <v>4</v>
      </c>
      <c r="N909">
        <f>VLOOKUP(B909,Customers!A:J,7,0)</f>
        <v>62</v>
      </c>
      <c r="O909" t="str">
        <f>VLOOKUP(B909,Customers!A:J,5,0)</f>
        <v>San Diego</v>
      </c>
      <c r="P909" t="str">
        <f>VLOOKUP(B909,Customers!A:J,10,0)</f>
        <v>Free</v>
      </c>
      <c r="Q909" t="str">
        <f>VLOOKUP(B909,Customers!A:J,8,0)</f>
        <v>Female</v>
      </c>
      <c r="R909" t="b">
        <f t="shared" si="28"/>
        <v>1</v>
      </c>
      <c r="S909" s="18">
        <f t="shared" si="29"/>
        <v>45474</v>
      </c>
    </row>
    <row r="910" spans="1:19" x14ac:dyDescent="0.25">
      <c r="A910" s="3" t="s">
        <v>2140</v>
      </c>
      <c r="B910" s="4" t="s">
        <v>381</v>
      </c>
      <c r="C910" s="14">
        <v>44636</v>
      </c>
      <c r="D910" s="4" t="s">
        <v>659</v>
      </c>
      <c r="E910" s="4" t="s">
        <v>820</v>
      </c>
      <c r="F910" s="4">
        <v>39.99</v>
      </c>
      <c r="G910" s="4">
        <v>4</v>
      </c>
      <c r="H910" s="4">
        <v>0</v>
      </c>
      <c r="I910" s="4">
        <v>39.99</v>
      </c>
      <c r="J910" s="4">
        <v>159.96</v>
      </c>
      <c r="K910" s="4" t="s">
        <v>675</v>
      </c>
      <c r="L910" s="4" t="s">
        <v>656</v>
      </c>
      <c r="M910" s="5">
        <v>4</v>
      </c>
      <c r="N910">
        <f>VLOOKUP(B910,Customers!A:J,7,0)</f>
        <v>62</v>
      </c>
      <c r="O910" t="str">
        <f>VLOOKUP(B910,Customers!A:J,5,0)</f>
        <v>San Diego</v>
      </c>
      <c r="P910" t="str">
        <f>VLOOKUP(B910,Customers!A:J,10,0)</f>
        <v>Free</v>
      </c>
      <c r="Q910" t="str">
        <f>VLOOKUP(B910,Customers!A:J,8,0)</f>
        <v>Female</v>
      </c>
      <c r="R910" t="b">
        <f t="shared" si="28"/>
        <v>1</v>
      </c>
      <c r="S910" s="18">
        <f t="shared" si="29"/>
        <v>44621</v>
      </c>
    </row>
    <row r="911" spans="1:19" x14ac:dyDescent="0.25">
      <c r="A911" s="6" t="s">
        <v>2141</v>
      </c>
      <c r="B911" s="7" t="s">
        <v>381</v>
      </c>
      <c r="C911" s="15">
        <v>45093</v>
      </c>
      <c r="D911" s="7" t="s">
        <v>680</v>
      </c>
      <c r="E911" s="7" t="s">
        <v>749</v>
      </c>
      <c r="F911" s="7">
        <v>14.99</v>
      </c>
      <c r="G911" s="7">
        <v>2</v>
      </c>
      <c r="H911" s="7">
        <v>5</v>
      </c>
      <c r="I911" s="7">
        <v>14.24</v>
      </c>
      <c r="J911" s="7">
        <v>28.48</v>
      </c>
      <c r="K911" s="7" t="s">
        <v>682</v>
      </c>
      <c r="L911" s="7" t="s">
        <v>656</v>
      </c>
      <c r="M911" s="8">
        <v>2</v>
      </c>
      <c r="N911">
        <f>VLOOKUP(B911,Customers!A:J,7,0)</f>
        <v>62</v>
      </c>
      <c r="O911" t="str">
        <f>VLOOKUP(B911,Customers!A:J,5,0)</f>
        <v>San Diego</v>
      </c>
      <c r="P911" t="str">
        <f>VLOOKUP(B911,Customers!A:J,10,0)</f>
        <v>Free</v>
      </c>
      <c r="Q911" t="str">
        <f>VLOOKUP(B911,Customers!A:J,8,0)</f>
        <v>Female</v>
      </c>
      <c r="R911" t="b">
        <f t="shared" si="28"/>
        <v>1</v>
      </c>
      <c r="S911" s="18">
        <f t="shared" si="29"/>
        <v>45078</v>
      </c>
    </row>
    <row r="912" spans="1:19" x14ac:dyDescent="0.25">
      <c r="A912" s="3" t="s">
        <v>2142</v>
      </c>
      <c r="B912" s="4" t="s">
        <v>381</v>
      </c>
      <c r="C912" s="14">
        <v>44724</v>
      </c>
      <c r="D912" s="4" t="s">
        <v>667</v>
      </c>
      <c r="E912" s="4" t="s">
        <v>696</v>
      </c>
      <c r="F912" s="4">
        <v>59.99</v>
      </c>
      <c r="G912" s="4">
        <v>4</v>
      </c>
      <c r="H912" s="4">
        <v>0</v>
      </c>
      <c r="I912" s="4">
        <v>59.99</v>
      </c>
      <c r="J912" s="4">
        <v>239.96</v>
      </c>
      <c r="K912" s="4" t="s">
        <v>675</v>
      </c>
      <c r="L912" s="4" t="s">
        <v>656</v>
      </c>
      <c r="M912" s="5">
        <v>3</v>
      </c>
      <c r="N912">
        <f>VLOOKUP(B912,Customers!A:J,7,0)</f>
        <v>62</v>
      </c>
      <c r="O912" t="str">
        <f>VLOOKUP(B912,Customers!A:J,5,0)</f>
        <v>San Diego</v>
      </c>
      <c r="P912" t="str">
        <f>VLOOKUP(B912,Customers!A:J,10,0)</f>
        <v>Free</v>
      </c>
      <c r="Q912" t="str">
        <f>VLOOKUP(B912,Customers!A:J,8,0)</f>
        <v>Female</v>
      </c>
      <c r="R912" t="b">
        <f t="shared" si="28"/>
        <v>1</v>
      </c>
      <c r="S912" s="18">
        <f t="shared" si="29"/>
        <v>44713</v>
      </c>
    </row>
    <row r="913" spans="1:19" x14ac:dyDescent="0.25">
      <c r="A913" s="6" t="s">
        <v>2144</v>
      </c>
      <c r="B913" s="7" t="s">
        <v>381</v>
      </c>
      <c r="C913" s="15">
        <v>44750</v>
      </c>
      <c r="D913" s="7" t="s">
        <v>684</v>
      </c>
      <c r="E913" s="7" t="s">
        <v>815</v>
      </c>
      <c r="F913" s="7">
        <v>34.99</v>
      </c>
      <c r="G913" s="7">
        <v>1</v>
      </c>
      <c r="H913" s="7">
        <v>0</v>
      </c>
      <c r="I913" s="7">
        <v>34.99</v>
      </c>
      <c r="J913" s="7">
        <v>34.99</v>
      </c>
      <c r="K913" s="7" t="s">
        <v>675</v>
      </c>
      <c r="L913" s="7" t="s">
        <v>656</v>
      </c>
      <c r="M913" s="8"/>
      <c r="N913">
        <f>VLOOKUP(B913,Customers!A:J,7,0)</f>
        <v>62</v>
      </c>
      <c r="O913" t="str">
        <f>VLOOKUP(B913,Customers!A:J,5,0)</f>
        <v>San Diego</v>
      </c>
      <c r="P913" t="str">
        <f>VLOOKUP(B913,Customers!A:J,10,0)</f>
        <v>Free</v>
      </c>
      <c r="Q913" t="str">
        <f>VLOOKUP(B913,Customers!A:J,8,0)</f>
        <v>Female</v>
      </c>
      <c r="R913" t="b">
        <f t="shared" si="28"/>
        <v>1</v>
      </c>
      <c r="S913" s="18">
        <f t="shared" si="29"/>
        <v>44743</v>
      </c>
    </row>
    <row r="914" spans="1:19" x14ac:dyDescent="0.25">
      <c r="A914" s="3" t="s">
        <v>2145</v>
      </c>
      <c r="B914" s="4" t="s">
        <v>381</v>
      </c>
      <c r="C914" s="14">
        <v>45338</v>
      </c>
      <c r="D914" s="4" t="s">
        <v>680</v>
      </c>
      <c r="E914" s="4" t="s">
        <v>708</v>
      </c>
      <c r="F914" s="4">
        <v>24.99</v>
      </c>
      <c r="G914" s="4">
        <v>2</v>
      </c>
      <c r="H914" s="4">
        <v>0</v>
      </c>
      <c r="I914" s="4">
        <v>24.99</v>
      </c>
      <c r="J914" s="4">
        <v>49.98</v>
      </c>
      <c r="K914" s="4" t="s">
        <v>655</v>
      </c>
      <c r="L914" s="4" t="s">
        <v>656</v>
      </c>
      <c r="M914" s="5"/>
      <c r="N914">
        <f>VLOOKUP(B914,Customers!A:J,7,0)</f>
        <v>62</v>
      </c>
      <c r="O914" t="str">
        <f>VLOOKUP(B914,Customers!A:J,5,0)</f>
        <v>San Diego</v>
      </c>
      <c r="P914" t="str">
        <f>VLOOKUP(B914,Customers!A:J,10,0)</f>
        <v>Free</v>
      </c>
      <c r="Q914" t="str">
        <f>VLOOKUP(B914,Customers!A:J,8,0)</f>
        <v>Female</v>
      </c>
      <c r="R914" t="b">
        <f t="shared" si="28"/>
        <v>1</v>
      </c>
      <c r="S914" s="18">
        <f t="shared" si="29"/>
        <v>45323</v>
      </c>
    </row>
    <row r="915" spans="1:19" x14ac:dyDescent="0.25">
      <c r="A915" s="6" t="s">
        <v>2146</v>
      </c>
      <c r="B915" s="7" t="s">
        <v>381</v>
      </c>
      <c r="C915" s="15">
        <v>44848</v>
      </c>
      <c r="D915" s="7" t="s">
        <v>684</v>
      </c>
      <c r="E915" s="7" t="s">
        <v>705</v>
      </c>
      <c r="F915" s="7">
        <v>79.989999999999995</v>
      </c>
      <c r="G915" s="7">
        <v>1</v>
      </c>
      <c r="H915" s="7">
        <v>20</v>
      </c>
      <c r="I915" s="7">
        <v>63.99</v>
      </c>
      <c r="J915" s="7">
        <v>63.99</v>
      </c>
      <c r="K915" s="7" t="s">
        <v>661</v>
      </c>
      <c r="L915" s="7" t="s">
        <v>656</v>
      </c>
      <c r="M915" s="8">
        <v>5</v>
      </c>
      <c r="N915">
        <f>VLOOKUP(B915,Customers!A:J,7,0)</f>
        <v>62</v>
      </c>
      <c r="O915" t="str">
        <f>VLOOKUP(B915,Customers!A:J,5,0)</f>
        <v>San Diego</v>
      </c>
      <c r="P915" t="str">
        <f>VLOOKUP(B915,Customers!A:J,10,0)</f>
        <v>Free</v>
      </c>
      <c r="Q915" t="str">
        <f>VLOOKUP(B915,Customers!A:J,8,0)</f>
        <v>Female</v>
      </c>
      <c r="R915" t="b">
        <f t="shared" si="28"/>
        <v>1</v>
      </c>
      <c r="S915" s="18">
        <f t="shared" si="29"/>
        <v>44835</v>
      </c>
    </row>
    <row r="916" spans="1:19" x14ac:dyDescent="0.25">
      <c r="A916" s="3" t="s">
        <v>2148</v>
      </c>
      <c r="B916" s="4" t="s">
        <v>384</v>
      </c>
      <c r="C916" s="14">
        <v>45333</v>
      </c>
      <c r="D916" s="4" t="s">
        <v>672</v>
      </c>
      <c r="E916" s="4" t="s">
        <v>724</v>
      </c>
      <c r="F916" s="4">
        <v>89.99</v>
      </c>
      <c r="G916" s="4">
        <v>2</v>
      </c>
      <c r="H916" s="4">
        <v>10</v>
      </c>
      <c r="I916" s="4">
        <v>80.989999999999995</v>
      </c>
      <c r="J916" s="4">
        <v>161.97999999999999</v>
      </c>
      <c r="K916" s="4" t="s">
        <v>675</v>
      </c>
      <c r="L916" s="4" t="s">
        <v>788</v>
      </c>
      <c r="M916" s="5">
        <v>3</v>
      </c>
      <c r="N916">
        <f>VLOOKUP(B916,Customers!A:J,7,0)</f>
        <v>33</v>
      </c>
      <c r="O916" t="str">
        <f>VLOOKUP(B916,Customers!A:J,5,0)</f>
        <v>Dallas</v>
      </c>
      <c r="P916" t="str">
        <f>VLOOKUP(B916,Customers!A:J,10,0)</f>
        <v>Free</v>
      </c>
      <c r="Q916" t="str">
        <f>VLOOKUP(B916,Customers!A:J,8,0)</f>
        <v>Male</v>
      </c>
      <c r="R916" t="b">
        <f t="shared" si="28"/>
        <v>1</v>
      </c>
      <c r="S916" s="18">
        <f t="shared" si="29"/>
        <v>45323</v>
      </c>
    </row>
    <row r="917" spans="1:19" x14ac:dyDescent="0.25">
      <c r="A917" s="6" t="s">
        <v>2149</v>
      </c>
      <c r="B917" s="7" t="s">
        <v>384</v>
      </c>
      <c r="C917" s="15">
        <v>44758</v>
      </c>
      <c r="D917" s="7" t="s">
        <v>684</v>
      </c>
      <c r="E917" s="7" t="s">
        <v>815</v>
      </c>
      <c r="F917" s="7">
        <v>34.99</v>
      </c>
      <c r="G917" s="7">
        <v>4</v>
      </c>
      <c r="H917" s="7">
        <v>0</v>
      </c>
      <c r="I917" s="7">
        <v>34.99</v>
      </c>
      <c r="J917" s="7">
        <v>139.96</v>
      </c>
      <c r="K917" s="7" t="s">
        <v>661</v>
      </c>
      <c r="L917" s="7" t="s">
        <v>788</v>
      </c>
      <c r="M917" s="8">
        <v>2</v>
      </c>
      <c r="N917">
        <f>VLOOKUP(B917,Customers!A:J,7,0)</f>
        <v>33</v>
      </c>
      <c r="O917" t="str">
        <f>VLOOKUP(B917,Customers!A:J,5,0)</f>
        <v>Dallas</v>
      </c>
      <c r="P917" t="str">
        <f>VLOOKUP(B917,Customers!A:J,10,0)</f>
        <v>Free</v>
      </c>
      <c r="Q917" t="str">
        <f>VLOOKUP(B917,Customers!A:J,8,0)</f>
        <v>Male</v>
      </c>
      <c r="R917" t="b">
        <f t="shared" si="28"/>
        <v>1</v>
      </c>
      <c r="S917" s="18">
        <f t="shared" si="29"/>
        <v>44743</v>
      </c>
    </row>
    <row r="918" spans="1:19" x14ac:dyDescent="0.25">
      <c r="A918" s="3" t="s">
        <v>2150</v>
      </c>
      <c r="B918" s="4" t="s">
        <v>384</v>
      </c>
      <c r="C918" s="14">
        <v>45632</v>
      </c>
      <c r="D918" s="4" t="s">
        <v>672</v>
      </c>
      <c r="E918" s="4" t="s">
        <v>724</v>
      </c>
      <c r="F918" s="4">
        <v>89.99</v>
      </c>
      <c r="G918" s="4">
        <v>3</v>
      </c>
      <c r="H918" s="4">
        <v>20</v>
      </c>
      <c r="I918" s="4">
        <v>71.989999999999995</v>
      </c>
      <c r="J918" s="4">
        <v>215.97</v>
      </c>
      <c r="K918" s="4" t="s">
        <v>655</v>
      </c>
      <c r="L918" s="4" t="s">
        <v>788</v>
      </c>
      <c r="M918" s="5"/>
      <c r="N918">
        <f>VLOOKUP(B918,Customers!A:J,7,0)</f>
        <v>33</v>
      </c>
      <c r="O918" t="str">
        <f>VLOOKUP(B918,Customers!A:J,5,0)</f>
        <v>Dallas</v>
      </c>
      <c r="P918" t="str">
        <f>VLOOKUP(B918,Customers!A:J,10,0)</f>
        <v>Free</v>
      </c>
      <c r="Q918" t="str">
        <f>VLOOKUP(B918,Customers!A:J,8,0)</f>
        <v>Male</v>
      </c>
      <c r="R918" t="b">
        <f t="shared" si="28"/>
        <v>1</v>
      </c>
      <c r="S918" s="18">
        <f t="shared" si="29"/>
        <v>45627</v>
      </c>
    </row>
    <row r="919" spans="1:19" x14ac:dyDescent="0.25">
      <c r="A919" s="6" t="s">
        <v>2151</v>
      </c>
      <c r="B919" s="7" t="s">
        <v>384</v>
      </c>
      <c r="C919" s="15">
        <v>45590</v>
      </c>
      <c r="D919" s="7" t="s">
        <v>672</v>
      </c>
      <c r="E919" s="7" t="s">
        <v>735</v>
      </c>
      <c r="F919" s="7">
        <v>44.99</v>
      </c>
      <c r="G919" s="7">
        <v>3</v>
      </c>
      <c r="H919" s="7">
        <v>20</v>
      </c>
      <c r="I919" s="7">
        <v>35.99</v>
      </c>
      <c r="J919" s="7">
        <v>107.97</v>
      </c>
      <c r="K919" s="7" t="s">
        <v>675</v>
      </c>
      <c r="L919" s="7" t="s">
        <v>656</v>
      </c>
      <c r="M919" s="8"/>
      <c r="N919">
        <f>VLOOKUP(B919,Customers!A:J,7,0)</f>
        <v>33</v>
      </c>
      <c r="O919" t="str">
        <f>VLOOKUP(B919,Customers!A:J,5,0)</f>
        <v>Dallas</v>
      </c>
      <c r="P919" t="str">
        <f>VLOOKUP(B919,Customers!A:J,10,0)</f>
        <v>Free</v>
      </c>
      <c r="Q919" t="str">
        <f>VLOOKUP(B919,Customers!A:J,8,0)</f>
        <v>Male</v>
      </c>
      <c r="R919" t="b">
        <f t="shared" si="28"/>
        <v>1</v>
      </c>
      <c r="S919" s="18">
        <f t="shared" si="29"/>
        <v>45566</v>
      </c>
    </row>
    <row r="920" spans="1:19" x14ac:dyDescent="0.25">
      <c r="A920" s="3" t="s">
        <v>2152</v>
      </c>
      <c r="B920" s="4" t="s">
        <v>384</v>
      </c>
      <c r="C920" s="14">
        <v>45540</v>
      </c>
      <c r="D920" s="4" t="s">
        <v>680</v>
      </c>
      <c r="E920" s="4" t="s">
        <v>749</v>
      </c>
      <c r="F920" s="4">
        <v>14.99</v>
      </c>
      <c r="G920" s="4">
        <v>3</v>
      </c>
      <c r="H920" s="4">
        <v>0</v>
      </c>
      <c r="I920" s="4">
        <v>14.99</v>
      </c>
      <c r="J920" s="4">
        <v>44.97</v>
      </c>
      <c r="K920" s="4" t="s">
        <v>682</v>
      </c>
      <c r="L920" s="4" t="s">
        <v>656</v>
      </c>
      <c r="M920" s="5">
        <v>4</v>
      </c>
      <c r="N920">
        <f>VLOOKUP(B920,Customers!A:J,7,0)</f>
        <v>33</v>
      </c>
      <c r="O920" t="str">
        <f>VLOOKUP(B920,Customers!A:J,5,0)</f>
        <v>Dallas</v>
      </c>
      <c r="P920" t="str">
        <f>VLOOKUP(B920,Customers!A:J,10,0)</f>
        <v>Free</v>
      </c>
      <c r="Q920" t="str">
        <f>VLOOKUP(B920,Customers!A:J,8,0)</f>
        <v>Male</v>
      </c>
      <c r="R920" t="b">
        <f t="shared" si="28"/>
        <v>1</v>
      </c>
      <c r="S920" s="18">
        <f t="shared" si="29"/>
        <v>45536</v>
      </c>
    </row>
    <row r="921" spans="1:19" x14ac:dyDescent="0.25">
      <c r="A921" s="6" t="s">
        <v>2154</v>
      </c>
      <c r="B921" s="7" t="s">
        <v>384</v>
      </c>
      <c r="C921" s="15">
        <v>45396</v>
      </c>
      <c r="D921" s="7" t="s">
        <v>667</v>
      </c>
      <c r="E921" s="7" t="s">
        <v>668</v>
      </c>
      <c r="F921" s="7">
        <v>64.989999999999995</v>
      </c>
      <c r="G921" s="7">
        <v>2</v>
      </c>
      <c r="H921" s="7">
        <v>15</v>
      </c>
      <c r="I921" s="7">
        <v>55.24</v>
      </c>
      <c r="J921" s="7">
        <v>110.48</v>
      </c>
      <c r="K921" s="7" t="s">
        <v>675</v>
      </c>
      <c r="L921" s="7" t="s">
        <v>656</v>
      </c>
      <c r="M921" s="8">
        <v>4</v>
      </c>
      <c r="N921">
        <f>VLOOKUP(B921,Customers!A:J,7,0)</f>
        <v>33</v>
      </c>
      <c r="O921" t="str">
        <f>VLOOKUP(B921,Customers!A:J,5,0)</f>
        <v>Dallas</v>
      </c>
      <c r="P921" t="str">
        <f>VLOOKUP(B921,Customers!A:J,10,0)</f>
        <v>Free</v>
      </c>
      <c r="Q921" t="str">
        <f>VLOOKUP(B921,Customers!A:J,8,0)</f>
        <v>Male</v>
      </c>
      <c r="R921" t="b">
        <f t="shared" si="28"/>
        <v>1</v>
      </c>
      <c r="S921" s="18">
        <f t="shared" si="29"/>
        <v>45383</v>
      </c>
    </row>
    <row r="922" spans="1:19" x14ac:dyDescent="0.25">
      <c r="A922" s="3" t="s">
        <v>2155</v>
      </c>
      <c r="B922" s="4" t="s">
        <v>384</v>
      </c>
      <c r="C922" s="14">
        <v>44678</v>
      </c>
      <c r="D922" s="4" t="s">
        <v>653</v>
      </c>
      <c r="E922" s="4" t="s">
        <v>727</v>
      </c>
      <c r="F922" s="4">
        <v>14.99</v>
      </c>
      <c r="G922" s="4">
        <v>1</v>
      </c>
      <c r="H922" s="4">
        <v>0</v>
      </c>
      <c r="I922" s="4">
        <v>14.99</v>
      </c>
      <c r="J922" s="4">
        <v>14.99</v>
      </c>
      <c r="K922" s="4" t="s">
        <v>669</v>
      </c>
      <c r="L922" s="4" t="s">
        <v>656</v>
      </c>
      <c r="M922" s="5">
        <v>3</v>
      </c>
      <c r="N922">
        <f>VLOOKUP(B922,Customers!A:J,7,0)</f>
        <v>33</v>
      </c>
      <c r="O922" t="str">
        <f>VLOOKUP(B922,Customers!A:J,5,0)</f>
        <v>Dallas</v>
      </c>
      <c r="P922" t="str">
        <f>VLOOKUP(B922,Customers!A:J,10,0)</f>
        <v>Free</v>
      </c>
      <c r="Q922" t="str">
        <f>VLOOKUP(B922,Customers!A:J,8,0)</f>
        <v>Male</v>
      </c>
      <c r="R922" t="b">
        <f t="shared" si="28"/>
        <v>1</v>
      </c>
      <c r="S922" s="18">
        <f t="shared" si="29"/>
        <v>44652</v>
      </c>
    </row>
    <row r="923" spans="1:19" x14ac:dyDescent="0.25">
      <c r="A923" s="6" t="s">
        <v>2157</v>
      </c>
      <c r="B923" s="7" t="s">
        <v>384</v>
      </c>
      <c r="C923" s="15">
        <v>45004</v>
      </c>
      <c r="D923" s="7" t="s">
        <v>659</v>
      </c>
      <c r="E923" s="7" t="s">
        <v>660</v>
      </c>
      <c r="F923" s="7">
        <v>19.989999999999998</v>
      </c>
      <c r="G923" s="7">
        <v>3</v>
      </c>
      <c r="H923" s="7">
        <v>5</v>
      </c>
      <c r="I923" s="7">
        <v>18.989999999999998</v>
      </c>
      <c r="J923" s="7">
        <v>56.97</v>
      </c>
      <c r="K923" s="7" t="s">
        <v>675</v>
      </c>
      <c r="L923" s="7" t="s">
        <v>656</v>
      </c>
      <c r="M923" s="8">
        <v>4</v>
      </c>
      <c r="N923">
        <f>VLOOKUP(B923,Customers!A:J,7,0)</f>
        <v>33</v>
      </c>
      <c r="O923" t="str">
        <f>VLOOKUP(B923,Customers!A:J,5,0)</f>
        <v>Dallas</v>
      </c>
      <c r="P923" t="str">
        <f>VLOOKUP(B923,Customers!A:J,10,0)</f>
        <v>Free</v>
      </c>
      <c r="Q923" t="str">
        <f>VLOOKUP(B923,Customers!A:J,8,0)</f>
        <v>Male</v>
      </c>
      <c r="R923" t="b">
        <f t="shared" si="28"/>
        <v>1</v>
      </c>
      <c r="S923" s="18">
        <f t="shared" si="29"/>
        <v>44986</v>
      </c>
    </row>
    <row r="924" spans="1:19" x14ac:dyDescent="0.25">
      <c r="A924" s="3" t="s">
        <v>2158</v>
      </c>
      <c r="B924" s="4" t="s">
        <v>384</v>
      </c>
      <c r="C924" s="14">
        <v>44596</v>
      </c>
      <c r="D924" s="4" t="s">
        <v>684</v>
      </c>
      <c r="E924" s="4" t="s">
        <v>815</v>
      </c>
      <c r="F924" s="4">
        <v>34.99</v>
      </c>
      <c r="G924" s="4">
        <v>2</v>
      </c>
      <c r="H924" s="4">
        <v>0</v>
      </c>
      <c r="I924" s="4">
        <v>34.99</v>
      </c>
      <c r="J924" s="4">
        <v>69.98</v>
      </c>
      <c r="K924" s="4" t="s">
        <v>655</v>
      </c>
      <c r="L924" s="4" t="s">
        <v>656</v>
      </c>
      <c r="M924" s="5"/>
      <c r="N924">
        <f>VLOOKUP(B924,Customers!A:J,7,0)</f>
        <v>33</v>
      </c>
      <c r="O924" t="str">
        <f>VLOOKUP(B924,Customers!A:J,5,0)</f>
        <v>Dallas</v>
      </c>
      <c r="P924" t="str">
        <f>VLOOKUP(B924,Customers!A:J,10,0)</f>
        <v>Free</v>
      </c>
      <c r="Q924" t="str">
        <f>VLOOKUP(B924,Customers!A:J,8,0)</f>
        <v>Male</v>
      </c>
      <c r="R924" t="b">
        <f t="shared" si="28"/>
        <v>1</v>
      </c>
      <c r="S924" s="18">
        <f t="shared" si="29"/>
        <v>44593</v>
      </c>
    </row>
    <row r="925" spans="1:19" x14ac:dyDescent="0.25">
      <c r="A925" s="6" t="s">
        <v>2159</v>
      </c>
      <c r="B925" s="7" t="s">
        <v>384</v>
      </c>
      <c r="C925" s="15">
        <v>45613</v>
      </c>
      <c r="D925" s="7" t="s">
        <v>659</v>
      </c>
      <c r="E925" s="7" t="s">
        <v>820</v>
      </c>
      <c r="F925" s="7">
        <v>39.99</v>
      </c>
      <c r="G925" s="7">
        <v>1</v>
      </c>
      <c r="H925" s="7">
        <v>0</v>
      </c>
      <c r="I925" s="7">
        <v>39.99</v>
      </c>
      <c r="J925" s="7">
        <v>39.99</v>
      </c>
      <c r="K925" s="7" t="s">
        <v>669</v>
      </c>
      <c r="L925" s="7" t="s">
        <v>656</v>
      </c>
      <c r="M925" s="8">
        <v>2</v>
      </c>
      <c r="N925">
        <f>VLOOKUP(B925,Customers!A:J,7,0)</f>
        <v>33</v>
      </c>
      <c r="O925" t="str">
        <f>VLOOKUP(B925,Customers!A:J,5,0)</f>
        <v>Dallas</v>
      </c>
      <c r="P925" t="str">
        <f>VLOOKUP(B925,Customers!A:J,10,0)</f>
        <v>Free</v>
      </c>
      <c r="Q925" t="str">
        <f>VLOOKUP(B925,Customers!A:J,8,0)</f>
        <v>Male</v>
      </c>
      <c r="R925" t="b">
        <f t="shared" si="28"/>
        <v>1</v>
      </c>
      <c r="S925" s="18">
        <f t="shared" si="29"/>
        <v>45597</v>
      </c>
    </row>
    <row r="926" spans="1:19" x14ac:dyDescent="0.25">
      <c r="A926" s="3" t="s">
        <v>2160</v>
      </c>
      <c r="B926" s="4" t="s">
        <v>384</v>
      </c>
      <c r="C926" s="14">
        <v>44722</v>
      </c>
      <c r="D926" s="4" t="s">
        <v>653</v>
      </c>
      <c r="E926" s="4" t="s">
        <v>727</v>
      </c>
      <c r="F926" s="4">
        <v>14.99</v>
      </c>
      <c r="G926" s="4">
        <v>3</v>
      </c>
      <c r="H926" s="4">
        <v>0</v>
      </c>
      <c r="I926" s="4">
        <v>14.99</v>
      </c>
      <c r="J926" s="4">
        <v>44.97</v>
      </c>
      <c r="K926" s="4" t="s">
        <v>661</v>
      </c>
      <c r="L926" s="4" t="s">
        <v>656</v>
      </c>
      <c r="M926" s="5">
        <v>4</v>
      </c>
      <c r="N926">
        <f>VLOOKUP(B926,Customers!A:J,7,0)</f>
        <v>33</v>
      </c>
      <c r="O926" t="str">
        <f>VLOOKUP(B926,Customers!A:J,5,0)</f>
        <v>Dallas</v>
      </c>
      <c r="P926" t="str">
        <f>VLOOKUP(B926,Customers!A:J,10,0)</f>
        <v>Free</v>
      </c>
      <c r="Q926" t="str">
        <f>VLOOKUP(B926,Customers!A:J,8,0)</f>
        <v>Male</v>
      </c>
      <c r="R926" t="b">
        <f t="shared" si="28"/>
        <v>1</v>
      </c>
      <c r="S926" s="18">
        <f t="shared" si="29"/>
        <v>44713</v>
      </c>
    </row>
    <row r="927" spans="1:19" x14ac:dyDescent="0.25">
      <c r="A927" s="6" t="s">
        <v>2161</v>
      </c>
      <c r="B927" s="7" t="s">
        <v>387</v>
      </c>
      <c r="C927" s="15">
        <v>44875</v>
      </c>
      <c r="D927" s="7" t="s">
        <v>710</v>
      </c>
      <c r="E927" s="7" t="s">
        <v>730</v>
      </c>
      <c r="F927" s="7">
        <v>39.99</v>
      </c>
      <c r="G927" s="7">
        <v>1</v>
      </c>
      <c r="H927" s="7">
        <v>20</v>
      </c>
      <c r="I927" s="7">
        <v>31.99</v>
      </c>
      <c r="J927" s="7">
        <v>31.99</v>
      </c>
      <c r="K927" s="7" t="s">
        <v>655</v>
      </c>
      <c r="L927" s="7" t="s">
        <v>656</v>
      </c>
      <c r="M927" s="8">
        <v>5</v>
      </c>
      <c r="N927">
        <f>VLOOKUP(B927,Customers!A:J,7,0)</f>
        <v>36</v>
      </c>
      <c r="O927" t="str">
        <f>VLOOKUP(B927,Customers!A:J,5,0)</f>
        <v>New York</v>
      </c>
      <c r="P927" t="str">
        <f>VLOOKUP(B927,Customers!A:J,10,0)</f>
        <v>Free</v>
      </c>
      <c r="Q927" t="str">
        <f>VLOOKUP(B927,Customers!A:J,8,0)</f>
        <v>Female</v>
      </c>
      <c r="R927" t="b">
        <f t="shared" si="28"/>
        <v>1</v>
      </c>
      <c r="S927" s="18">
        <f t="shared" si="29"/>
        <v>44866</v>
      </c>
    </row>
    <row r="928" spans="1:19" x14ac:dyDescent="0.25">
      <c r="A928" s="3" t="s">
        <v>2163</v>
      </c>
      <c r="B928" s="4" t="s">
        <v>387</v>
      </c>
      <c r="C928" s="14">
        <v>44781</v>
      </c>
      <c r="D928" s="4" t="s">
        <v>680</v>
      </c>
      <c r="E928" s="4" t="s">
        <v>749</v>
      </c>
      <c r="F928" s="4">
        <v>14.99</v>
      </c>
      <c r="G928" s="4">
        <v>2</v>
      </c>
      <c r="H928" s="4">
        <v>5</v>
      </c>
      <c r="I928" s="4">
        <v>14.24</v>
      </c>
      <c r="J928" s="4">
        <v>28.48</v>
      </c>
      <c r="K928" s="4" t="s">
        <v>655</v>
      </c>
      <c r="L928" s="4" t="s">
        <v>788</v>
      </c>
      <c r="M928" s="5">
        <v>4</v>
      </c>
      <c r="N928">
        <f>VLOOKUP(B928,Customers!A:J,7,0)</f>
        <v>36</v>
      </c>
      <c r="O928" t="str">
        <f>VLOOKUP(B928,Customers!A:J,5,0)</f>
        <v>New York</v>
      </c>
      <c r="P928" t="str">
        <f>VLOOKUP(B928,Customers!A:J,10,0)</f>
        <v>Free</v>
      </c>
      <c r="Q928" t="str">
        <f>VLOOKUP(B928,Customers!A:J,8,0)</f>
        <v>Female</v>
      </c>
      <c r="R928" t="b">
        <f t="shared" si="28"/>
        <v>1</v>
      </c>
      <c r="S928" s="18">
        <f t="shared" si="29"/>
        <v>44774</v>
      </c>
    </row>
    <row r="929" spans="1:19" x14ac:dyDescent="0.25">
      <c r="A929" s="6" t="s">
        <v>2165</v>
      </c>
      <c r="B929" s="7" t="s">
        <v>387</v>
      </c>
      <c r="C929" s="15">
        <v>45165</v>
      </c>
      <c r="D929" s="7" t="s">
        <v>667</v>
      </c>
      <c r="E929" s="7" t="s">
        <v>696</v>
      </c>
      <c r="F929" s="7">
        <v>59.99</v>
      </c>
      <c r="G929" s="7">
        <v>1</v>
      </c>
      <c r="H929" s="7">
        <v>0</v>
      </c>
      <c r="I929" s="7">
        <v>59.99</v>
      </c>
      <c r="J929" s="7">
        <v>59.99</v>
      </c>
      <c r="K929" s="7" t="s">
        <v>661</v>
      </c>
      <c r="L929" s="7" t="s">
        <v>656</v>
      </c>
      <c r="M929" s="8">
        <v>5</v>
      </c>
      <c r="N929">
        <f>VLOOKUP(B929,Customers!A:J,7,0)</f>
        <v>36</v>
      </c>
      <c r="O929" t="str">
        <f>VLOOKUP(B929,Customers!A:J,5,0)</f>
        <v>New York</v>
      </c>
      <c r="P929" t="str">
        <f>VLOOKUP(B929,Customers!A:J,10,0)</f>
        <v>Free</v>
      </c>
      <c r="Q929" t="str">
        <f>VLOOKUP(B929,Customers!A:J,8,0)</f>
        <v>Female</v>
      </c>
      <c r="R929" t="b">
        <f t="shared" si="28"/>
        <v>1</v>
      </c>
      <c r="S929" s="18">
        <f t="shared" si="29"/>
        <v>45139</v>
      </c>
    </row>
    <row r="930" spans="1:19" x14ac:dyDescent="0.25">
      <c r="A930" s="3" t="s">
        <v>2167</v>
      </c>
      <c r="B930" s="4" t="s">
        <v>387</v>
      </c>
      <c r="C930" s="14">
        <v>45479</v>
      </c>
      <c r="D930" s="4" t="s">
        <v>672</v>
      </c>
      <c r="E930" s="4" t="s">
        <v>735</v>
      </c>
      <c r="F930" s="4">
        <v>44.99</v>
      </c>
      <c r="G930" s="4">
        <v>2</v>
      </c>
      <c r="H930" s="4">
        <v>20</v>
      </c>
      <c r="I930" s="4">
        <v>35.99</v>
      </c>
      <c r="J930" s="4">
        <v>71.98</v>
      </c>
      <c r="K930" s="4" t="s">
        <v>675</v>
      </c>
      <c r="L930" s="4" t="s">
        <v>656</v>
      </c>
      <c r="M930" s="5">
        <v>5</v>
      </c>
      <c r="N930">
        <f>VLOOKUP(B930,Customers!A:J,7,0)</f>
        <v>36</v>
      </c>
      <c r="O930" t="str">
        <f>VLOOKUP(B930,Customers!A:J,5,0)</f>
        <v>New York</v>
      </c>
      <c r="P930" t="str">
        <f>VLOOKUP(B930,Customers!A:J,10,0)</f>
        <v>Free</v>
      </c>
      <c r="Q930" t="str">
        <f>VLOOKUP(B930,Customers!A:J,8,0)</f>
        <v>Female</v>
      </c>
      <c r="R930" t="b">
        <f t="shared" si="28"/>
        <v>1</v>
      </c>
      <c r="S930" s="18">
        <f t="shared" si="29"/>
        <v>45474</v>
      </c>
    </row>
    <row r="931" spans="1:19" x14ac:dyDescent="0.25">
      <c r="A931" s="6" t="s">
        <v>2168</v>
      </c>
      <c r="B931" s="7" t="s">
        <v>387</v>
      </c>
      <c r="C931" s="15">
        <v>45518</v>
      </c>
      <c r="D931" s="7" t="s">
        <v>680</v>
      </c>
      <c r="E931" s="7" t="s">
        <v>681</v>
      </c>
      <c r="F931" s="7">
        <v>19.989999999999998</v>
      </c>
      <c r="G931" s="7">
        <v>1</v>
      </c>
      <c r="H931" s="7">
        <v>10</v>
      </c>
      <c r="I931" s="7">
        <v>17.989999999999998</v>
      </c>
      <c r="J931" s="7">
        <v>17.989999999999998</v>
      </c>
      <c r="K931" s="7" t="s">
        <v>669</v>
      </c>
      <c r="L931" s="7" t="s">
        <v>788</v>
      </c>
      <c r="M931" s="8">
        <v>5</v>
      </c>
      <c r="N931">
        <f>VLOOKUP(B931,Customers!A:J,7,0)</f>
        <v>36</v>
      </c>
      <c r="O931" t="str">
        <f>VLOOKUP(B931,Customers!A:J,5,0)</f>
        <v>New York</v>
      </c>
      <c r="P931" t="str">
        <f>VLOOKUP(B931,Customers!A:J,10,0)</f>
        <v>Free</v>
      </c>
      <c r="Q931" t="str">
        <f>VLOOKUP(B931,Customers!A:J,8,0)</f>
        <v>Female</v>
      </c>
      <c r="R931" t="b">
        <f t="shared" si="28"/>
        <v>1</v>
      </c>
      <c r="S931" s="18">
        <f t="shared" si="29"/>
        <v>45505</v>
      </c>
    </row>
    <row r="932" spans="1:19" x14ac:dyDescent="0.25">
      <c r="A932" s="3" t="s">
        <v>2169</v>
      </c>
      <c r="B932" s="4" t="s">
        <v>387</v>
      </c>
      <c r="C932" s="14">
        <v>45584</v>
      </c>
      <c r="D932" s="4" t="s">
        <v>659</v>
      </c>
      <c r="E932" s="4" t="s">
        <v>762</v>
      </c>
      <c r="F932" s="4">
        <v>49.99</v>
      </c>
      <c r="G932" s="4">
        <v>2</v>
      </c>
      <c r="H932" s="4">
        <v>0</v>
      </c>
      <c r="I932" s="4">
        <v>49.99</v>
      </c>
      <c r="J932" s="4">
        <v>99.98</v>
      </c>
      <c r="K932" s="4" t="s">
        <v>682</v>
      </c>
      <c r="L932" s="4" t="s">
        <v>656</v>
      </c>
      <c r="M932" s="5">
        <v>5</v>
      </c>
      <c r="N932">
        <f>VLOOKUP(B932,Customers!A:J,7,0)</f>
        <v>36</v>
      </c>
      <c r="O932" t="str">
        <f>VLOOKUP(B932,Customers!A:J,5,0)</f>
        <v>New York</v>
      </c>
      <c r="P932" t="str">
        <f>VLOOKUP(B932,Customers!A:J,10,0)</f>
        <v>Free</v>
      </c>
      <c r="Q932" t="str">
        <f>VLOOKUP(B932,Customers!A:J,8,0)</f>
        <v>Female</v>
      </c>
      <c r="R932" t="b">
        <f t="shared" si="28"/>
        <v>1</v>
      </c>
      <c r="S932" s="18">
        <f t="shared" si="29"/>
        <v>45566</v>
      </c>
    </row>
    <row r="933" spans="1:19" x14ac:dyDescent="0.25">
      <c r="A933" s="6" t="s">
        <v>2171</v>
      </c>
      <c r="B933" s="7" t="s">
        <v>387</v>
      </c>
      <c r="C933" s="15">
        <v>45009</v>
      </c>
      <c r="D933" s="7" t="s">
        <v>684</v>
      </c>
      <c r="E933" s="7" t="s">
        <v>705</v>
      </c>
      <c r="F933" s="7">
        <v>79.989999999999995</v>
      </c>
      <c r="G933" s="7">
        <v>3</v>
      </c>
      <c r="H933" s="7">
        <v>20</v>
      </c>
      <c r="I933" s="7">
        <v>63.99</v>
      </c>
      <c r="J933" s="7">
        <v>191.97</v>
      </c>
      <c r="K933" s="7" t="s">
        <v>669</v>
      </c>
      <c r="L933" s="7" t="s">
        <v>739</v>
      </c>
      <c r="M933" s="8"/>
      <c r="N933">
        <f>VLOOKUP(B933,Customers!A:J,7,0)</f>
        <v>36</v>
      </c>
      <c r="O933" t="str">
        <f>VLOOKUP(B933,Customers!A:J,5,0)</f>
        <v>New York</v>
      </c>
      <c r="P933" t="str">
        <f>VLOOKUP(B933,Customers!A:J,10,0)</f>
        <v>Free</v>
      </c>
      <c r="Q933" t="str">
        <f>VLOOKUP(B933,Customers!A:J,8,0)</f>
        <v>Female</v>
      </c>
      <c r="R933" t="b">
        <f t="shared" si="28"/>
        <v>1</v>
      </c>
      <c r="S933" s="18">
        <f t="shared" si="29"/>
        <v>44986</v>
      </c>
    </row>
    <row r="934" spans="1:19" x14ac:dyDescent="0.25">
      <c r="A934" s="3" t="s">
        <v>2172</v>
      </c>
      <c r="B934" s="4" t="s">
        <v>387</v>
      </c>
      <c r="C934" s="14">
        <v>44667</v>
      </c>
      <c r="D934" s="4" t="s">
        <v>667</v>
      </c>
      <c r="E934" s="4" t="s">
        <v>696</v>
      </c>
      <c r="F934" s="4">
        <v>59.99</v>
      </c>
      <c r="G934" s="4">
        <v>3</v>
      </c>
      <c r="H934" s="4">
        <v>5</v>
      </c>
      <c r="I934" s="4">
        <v>56.99</v>
      </c>
      <c r="J934" s="4">
        <v>170.97</v>
      </c>
      <c r="K934" s="4" t="s">
        <v>682</v>
      </c>
      <c r="L934" s="4" t="s">
        <v>656</v>
      </c>
      <c r="M934" s="5"/>
      <c r="N934">
        <f>VLOOKUP(B934,Customers!A:J,7,0)</f>
        <v>36</v>
      </c>
      <c r="O934" t="str">
        <f>VLOOKUP(B934,Customers!A:J,5,0)</f>
        <v>New York</v>
      </c>
      <c r="P934" t="str">
        <f>VLOOKUP(B934,Customers!A:J,10,0)</f>
        <v>Free</v>
      </c>
      <c r="Q934" t="str">
        <f>VLOOKUP(B934,Customers!A:J,8,0)</f>
        <v>Female</v>
      </c>
      <c r="R934" t="b">
        <f t="shared" si="28"/>
        <v>1</v>
      </c>
      <c r="S934" s="18">
        <f t="shared" si="29"/>
        <v>44652</v>
      </c>
    </row>
    <row r="935" spans="1:19" x14ac:dyDescent="0.25">
      <c r="A935" s="6" t="s">
        <v>2173</v>
      </c>
      <c r="B935" s="7" t="s">
        <v>390</v>
      </c>
      <c r="C935" s="15">
        <v>45200</v>
      </c>
      <c r="D935" s="7" t="s">
        <v>667</v>
      </c>
      <c r="E935" s="7" t="s">
        <v>714</v>
      </c>
      <c r="F935" s="7">
        <v>44.99</v>
      </c>
      <c r="G935" s="7">
        <v>3</v>
      </c>
      <c r="H935" s="7">
        <v>5</v>
      </c>
      <c r="I935" s="7">
        <v>42.74</v>
      </c>
      <c r="J935" s="7">
        <v>128.22</v>
      </c>
      <c r="K935" s="7" t="s">
        <v>675</v>
      </c>
      <c r="L935" s="7" t="s">
        <v>656</v>
      </c>
      <c r="M935" s="8">
        <v>4</v>
      </c>
      <c r="N935">
        <f>VLOOKUP(B935,Customers!A:J,7,0)</f>
        <v>36</v>
      </c>
      <c r="O935" t="str">
        <f>VLOOKUP(B935,Customers!A:J,5,0)</f>
        <v>Phoenix</v>
      </c>
      <c r="P935" t="str">
        <f>VLOOKUP(B935,Customers!A:J,10,0)</f>
        <v>Free</v>
      </c>
      <c r="Q935" t="str">
        <f>VLOOKUP(B935,Customers!A:J,8,0)</f>
        <v>Male</v>
      </c>
      <c r="R935" t="b">
        <f t="shared" si="28"/>
        <v>1</v>
      </c>
      <c r="S935" s="18">
        <f t="shared" si="29"/>
        <v>45200</v>
      </c>
    </row>
    <row r="936" spans="1:19" x14ac:dyDescent="0.25">
      <c r="A936" s="3" t="s">
        <v>2174</v>
      </c>
      <c r="B936" s="4" t="s">
        <v>390</v>
      </c>
      <c r="C936" s="14">
        <v>45151</v>
      </c>
      <c r="D936" s="4" t="s">
        <v>653</v>
      </c>
      <c r="E936" s="4" t="s">
        <v>654</v>
      </c>
      <c r="F936" s="4">
        <v>39.99</v>
      </c>
      <c r="G936" s="4">
        <v>3</v>
      </c>
      <c r="H936" s="4">
        <v>10</v>
      </c>
      <c r="I936" s="4">
        <v>35.99</v>
      </c>
      <c r="J936" s="4">
        <v>107.97</v>
      </c>
      <c r="K936" s="4" t="s">
        <v>661</v>
      </c>
      <c r="L936" s="4" t="s">
        <v>656</v>
      </c>
      <c r="M936" s="5">
        <v>4</v>
      </c>
      <c r="N936">
        <f>VLOOKUP(B936,Customers!A:J,7,0)</f>
        <v>36</v>
      </c>
      <c r="O936" t="str">
        <f>VLOOKUP(B936,Customers!A:J,5,0)</f>
        <v>Phoenix</v>
      </c>
      <c r="P936" t="str">
        <f>VLOOKUP(B936,Customers!A:J,10,0)</f>
        <v>Free</v>
      </c>
      <c r="Q936" t="str">
        <f>VLOOKUP(B936,Customers!A:J,8,0)</f>
        <v>Male</v>
      </c>
      <c r="R936" t="b">
        <f t="shared" si="28"/>
        <v>1</v>
      </c>
      <c r="S936" s="18">
        <f t="shared" si="29"/>
        <v>45139</v>
      </c>
    </row>
    <row r="937" spans="1:19" x14ac:dyDescent="0.25">
      <c r="A937" s="6" t="s">
        <v>2175</v>
      </c>
      <c r="B937" s="7" t="s">
        <v>390</v>
      </c>
      <c r="C937" s="15">
        <v>44641</v>
      </c>
      <c r="D937" s="7" t="s">
        <v>672</v>
      </c>
      <c r="E937" s="7" t="s">
        <v>735</v>
      </c>
      <c r="F937" s="7">
        <v>44.99</v>
      </c>
      <c r="G937" s="7">
        <v>4</v>
      </c>
      <c r="H937" s="7">
        <v>0</v>
      </c>
      <c r="I937" s="7">
        <v>44.99</v>
      </c>
      <c r="J937" s="7">
        <v>179.96</v>
      </c>
      <c r="K937" s="7" t="s">
        <v>682</v>
      </c>
      <c r="L937" s="7" t="s">
        <v>656</v>
      </c>
      <c r="M937" s="8">
        <v>4</v>
      </c>
      <c r="N937">
        <f>VLOOKUP(B937,Customers!A:J,7,0)</f>
        <v>36</v>
      </c>
      <c r="O937" t="str">
        <f>VLOOKUP(B937,Customers!A:J,5,0)</f>
        <v>Phoenix</v>
      </c>
      <c r="P937" t="str">
        <f>VLOOKUP(B937,Customers!A:J,10,0)</f>
        <v>Free</v>
      </c>
      <c r="Q937" t="str">
        <f>VLOOKUP(B937,Customers!A:J,8,0)</f>
        <v>Male</v>
      </c>
      <c r="R937" t="b">
        <f t="shared" si="28"/>
        <v>1</v>
      </c>
      <c r="S937" s="18">
        <f t="shared" si="29"/>
        <v>44621</v>
      </c>
    </row>
    <row r="938" spans="1:19" x14ac:dyDescent="0.25">
      <c r="A938" s="3" t="s">
        <v>2176</v>
      </c>
      <c r="B938" s="4" t="s">
        <v>390</v>
      </c>
      <c r="C938" s="14">
        <v>45591</v>
      </c>
      <c r="D938" s="4" t="s">
        <v>659</v>
      </c>
      <c r="E938" s="4" t="s">
        <v>762</v>
      </c>
      <c r="F938" s="4">
        <v>49.99</v>
      </c>
      <c r="G938" s="4">
        <v>1</v>
      </c>
      <c r="H938" s="4">
        <v>10</v>
      </c>
      <c r="I938" s="4">
        <v>44.99</v>
      </c>
      <c r="J938" s="4">
        <v>44.99</v>
      </c>
      <c r="K938" s="4" t="s">
        <v>661</v>
      </c>
      <c r="L938" s="4" t="s">
        <v>656</v>
      </c>
      <c r="M938" s="5">
        <v>5</v>
      </c>
      <c r="N938">
        <f>VLOOKUP(B938,Customers!A:J,7,0)</f>
        <v>36</v>
      </c>
      <c r="O938" t="str">
        <f>VLOOKUP(B938,Customers!A:J,5,0)</f>
        <v>Phoenix</v>
      </c>
      <c r="P938" t="str">
        <f>VLOOKUP(B938,Customers!A:J,10,0)</f>
        <v>Free</v>
      </c>
      <c r="Q938" t="str">
        <f>VLOOKUP(B938,Customers!A:J,8,0)</f>
        <v>Male</v>
      </c>
      <c r="R938" t="b">
        <f t="shared" si="28"/>
        <v>1</v>
      </c>
      <c r="S938" s="18">
        <f t="shared" si="29"/>
        <v>45566</v>
      </c>
    </row>
    <row r="939" spans="1:19" x14ac:dyDescent="0.25">
      <c r="A939" s="6" t="s">
        <v>2178</v>
      </c>
      <c r="B939" s="7" t="s">
        <v>390</v>
      </c>
      <c r="C939" s="15">
        <v>44717</v>
      </c>
      <c r="D939" s="7" t="s">
        <v>680</v>
      </c>
      <c r="E939" s="7" t="s">
        <v>708</v>
      </c>
      <c r="F939" s="7">
        <v>24.99</v>
      </c>
      <c r="G939" s="7">
        <v>2</v>
      </c>
      <c r="H939" s="7">
        <v>10</v>
      </c>
      <c r="I939" s="7">
        <v>22.49</v>
      </c>
      <c r="J939" s="7">
        <v>44.98</v>
      </c>
      <c r="K939" s="7" t="s">
        <v>675</v>
      </c>
      <c r="L939" s="7" t="s">
        <v>656</v>
      </c>
      <c r="M939" s="8">
        <v>3</v>
      </c>
      <c r="N939">
        <f>VLOOKUP(B939,Customers!A:J,7,0)</f>
        <v>36</v>
      </c>
      <c r="O939" t="str">
        <f>VLOOKUP(B939,Customers!A:J,5,0)</f>
        <v>Phoenix</v>
      </c>
      <c r="P939" t="str">
        <f>VLOOKUP(B939,Customers!A:J,10,0)</f>
        <v>Free</v>
      </c>
      <c r="Q939" t="str">
        <f>VLOOKUP(B939,Customers!A:J,8,0)</f>
        <v>Male</v>
      </c>
      <c r="R939" t="b">
        <f t="shared" si="28"/>
        <v>1</v>
      </c>
      <c r="S939" s="18">
        <f t="shared" si="29"/>
        <v>44713</v>
      </c>
    </row>
    <row r="940" spans="1:19" x14ac:dyDescent="0.25">
      <c r="A940" s="3" t="s">
        <v>2179</v>
      </c>
      <c r="B940" s="4" t="s">
        <v>390</v>
      </c>
      <c r="C940" s="14">
        <v>44605</v>
      </c>
      <c r="D940" s="4" t="s">
        <v>672</v>
      </c>
      <c r="E940" s="4" t="s">
        <v>724</v>
      </c>
      <c r="F940" s="4">
        <v>89.99</v>
      </c>
      <c r="G940" s="4">
        <v>1</v>
      </c>
      <c r="H940" s="4">
        <v>10</v>
      </c>
      <c r="I940" s="4">
        <v>80.989999999999995</v>
      </c>
      <c r="J940" s="4">
        <v>80.989999999999995</v>
      </c>
      <c r="K940" s="4" t="s">
        <v>661</v>
      </c>
      <c r="L940" s="4" t="s">
        <v>656</v>
      </c>
      <c r="M940" s="5"/>
      <c r="N940">
        <f>VLOOKUP(B940,Customers!A:J,7,0)</f>
        <v>36</v>
      </c>
      <c r="O940" t="str">
        <f>VLOOKUP(B940,Customers!A:J,5,0)</f>
        <v>Phoenix</v>
      </c>
      <c r="P940" t="str">
        <f>VLOOKUP(B940,Customers!A:J,10,0)</f>
        <v>Free</v>
      </c>
      <c r="Q940" t="str">
        <f>VLOOKUP(B940,Customers!A:J,8,0)</f>
        <v>Male</v>
      </c>
      <c r="R940" t="b">
        <f t="shared" si="28"/>
        <v>1</v>
      </c>
      <c r="S940" s="18">
        <f t="shared" si="29"/>
        <v>44593</v>
      </c>
    </row>
    <row r="941" spans="1:19" x14ac:dyDescent="0.25">
      <c r="A941" s="6" t="s">
        <v>2180</v>
      </c>
      <c r="B941" s="7" t="s">
        <v>390</v>
      </c>
      <c r="C941" s="15">
        <v>44579</v>
      </c>
      <c r="D941" s="7" t="s">
        <v>659</v>
      </c>
      <c r="E941" s="7" t="s">
        <v>762</v>
      </c>
      <c r="F941" s="7">
        <v>49.99</v>
      </c>
      <c r="G941" s="7">
        <v>1</v>
      </c>
      <c r="H941" s="7">
        <v>20</v>
      </c>
      <c r="I941" s="7">
        <v>39.99</v>
      </c>
      <c r="J941" s="7">
        <v>39.99</v>
      </c>
      <c r="K941" s="7" t="s">
        <v>682</v>
      </c>
      <c r="L941" s="7" t="s">
        <v>656</v>
      </c>
      <c r="M941" s="8">
        <v>4</v>
      </c>
      <c r="N941">
        <f>VLOOKUP(B941,Customers!A:J,7,0)</f>
        <v>36</v>
      </c>
      <c r="O941" t="str">
        <f>VLOOKUP(B941,Customers!A:J,5,0)</f>
        <v>Phoenix</v>
      </c>
      <c r="P941" t="str">
        <f>VLOOKUP(B941,Customers!A:J,10,0)</f>
        <v>Free</v>
      </c>
      <c r="Q941" t="str">
        <f>VLOOKUP(B941,Customers!A:J,8,0)</f>
        <v>Male</v>
      </c>
      <c r="R941" t="b">
        <f t="shared" si="28"/>
        <v>1</v>
      </c>
      <c r="S941" s="18">
        <f t="shared" si="29"/>
        <v>44562</v>
      </c>
    </row>
    <row r="942" spans="1:19" x14ac:dyDescent="0.25">
      <c r="A942" s="3" t="s">
        <v>2181</v>
      </c>
      <c r="B942" s="4" t="s">
        <v>390</v>
      </c>
      <c r="C942" s="14">
        <v>44810</v>
      </c>
      <c r="D942" s="4" t="s">
        <v>684</v>
      </c>
      <c r="E942" s="4" t="s">
        <v>702</v>
      </c>
      <c r="F942" s="4">
        <v>199.99</v>
      </c>
      <c r="G942" s="4">
        <v>2</v>
      </c>
      <c r="H942" s="4">
        <v>0</v>
      </c>
      <c r="I942" s="4">
        <v>199.99</v>
      </c>
      <c r="J942" s="4">
        <v>399.98</v>
      </c>
      <c r="K942" s="4" t="s">
        <v>669</v>
      </c>
      <c r="L942" s="4" t="s">
        <v>656</v>
      </c>
      <c r="M942" s="5"/>
      <c r="N942">
        <f>VLOOKUP(B942,Customers!A:J,7,0)</f>
        <v>36</v>
      </c>
      <c r="O942" t="str">
        <f>VLOOKUP(B942,Customers!A:J,5,0)</f>
        <v>Phoenix</v>
      </c>
      <c r="P942" t="str">
        <f>VLOOKUP(B942,Customers!A:J,10,0)</f>
        <v>Free</v>
      </c>
      <c r="Q942" t="str">
        <f>VLOOKUP(B942,Customers!A:J,8,0)</f>
        <v>Male</v>
      </c>
      <c r="R942" t="b">
        <f t="shared" si="28"/>
        <v>1</v>
      </c>
      <c r="S942" s="18">
        <f t="shared" si="29"/>
        <v>44805</v>
      </c>
    </row>
    <row r="943" spans="1:19" x14ac:dyDescent="0.25">
      <c r="A943" s="6" t="s">
        <v>2183</v>
      </c>
      <c r="B943" s="7" t="s">
        <v>390</v>
      </c>
      <c r="C943" s="15">
        <v>45069</v>
      </c>
      <c r="D943" s="7" t="s">
        <v>680</v>
      </c>
      <c r="E943" s="7" t="s">
        <v>708</v>
      </c>
      <c r="F943" s="7">
        <v>24.99</v>
      </c>
      <c r="G943" s="7">
        <v>3</v>
      </c>
      <c r="H943" s="7">
        <v>15</v>
      </c>
      <c r="I943" s="7">
        <v>21.24</v>
      </c>
      <c r="J943" s="7">
        <v>63.72</v>
      </c>
      <c r="K943" s="7" t="s">
        <v>669</v>
      </c>
      <c r="L943" s="7" t="s">
        <v>656</v>
      </c>
      <c r="M943" s="8"/>
      <c r="N943">
        <f>VLOOKUP(B943,Customers!A:J,7,0)</f>
        <v>36</v>
      </c>
      <c r="O943" t="str">
        <f>VLOOKUP(B943,Customers!A:J,5,0)</f>
        <v>Phoenix</v>
      </c>
      <c r="P943" t="str">
        <f>VLOOKUP(B943,Customers!A:J,10,0)</f>
        <v>Free</v>
      </c>
      <c r="Q943" t="str">
        <f>VLOOKUP(B943,Customers!A:J,8,0)</f>
        <v>Male</v>
      </c>
      <c r="R943" t="b">
        <f t="shared" si="28"/>
        <v>1</v>
      </c>
      <c r="S943" s="18">
        <f t="shared" si="29"/>
        <v>45047</v>
      </c>
    </row>
    <row r="944" spans="1:19" x14ac:dyDescent="0.25">
      <c r="A944" s="3" t="s">
        <v>2184</v>
      </c>
      <c r="B944" s="4" t="s">
        <v>390</v>
      </c>
      <c r="C944" s="14">
        <v>45311</v>
      </c>
      <c r="D944" s="4" t="s">
        <v>680</v>
      </c>
      <c r="E944" s="4" t="s">
        <v>708</v>
      </c>
      <c r="F944" s="4">
        <v>24.99</v>
      </c>
      <c r="G944" s="4">
        <v>4</v>
      </c>
      <c r="H944" s="4">
        <v>20</v>
      </c>
      <c r="I944" s="4">
        <v>19.989999999999998</v>
      </c>
      <c r="J944" s="4">
        <v>79.959999999999994</v>
      </c>
      <c r="K944" s="4" t="s">
        <v>655</v>
      </c>
      <c r="L944" s="4" t="s">
        <v>656</v>
      </c>
      <c r="M944" s="5">
        <v>5</v>
      </c>
      <c r="N944">
        <f>VLOOKUP(B944,Customers!A:J,7,0)</f>
        <v>36</v>
      </c>
      <c r="O944" t="str">
        <f>VLOOKUP(B944,Customers!A:J,5,0)</f>
        <v>Phoenix</v>
      </c>
      <c r="P944" t="str">
        <f>VLOOKUP(B944,Customers!A:J,10,0)</f>
        <v>Free</v>
      </c>
      <c r="Q944" t="str">
        <f>VLOOKUP(B944,Customers!A:J,8,0)</f>
        <v>Male</v>
      </c>
      <c r="R944" t="b">
        <f t="shared" si="28"/>
        <v>1</v>
      </c>
      <c r="S944" s="18">
        <f t="shared" si="29"/>
        <v>45292</v>
      </c>
    </row>
    <row r="945" spans="1:19" x14ac:dyDescent="0.25">
      <c r="A945" s="6" t="s">
        <v>2185</v>
      </c>
      <c r="B945" s="7" t="s">
        <v>393</v>
      </c>
      <c r="C945" s="15">
        <v>45538</v>
      </c>
      <c r="D945" s="7" t="s">
        <v>684</v>
      </c>
      <c r="E945" s="7" t="s">
        <v>815</v>
      </c>
      <c r="F945" s="7">
        <v>34.99</v>
      </c>
      <c r="G945" s="7">
        <v>2</v>
      </c>
      <c r="H945" s="7">
        <v>15</v>
      </c>
      <c r="I945" s="7">
        <v>29.74</v>
      </c>
      <c r="J945" s="7">
        <v>59.48</v>
      </c>
      <c r="K945" s="7" t="s">
        <v>669</v>
      </c>
      <c r="L945" s="7" t="s">
        <v>693</v>
      </c>
      <c r="M945" s="8">
        <v>5</v>
      </c>
      <c r="N945">
        <f>VLOOKUP(B945,Customers!A:J,7,0)</f>
        <v>25</v>
      </c>
      <c r="O945" t="str">
        <f>VLOOKUP(B945,Customers!A:J,5,0)</f>
        <v>Los Angeles</v>
      </c>
      <c r="P945" t="str">
        <f>VLOOKUP(B945,Customers!A:J,10,0)</f>
        <v>Platinum</v>
      </c>
      <c r="Q945" t="str">
        <f>VLOOKUP(B945,Customers!A:J,8,0)</f>
        <v>Female</v>
      </c>
      <c r="R945" t="b">
        <f t="shared" si="28"/>
        <v>1</v>
      </c>
      <c r="S945" s="18">
        <f t="shared" si="29"/>
        <v>45536</v>
      </c>
    </row>
    <row r="946" spans="1:19" x14ac:dyDescent="0.25">
      <c r="A946" s="3" t="s">
        <v>2187</v>
      </c>
      <c r="B946" s="4" t="s">
        <v>393</v>
      </c>
      <c r="C946" s="14">
        <v>45102</v>
      </c>
      <c r="D946" s="4" t="s">
        <v>672</v>
      </c>
      <c r="E946" s="4" t="s">
        <v>724</v>
      </c>
      <c r="F946" s="4">
        <v>89.99</v>
      </c>
      <c r="G946" s="4">
        <v>2</v>
      </c>
      <c r="H946" s="4">
        <v>20</v>
      </c>
      <c r="I946" s="4">
        <v>71.989999999999995</v>
      </c>
      <c r="J946" s="4">
        <v>143.97999999999999</v>
      </c>
      <c r="K946" s="4" t="s">
        <v>682</v>
      </c>
      <c r="L946" s="4" t="s">
        <v>656</v>
      </c>
      <c r="M946" s="5">
        <v>4</v>
      </c>
      <c r="N946">
        <f>VLOOKUP(B946,Customers!A:J,7,0)</f>
        <v>25</v>
      </c>
      <c r="O946" t="str">
        <f>VLOOKUP(B946,Customers!A:J,5,0)</f>
        <v>Los Angeles</v>
      </c>
      <c r="P946" t="str">
        <f>VLOOKUP(B946,Customers!A:J,10,0)</f>
        <v>Platinum</v>
      </c>
      <c r="Q946" t="str">
        <f>VLOOKUP(B946,Customers!A:J,8,0)</f>
        <v>Female</v>
      </c>
      <c r="R946" t="b">
        <f t="shared" si="28"/>
        <v>1</v>
      </c>
      <c r="S946" s="18">
        <f t="shared" si="29"/>
        <v>45078</v>
      </c>
    </row>
    <row r="947" spans="1:19" x14ac:dyDescent="0.25">
      <c r="A947" s="6" t="s">
        <v>2188</v>
      </c>
      <c r="B947" s="7" t="s">
        <v>393</v>
      </c>
      <c r="C947" s="15">
        <v>45607</v>
      </c>
      <c r="D947" s="7" t="s">
        <v>684</v>
      </c>
      <c r="E947" s="7" t="s">
        <v>705</v>
      </c>
      <c r="F947" s="7">
        <v>79.989999999999995</v>
      </c>
      <c r="G947" s="7">
        <v>1</v>
      </c>
      <c r="H947" s="7">
        <v>0</v>
      </c>
      <c r="I947" s="7">
        <v>79.989999999999995</v>
      </c>
      <c r="J947" s="7">
        <v>79.989999999999995</v>
      </c>
      <c r="K947" s="7" t="s">
        <v>675</v>
      </c>
      <c r="L947" s="7" t="s">
        <v>656</v>
      </c>
      <c r="M947" s="8">
        <v>5</v>
      </c>
      <c r="N947">
        <f>VLOOKUP(B947,Customers!A:J,7,0)</f>
        <v>25</v>
      </c>
      <c r="O947" t="str">
        <f>VLOOKUP(B947,Customers!A:J,5,0)</f>
        <v>Los Angeles</v>
      </c>
      <c r="P947" t="str">
        <f>VLOOKUP(B947,Customers!A:J,10,0)</f>
        <v>Platinum</v>
      </c>
      <c r="Q947" t="str">
        <f>VLOOKUP(B947,Customers!A:J,8,0)</f>
        <v>Female</v>
      </c>
      <c r="R947" t="b">
        <f t="shared" si="28"/>
        <v>1</v>
      </c>
      <c r="S947" s="18">
        <f t="shared" si="29"/>
        <v>45597</v>
      </c>
    </row>
    <row r="948" spans="1:19" x14ac:dyDescent="0.25">
      <c r="A948" s="3" t="s">
        <v>2189</v>
      </c>
      <c r="B948" s="4" t="s">
        <v>393</v>
      </c>
      <c r="C948" s="14">
        <v>45310</v>
      </c>
      <c r="D948" s="4" t="s">
        <v>710</v>
      </c>
      <c r="E948" s="4" t="s">
        <v>711</v>
      </c>
      <c r="F948" s="4">
        <v>14.99</v>
      </c>
      <c r="G948" s="4">
        <v>2</v>
      </c>
      <c r="H948" s="4">
        <v>20</v>
      </c>
      <c r="I948" s="4">
        <v>11.99</v>
      </c>
      <c r="J948" s="4">
        <v>23.98</v>
      </c>
      <c r="K948" s="4" t="s">
        <v>675</v>
      </c>
      <c r="L948" s="4" t="s">
        <v>788</v>
      </c>
      <c r="M948" s="5">
        <v>5</v>
      </c>
      <c r="N948">
        <f>VLOOKUP(B948,Customers!A:J,7,0)</f>
        <v>25</v>
      </c>
      <c r="O948" t="str">
        <f>VLOOKUP(B948,Customers!A:J,5,0)</f>
        <v>Los Angeles</v>
      </c>
      <c r="P948" t="str">
        <f>VLOOKUP(B948,Customers!A:J,10,0)</f>
        <v>Platinum</v>
      </c>
      <c r="Q948" t="str">
        <f>VLOOKUP(B948,Customers!A:J,8,0)</f>
        <v>Female</v>
      </c>
      <c r="R948" t="b">
        <f t="shared" si="28"/>
        <v>1</v>
      </c>
      <c r="S948" s="18">
        <f t="shared" si="29"/>
        <v>45292</v>
      </c>
    </row>
    <row r="949" spans="1:19" x14ac:dyDescent="0.25">
      <c r="A949" s="6" t="s">
        <v>2190</v>
      </c>
      <c r="B949" s="7" t="s">
        <v>393</v>
      </c>
      <c r="C949" s="15">
        <v>45508</v>
      </c>
      <c r="D949" s="7" t="s">
        <v>710</v>
      </c>
      <c r="E949" s="7" t="s">
        <v>711</v>
      </c>
      <c r="F949" s="7">
        <v>14.99</v>
      </c>
      <c r="G949" s="7">
        <v>2</v>
      </c>
      <c r="H949" s="7">
        <v>10</v>
      </c>
      <c r="I949" s="7">
        <v>13.49</v>
      </c>
      <c r="J949" s="7">
        <v>26.98</v>
      </c>
      <c r="K949" s="7" t="s">
        <v>682</v>
      </c>
      <c r="L949" s="7" t="s">
        <v>656</v>
      </c>
      <c r="M949" s="8">
        <v>5</v>
      </c>
      <c r="N949">
        <f>VLOOKUP(B949,Customers!A:J,7,0)</f>
        <v>25</v>
      </c>
      <c r="O949" t="str">
        <f>VLOOKUP(B949,Customers!A:J,5,0)</f>
        <v>Los Angeles</v>
      </c>
      <c r="P949" t="str">
        <f>VLOOKUP(B949,Customers!A:J,10,0)</f>
        <v>Platinum</v>
      </c>
      <c r="Q949" t="str">
        <f>VLOOKUP(B949,Customers!A:J,8,0)</f>
        <v>Female</v>
      </c>
      <c r="R949" t="b">
        <f t="shared" si="28"/>
        <v>1</v>
      </c>
      <c r="S949" s="18">
        <f t="shared" si="29"/>
        <v>45505</v>
      </c>
    </row>
    <row r="950" spans="1:19" x14ac:dyDescent="0.25">
      <c r="A950" s="3" t="s">
        <v>2192</v>
      </c>
      <c r="B950" s="4" t="s">
        <v>393</v>
      </c>
      <c r="C950" s="14">
        <v>45245</v>
      </c>
      <c r="D950" s="4" t="s">
        <v>667</v>
      </c>
      <c r="E950" s="4" t="s">
        <v>699</v>
      </c>
      <c r="F950" s="4">
        <v>89.99</v>
      </c>
      <c r="G950" s="4">
        <v>3</v>
      </c>
      <c r="H950" s="4">
        <v>0</v>
      </c>
      <c r="I950" s="4">
        <v>89.99</v>
      </c>
      <c r="J950" s="4">
        <v>269.97000000000003</v>
      </c>
      <c r="K950" s="4" t="s">
        <v>655</v>
      </c>
      <c r="L950" s="4" t="s">
        <v>656</v>
      </c>
      <c r="M950" s="5"/>
      <c r="N950">
        <f>VLOOKUP(B950,Customers!A:J,7,0)</f>
        <v>25</v>
      </c>
      <c r="O950" t="str">
        <f>VLOOKUP(B950,Customers!A:J,5,0)</f>
        <v>Los Angeles</v>
      </c>
      <c r="P950" t="str">
        <f>VLOOKUP(B950,Customers!A:J,10,0)</f>
        <v>Platinum</v>
      </c>
      <c r="Q950" t="str">
        <f>VLOOKUP(B950,Customers!A:J,8,0)</f>
        <v>Female</v>
      </c>
      <c r="R950" t="b">
        <f t="shared" si="28"/>
        <v>1</v>
      </c>
      <c r="S950" s="18">
        <f t="shared" si="29"/>
        <v>45231</v>
      </c>
    </row>
    <row r="951" spans="1:19" x14ac:dyDescent="0.25">
      <c r="A951" s="6" t="s">
        <v>2194</v>
      </c>
      <c r="B951" s="7" t="s">
        <v>393</v>
      </c>
      <c r="C951" s="15">
        <v>44982</v>
      </c>
      <c r="D951" s="7" t="s">
        <v>680</v>
      </c>
      <c r="E951" s="7" t="s">
        <v>749</v>
      </c>
      <c r="F951" s="7">
        <v>14.99</v>
      </c>
      <c r="G951" s="7">
        <v>1</v>
      </c>
      <c r="H951" s="7">
        <v>5</v>
      </c>
      <c r="I951" s="7">
        <v>14.24</v>
      </c>
      <c r="J951" s="7">
        <v>14.24</v>
      </c>
      <c r="K951" s="7" t="s">
        <v>655</v>
      </c>
      <c r="L951" s="7" t="s">
        <v>656</v>
      </c>
      <c r="M951" s="8">
        <v>4</v>
      </c>
      <c r="N951">
        <f>VLOOKUP(B951,Customers!A:J,7,0)</f>
        <v>25</v>
      </c>
      <c r="O951" t="str">
        <f>VLOOKUP(B951,Customers!A:J,5,0)</f>
        <v>Los Angeles</v>
      </c>
      <c r="P951" t="str">
        <f>VLOOKUP(B951,Customers!A:J,10,0)</f>
        <v>Platinum</v>
      </c>
      <c r="Q951" t="str">
        <f>VLOOKUP(B951,Customers!A:J,8,0)</f>
        <v>Female</v>
      </c>
      <c r="R951" t="b">
        <f t="shared" si="28"/>
        <v>1</v>
      </c>
      <c r="S951" s="18">
        <f t="shared" si="29"/>
        <v>44958</v>
      </c>
    </row>
    <row r="952" spans="1:19" x14ac:dyDescent="0.25">
      <c r="A952" s="3" t="s">
        <v>2196</v>
      </c>
      <c r="B952" s="4" t="s">
        <v>393</v>
      </c>
      <c r="C952" s="14">
        <v>44825</v>
      </c>
      <c r="D952" s="4" t="s">
        <v>659</v>
      </c>
      <c r="E952" s="4" t="s">
        <v>762</v>
      </c>
      <c r="F952" s="4">
        <v>49.99</v>
      </c>
      <c r="G952" s="4">
        <v>2</v>
      </c>
      <c r="H952" s="4">
        <v>0</v>
      </c>
      <c r="I952" s="4">
        <v>49.99</v>
      </c>
      <c r="J952" s="4">
        <v>99.98</v>
      </c>
      <c r="K952" s="4" t="s">
        <v>661</v>
      </c>
      <c r="L952" s="4" t="s">
        <v>656</v>
      </c>
      <c r="M952" s="5"/>
      <c r="N952">
        <f>VLOOKUP(B952,Customers!A:J,7,0)</f>
        <v>25</v>
      </c>
      <c r="O952" t="str">
        <f>VLOOKUP(B952,Customers!A:J,5,0)</f>
        <v>Los Angeles</v>
      </c>
      <c r="P952" t="str">
        <f>VLOOKUP(B952,Customers!A:J,10,0)</f>
        <v>Platinum</v>
      </c>
      <c r="Q952" t="str">
        <f>VLOOKUP(B952,Customers!A:J,8,0)</f>
        <v>Female</v>
      </c>
      <c r="R952" t="b">
        <f t="shared" si="28"/>
        <v>1</v>
      </c>
      <c r="S952" s="18">
        <f t="shared" si="29"/>
        <v>44805</v>
      </c>
    </row>
    <row r="953" spans="1:19" x14ac:dyDescent="0.25">
      <c r="A953" s="6" t="s">
        <v>2197</v>
      </c>
      <c r="B953" s="7" t="s">
        <v>393</v>
      </c>
      <c r="C953" s="15">
        <v>45408</v>
      </c>
      <c r="D953" s="7" t="s">
        <v>659</v>
      </c>
      <c r="E953" s="7" t="s">
        <v>762</v>
      </c>
      <c r="F953" s="7">
        <v>49.99</v>
      </c>
      <c r="G953" s="7">
        <v>3</v>
      </c>
      <c r="H953" s="7">
        <v>10</v>
      </c>
      <c r="I953" s="7">
        <v>44.99</v>
      </c>
      <c r="J953" s="7">
        <v>134.97</v>
      </c>
      <c r="K953" s="7" t="s">
        <v>661</v>
      </c>
      <c r="L953" s="7" t="s">
        <v>656</v>
      </c>
      <c r="M953" s="8">
        <v>4</v>
      </c>
      <c r="N953">
        <f>VLOOKUP(B953,Customers!A:J,7,0)</f>
        <v>25</v>
      </c>
      <c r="O953" t="str">
        <f>VLOOKUP(B953,Customers!A:J,5,0)</f>
        <v>Los Angeles</v>
      </c>
      <c r="P953" t="str">
        <f>VLOOKUP(B953,Customers!A:J,10,0)</f>
        <v>Platinum</v>
      </c>
      <c r="Q953" t="str">
        <f>VLOOKUP(B953,Customers!A:J,8,0)</f>
        <v>Female</v>
      </c>
      <c r="R953" t="b">
        <f t="shared" si="28"/>
        <v>1</v>
      </c>
      <c r="S953" s="18">
        <f t="shared" si="29"/>
        <v>45383</v>
      </c>
    </row>
    <row r="954" spans="1:19" x14ac:dyDescent="0.25">
      <c r="A954" s="3" t="s">
        <v>2199</v>
      </c>
      <c r="B954" s="4" t="s">
        <v>396</v>
      </c>
      <c r="C954" s="14">
        <v>45634</v>
      </c>
      <c r="D954" s="4" t="s">
        <v>653</v>
      </c>
      <c r="E954" s="4" t="s">
        <v>654</v>
      </c>
      <c r="F954" s="4">
        <v>39.99</v>
      </c>
      <c r="G954" s="4">
        <v>2</v>
      </c>
      <c r="H954" s="4">
        <v>20</v>
      </c>
      <c r="I954" s="4">
        <v>31.99</v>
      </c>
      <c r="J954" s="4">
        <v>63.98</v>
      </c>
      <c r="K954" s="4" t="s">
        <v>682</v>
      </c>
      <c r="L954" s="4" t="s">
        <v>656</v>
      </c>
      <c r="M954" s="5">
        <v>3</v>
      </c>
      <c r="N954">
        <f>VLOOKUP(B954,Customers!A:J,7,0)</f>
        <v>52</v>
      </c>
      <c r="O954" t="str">
        <f>VLOOKUP(B954,Customers!A:J,5,0)</f>
        <v>San Diego</v>
      </c>
      <c r="P954" t="str">
        <f>VLOOKUP(B954,Customers!A:J,10,0)</f>
        <v>Free</v>
      </c>
      <c r="Q954" t="str">
        <f>VLOOKUP(B954,Customers!A:J,8,0)</f>
        <v>Female</v>
      </c>
      <c r="R954" t="b">
        <f t="shared" si="28"/>
        <v>1</v>
      </c>
      <c r="S954" s="18">
        <f t="shared" si="29"/>
        <v>45627</v>
      </c>
    </row>
    <row r="955" spans="1:19" x14ac:dyDescent="0.25">
      <c r="A955" s="6" t="s">
        <v>2200</v>
      </c>
      <c r="B955" s="7" t="s">
        <v>396</v>
      </c>
      <c r="C955" s="15">
        <v>45528</v>
      </c>
      <c r="D955" s="7" t="s">
        <v>710</v>
      </c>
      <c r="E955" s="7" t="s">
        <v>711</v>
      </c>
      <c r="F955" s="7">
        <v>14.99</v>
      </c>
      <c r="G955" s="7">
        <v>3</v>
      </c>
      <c r="H955" s="7">
        <v>0</v>
      </c>
      <c r="I955" s="7">
        <v>14.99</v>
      </c>
      <c r="J955" s="7">
        <v>44.97</v>
      </c>
      <c r="K955" s="7" t="s">
        <v>655</v>
      </c>
      <c r="L955" s="7" t="s">
        <v>656</v>
      </c>
      <c r="M955" s="8">
        <v>3</v>
      </c>
      <c r="N955">
        <f>VLOOKUP(B955,Customers!A:J,7,0)</f>
        <v>52</v>
      </c>
      <c r="O955" t="str">
        <f>VLOOKUP(B955,Customers!A:J,5,0)</f>
        <v>San Diego</v>
      </c>
      <c r="P955" t="str">
        <f>VLOOKUP(B955,Customers!A:J,10,0)</f>
        <v>Free</v>
      </c>
      <c r="Q955" t="str">
        <f>VLOOKUP(B955,Customers!A:J,8,0)</f>
        <v>Female</v>
      </c>
      <c r="R955" t="b">
        <f t="shared" si="28"/>
        <v>1</v>
      </c>
      <c r="S955" s="18">
        <f t="shared" si="29"/>
        <v>45505</v>
      </c>
    </row>
    <row r="956" spans="1:19" x14ac:dyDescent="0.25">
      <c r="A956" s="3" t="s">
        <v>2201</v>
      </c>
      <c r="B956" s="4" t="s">
        <v>396</v>
      </c>
      <c r="C956" s="14">
        <v>44987</v>
      </c>
      <c r="D956" s="4" t="s">
        <v>680</v>
      </c>
      <c r="E956" s="4" t="s">
        <v>708</v>
      </c>
      <c r="F956" s="4">
        <v>24.99</v>
      </c>
      <c r="G956" s="4">
        <v>3</v>
      </c>
      <c r="H956" s="4">
        <v>20</v>
      </c>
      <c r="I956" s="4">
        <v>19.989999999999998</v>
      </c>
      <c r="J956" s="4">
        <v>59.97</v>
      </c>
      <c r="K956" s="4" t="s">
        <v>655</v>
      </c>
      <c r="L956" s="4" t="s">
        <v>656</v>
      </c>
      <c r="M956" s="5">
        <v>5</v>
      </c>
      <c r="N956">
        <f>VLOOKUP(B956,Customers!A:J,7,0)</f>
        <v>52</v>
      </c>
      <c r="O956" t="str">
        <f>VLOOKUP(B956,Customers!A:J,5,0)</f>
        <v>San Diego</v>
      </c>
      <c r="P956" t="str">
        <f>VLOOKUP(B956,Customers!A:J,10,0)</f>
        <v>Free</v>
      </c>
      <c r="Q956" t="str">
        <f>VLOOKUP(B956,Customers!A:J,8,0)</f>
        <v>Female</v>
      </c>
      <c r="R956" t="b">
        <f t="shared" si="28"/>
        <v>1</v>
      </c>
      <c r="S956" s="18">
        <f t="shared" si="29"/>
        <v>44986</v>
      </c>
    </row>
    <row r="957" spans="1:19" x14ac:dyDescent="0.25">
      <c r="A957" s="6" t="s">
        <v>2202</v>
      </c>
      <c r="B957" s="7" t="s">
        <v>396</v>
      </c>
      <c r="C957" s="15">
        <v>45340</v>
      </c>
      <c r="D957" s="7" t="s">
        <v>653</v>
      </c>
      <c r="E957" s="7" t="s">
        <v>769</v>
      </c>
      <c r="F957" s="7">
        <v>49.99</v>
      </c>
      <c r="G957" s="7">
        <v>3</v>
      </c>
      <c r="H957" s="7">
        <v>20</v>
      </c>
      <c r="I957" s="7">
        <v>39.99</v>
      </c>
      <c r="J957" s="7">
        <v>119.97</v>
      </c>
      <c r="K957" s="7" t="s">
        <v>669</v>
      </c>
      <c r="L957" s="7" t="s">
        <v>656</v>
      </c>
      <c r="M957" s="8">
        <v>5</v>
      </c>
      <c r="N957">
        <f>VLOOKUP(B957,Customers!A:J,7,0)</f>
        <v>52</v>
      </c>
      <c r="O957" t="str">
        <f>VLOOKUP(B957,Customers!A:J,5,0)</f>
        <v>San Diego</v>
      </c>
      <c r="P957" t="str">
        <f>VLOOKUP(B957,Customers!A:J,10,0)</f>
        <v>Free</v>
      </c>
      <c r="Q957" t="str">
        <f>VLOOKUP(B957,Customers!A:J,8,0)</f>
        <v>Female</v>
      </c>
      <c r="R957" t="b">
        <f t="shared" si="28"/>
        <v>1</v>
      </c>
      <c r="S957" s="18">
        <f t="shared" si="29"/>
        <v>45323</v>
      </c>
    </row>
    <row r="958" spans="1:19" x14ac:dyDescent="0.25">
      <c r="A958" s="3" t="s">
        <v>2203</v>
      </c>
      <c r="B958" s="4" t="s">
        <v>396</v>
      </c>
      <c r="C958" s="14">
        <v>44745</v>
      </c>
      <c r="D958" s="4" t="s">
        <v>653</v>
      </c>
      <c r="E958" s="4" t="s">
        <v>727</v>
      </c>
      <c r="F958" s="4">
        <v>14.99</v>
      </c>
      <c r="G958" s="4">
        <v>1</v>
      </c>
      <c r="H958" s="4">
        <v>20</v>
      </c>
      <c r="I958" s="4">
        <v>11.99</v>
      </c>
      <c r="J958" s="4">
        <v>11.99</v>
      </c>
      <c r="K958" s="4" t="s">
        <v>655</v>
      </c>
      <c r="L958" s="4" t="s">
        <v>656</v>
      </c>
      <c r="M958" s="5"/>
      <c r="N958">
        <f>VLOOKUP(B958,Customers!A:J,7,0)</f>
        <v>52</v>
      </c>
      <c r="O958" t="str">
        <f>VLOOKUP(B958,Customers!A:J,5,0)</f>
        <v>San Diego</v>
      </c>
      <c r="P958" t="str">
        <f>VLOOKUP(B958,Customers!A:J,10,0)</f>
        <v>Free</v>
      </c>
      <c r="Q958" t="str">
        <f>VLOOKUP(B958,Customers!A:J,8,0)</f>
        <v>Female</v>
      </c>
      <c r="R958" t="b">
        <f t="shared" si="28"/>
        <v>1</v>
      </c>
      <c r="S958" s="18">
        <f t="shared" si="29"/>
        <v>44743</v>
      </c>
    </row>
    <row r="959" spans="1:19" x14ac:dyDescent="0.25">
      <c r="A959" s="6" t="s">
        <v>2205</v>
      </c>
      <c r="B959" s="7" t="s">
        <v>396</v>
      </c>
      <c r="C959" s="15">
        <v>44726</v>
      </c>
      <c r="D959" s="7" t="s">
        <v>672</v>
      </c>
      <c r="E959" s="7" t="s">
        <v>724</v>
      </c>
      <c r="F959" s="7">
        <v>89.99</v>
      </c>
      <c r="G959" s="7">
        <v>1</v>
      </c>
      <c r="H959" s="7">
        <v>0</v>
      </c>
      <c r="I959" s="7">
        <v>89.99</v>
      </c>
      <c r="J959" s="7">
        <v>89.99</v>
      </c>
      <c r="K959" s="7" t="s">
        <v>675</v>
      </c>
      <c r="L959" s="7" t="s">
        <v>656</v>
      </c>
      <c r="M959" s="8">
        <v>1</v>
      </c>
      <c r="N959">
        <f>VLOOKUP(B959,Customers!A:J,7,0)</f>
        <v>52</v>
      </c>
      <c r="O959" t="str">
        <f>VLOOKUP(B959,Customers!A:J,5,0)</f>
        <v>San Diego</v>
      </c>
      <c r="P959" t="str">
        <f>VLOOKUP(B959,Customers!A:J,10,0)</f>
        <v>Free</v>
      </c>
      <c r="Q959" t="str">
        <f>VLOOKUP(B959,Customers!A:J,8,0)</f>
        <v>Female</v>
      </c>
      <c r="R959" t="b">
        <f t="shared" si="28"/>
        <v>1</v>
      </c>
      <c r="S959" s="18">
        <f t="shared" si="29"/>
        <v>44713</v>
      </c>
    </row>
    <row r="960" spans="1:19" x14ac:dyDescent="0.25">
      <c r="A960" s="3" t="s">
        <v>2207</v>
      </c>
      <c r="B960" s="4" t="s">
        <v>399</v>
      </c>
      <c r="C960" s="14">
        <v>45102</v>
      </c>
      <c r="D960" s="4" t="s">
        <v>680</v>
      </c>
      <c r="E960" s="4" t="s">
        <v>749</v>
      </c>
      <c r="F960" s="4">
        <v>14.99</v>
      </c>
      <c r="G960" s="4">
        <v>4</v>
      </c>
      <c r="H960" s="4">
        <v>0</v>
      </c>
      <c r="I960" s="4">
        <v>14.99</v>
      </c>
      <c r="J960" s="4">
        <v>59.96</v>
      </c>
      <c r="K960" s="4" t="s">
        <v>675</v>
      </c>
      <c r="L960" s="4" t="s">
        <v>656</v>
      </c>
      <c r="M960" s="5">
        <v>4</v>
      </c>
      <c r="N960">
        <f>VLOOKUP(B960,Customers!A:J,7,0)</f>
        <v>21</v>
      </c>
      <c r="O960" t="str">
        <f>VLOOKUP(B960,Customers!A:J,5,0)</f>
        <v>San Jose</v>
      </c>
      <c r="P960" t="str">
        <f>VLOOKUP(B960,Customers!A:J,10,0)</f>
        <v>Silver</v>
      </c>
      <c r="Q960" t="str">
        <f>VLOOKUP(B960,Customers!A:J,8,0)</f>
        <v>Male</v>
      </c>
      <c r="R960" t="b">
        <f t="shared" si="28"/>
        <v>1</v>
      </c>
      <c r="S960" s="18">
        <f t="shared" si="29"/>
        <v>45078</v>
      </c>
    </row>
    <row r="961" spans="1:19" x14ac:dyDescent="0.25">
      <c r="A961" s="6" t="s">
        <v>2208</v>
      </c>
      <c r="B961" s="7" t="s">
        <v>399</v>
      </c>
      <c r="C961" s="15">
        <v>45470</v>
      </c>
      <c r="D961" s="7" t="s">
        <v>653</v>
      </c>
      <c r="E961" s="7" t="s">
        <v>827</v>
      </c>
      <c r="F961" s="7">
        <v>29.99</v>
      </c>
      <c r="G961" s="7">
        <v>2</v>
      </c>
      <c r="H961" s="7">
        <v>0</v>
      </c>
      <c r="I961" s="7">
        <v>29.99</v>
      </c>
      <c r="J961" s="7">
        <v>59.98</v>
      </c>
      <c r="K961" s="7" t="s">
        <v>655</v>
      </c>
      <c r="L961" s="7" t="s">
        <v>656</v>
      </c>
      <c r="M961" s="8">
        <v>4</v>
      </c>
      <c r="N961">
        <f>VLOOKUP(B961,Customers!A:J,7,0)</f>
        <v>21</v>
      </c>
      <c r="O961" t="str">
        <f>VLOOKUP(B961,Customers!A:J,5,0)</f>
        <v>San Jose</v>
      </c>
      <c r="P961" t="str">
        <f>VLOOKUP(B961,Customers!A:J,10,0)</f>
        <v>Silver</v>
      </c>
      <c r="Q961" t="str">
        <f>VLOOKUP(B961,Customers!A:J,8,0)</f>
        <v>Male</v>
      </c>
      <c r="R961" t="b">
        <f t="shared" si="28"/>
        <v>1</v>
      </c>
      <c r="S961" s="18">
        <f t="shared" si="29"/>
        <v>45444</v>
      </c>
    </row>
    <row r="962" spans="1:19" x14ac:dyDescent="0.25">
      <c r="A962" s="3" t="s">
        <v>2210</v>
      </c>
      <c r="B962" s="4" t="s">
        <v>402</v>
      </c>
      <c r="C962" s="14">
        <v>45214</v>
      </c>
      <c r="D962" s="4" t="s">
        <v>653</v>
      </c>
      <c r="E962" s="4" t="s">
        <v>769</v>
      </c>
      <c r="F962" s="4">
        <v>49.99</v>
      </c>
      <c r="G962" s="4">
        <v>2</v>
      </c>
      <c r="H962" s="4">
        <v>15</v>
      </c>
      <c r="I962" s="4">
        <v>42.49</v>
      </c>
      <c r="J962" s="4">
        <v>84.98</v>
      </c>
      <c r="K962" s="4" t="s">
        <v>655</v>
      </c>
      <c r="L962" s="4" t="s">
        <v>656</v>
      </c>
      <c r="M962" s="5">
        <v>4</v>
      </c>
      <c r="N962">
        <f>VLOOKUP(B962,Customers!A:J,7,0)</f>
        <v>62</v>
      </c>
      <c r="O962" t="str">
        <f>VLOOKUP(B962,Customers!A:J,5,0)</f>
        <v>Houston</v>
      </c>
      <c r="P962" t="str">
        <f>VLOOKUP(B962,Customers!A:J,10,0)</f>
        <v>Silver</v>
      </c>
      <c r="Q962" t="str">
        <f>VLOOKUP(B962,Customers!A:J,8,0)</f>
        <v>Male</v>
      </c>
      <c r="R962" t="b">
        <f t="shared" si="28"/>
        <v>1</v>
      </c>
      <c r="S962" s="18">
        <f t="shared" si="29"/>
        <v>45200</v>
      </c>
    </row>
    <row r="963" spans="1:19" x14ac:dyDescent="0.25">
      <c r="A963" s="6" t="s">
        <v>2211</v>
      </c>
      <c r="B963" s="7" t="s">
        <v>402</v>
      </c>
      <c r="C963" s="15">
        <v>44654</v>
      </c>
      <c r="D963" s="7" t="s">
        <v>653</v>
      </c>
      <c r="E963" s="7" t="s">
        <v>727</v>
      </c>
      <c r="F963" s="7">
        <v>14.99</v>
      </c>
      <c r="G963" s="7">
        <v>3</v>
      </c>
      <c r="H963" s="7">
        <v>0</v>
      </c>
      <c r="I963" s="7">
        <v>14.99</v>
      </c>
      <c r="J963" s="7">
        <v>44.97</v>
      </c>
      <c r="K963" s="7" t="s">
        <v>669</v>
      </c>
      <c r="L963" s="7" t="s">
        <v>656</v>
      </c>
      <c r="M963" s="8">
        <v>5</v>
      </c>
      <c r="N963">
        <f>VLOOKUP(B963,Customers!A:J,7,0)</f>
        <v>62</v>
      </c>
      <c r="O963" t="str">
        <f>VLOOKUP(B963,Customers!A:J,5,0)</f>
        <v>Houston</v>
      </c>
      <c r="P963" t="str">
        <f>VLOOKUP(B963,Customers!A:J,10,0)</f>
        <v>Silver</v>
      </c>
      <c r="Q963" t="str">
        <f>VLOOKUP(B963,Customers!A:J,8,0)</f>
        <v>Male</v>
      </c>
      <c r="R963" t="b">
        <f t="shared" ref="R963:R1026" si="30">ISNUMBER(C963)</f>
        <v>1</v>
      </c>
      <c r="S963" s="18">
        <f t="shared" ref="S963:S1026" si="31">DATE(YEAR(C963),MONTH(C963),1)</f>
        <v>44652</v>
      </c>
    </row>
    <row r="964" spans="1:19" x14ac:dyDescent="0.25">
      <c r="A964" s="3" t="s">
        <v>2212</v>
      </c>
      <c r="B964" s="4" t="s">
        <v>402</v>
      </c>
      <c r="C964" s="14">
        <v>45467</v>
      </c>
      <c r="D964" s="4" t="s">
        <v>672</v>
      </c>
      <c r="E964" s="4" t="s">
        <v>803</v>
      </c>
      <c r="F964" s="4">
        <v>69.989999999999995</v>
      </c>
      <c r="G964" s="4">
        <v>2</v>
      </c>
      <c r="H964" s="4">
        <v>15</v>
      </c>
      <c r="I964" s="4">
        <v>59.49</v>
      </c>
      <c r="J964" s="4">
        <v>118.98</v>
      </c>
      <c r="K964" s="4" t="s">
        <v>661</v>
      </c>
      <c r="L964" s="4" t="s">
        <v>739</v>
      </c>
      <c r="M964" s="5">
        <v>2</v>
      </c>
      <c r="N964">
        <f>VLOOKUP(B964,Customers!A:J,7,0)</f>
        <v>62</v>
      </c>
      <c r="O964" t="str">
        <f>VLOOKUP(B964,Customers!A:J,5,0)</f>
        <v>Houston</v>
      </c>
      <c r="P964" t="str">
        <f>VLOOKUP(B964,Customers!A:J,10,0)</f>
        <v>Silver</v>
      </c>
      <c r="Q964" t="str">
        <f>VLOOKUP(B964,Customers!A:J,8,0)</f>
        <v>Male</v>
      </c>
      <c r="R964" t="b">
        <f t="shared" si="30"/>
        <v>1</v>
      </c>
      <c r="S964" s="18">
        <f t="shared" si="31"/>
        <v>45444</v>
      </c>
    </row>
    <row r="965" spans="1:19" x14ac:dyDescent="0.25">
      <c r="A965" s="6" t="s">
        <v>2214</v>
      </c>
      <c r="B965" s="7" t="s">
        <v>402</v>
      </c>
      <c r="C965" s="15">
        <v>44935</v>
      </c>
      <c r="D965" s="7" t="s">
        <v>653</v>
      </c>
      <c r="E965" s="7" t="s">
        <v>654</v>
      </c>
      <c r="F965" s="7">
        <v>39.99</v>
      </c>
      <c r="G965" s="7">
        <v>1</v>
      </c>
      <c r="H965" s="7">
        <v>10</v>
      </c>
      <c r="I965" s="7">
        <v>35.99</v>
      </c>
      <c r="J965" s="7">
        <v>35.99</v>
      </c>
      <c r="K965" s="7" t="s">
        <v>682</v>
      </c>
      <c r="L965" s="7" t="s">
        <v>788</v>
      </c>
      <c r="M965" s="8">
        <v>4</v>
      </c>
      <c r="N965">
        <f>VLOOKUP(B965,Customers!A:J,7,0)</f>
        <v>62</v>
      </c>
      <c r="O965" t="str">
        <f>VLOOKUP(B965,Customers!A:J,5,0)</f>
        <v>Houston</v>
      </c>
      <c r="P965" t="str">
        <f>VLOOKUP(B965,Customers!A:J,10,0)</f>
        <v>Silver</v>
      </c>
      <c r="Q965" t="str">
        <f>VLOOKUP(B965,Customers!A:J,8,0)</f>
        <v>Male</v>
      </c>
      <c r="R965" t="b">
        <f t="shared" si="30"/>
        <v>1</v>
      </c>
      <c r="S965" s="18">
        <f t="shared" si="31"/>
        <v>44927</v>
      </c>
    </row>
    <row r="966" spans="1:19" x14ac:dyDescent="0.25">
      <c r="A966" s="3" t="s">
        <v>2215</v>
      </c>
      <c r="B966" s="4" t="s">
        <v>402</v>
      </c>
      <c r="C966" s="14">
        <v>45418</v>
      </c>
      <c r="D966" s="4" t="s">
        <v>680</v>
      </c>
      <c r="E966" s="4" t="s">
        <v>708</v>
      </c>
      <c r="F966" s="4">
        <v>24.99</v>
      </c>
      <c r="G966" s="4">
        <v>2</v>
      </c>
      <c r="H966" s="4">
        <v>20</v>
      </c>
      <c r="I966" s="4">
        <v>19.989999999999998</v>
      </c>
      <c r="J966" s="4">
        <v>39.979999999999997</v>
      </c>
      <c r="K966" s="4" t="s">
        <v>682</v>
      </c>
      <c r="L966" s="4" t="s">
        <v>656</v>
      </c>
      <c r="M966" s="5">
        <v>5</v>
      </c>
      <c r="N966">
        <f>VLOOKUP(B966,Customers!A:J,7,0)</f>
        <v>62</v>
      </c>
      <c r="O966" t="str">
        <f>VLOOKUP(B966,Customers!A:J,5,0)</f>
        <v>Houston</v>
      </c>
      <c r="P966" t="str">
        <f>VLOOKUP(B966,Customers!A:J,10,0)</f>
        <v>Silver</v>
      </c>
      <c r="Q966" t="str">
        <f>VLOOKUP(B966,Customers!A:J,8,0)</f>
        <v>Male</v>
      </c>
      <c r="R966" t="b">
        <f t="shared" si="30"/>
        <v>1</v>
      </c>
      <c r="S966" s="18">
        <f t="shared" si="31"/>
        <v>45413</v>
      </c>
    </row>
    <row r="967" spans="1:19" x14ac:dyDescent="0.25">
      <c r="A967" s="6" t="s">
        <v>2216</v>
      </c>
      <c r="B967" s="7" t="s">
        <v>402</v>
      </c>
      <c r="C967" s="15">
        <v>44902</v>
      </c>
      <c r="D967" s="7" t="s">
        <v>680</v>
      </c>
      <c r="E967" s="7" t="s">
        <v>688</v>
      </c>
      <c r="F967" s="7">
        <v>29.99</v>
      </c>
      <c r="G967" s="7">
        <v>2</v>
      </c>
      <c r="H967" s="7">
        <v>20</v>
      </c>
      <c r="I967" s="7">
        <v>23.99</v>
      </c>
      <c r="J967" s="7">
        <v>47.98</v>
      </c>
      <c r="K967" s="7" t="s">
        <v>669</v>
      </c>
      <c r="L967" s="7" t="s">
        <v>656</v>
      </c>
      <c r="M967" s="8">
        <v>5</v>
      </c>
      <c r="N967">
        <f>VLOOKUP(B967,Customers!A:J,7,0)</f>
        <v>62</v>
      </c>
      <c r="O967" t="str">
        <f>VLOOKUP(B967,Customers!A:J,5,0)</f>
        <v>Houston</v>
      </c>
      <c r="P967" t="str">
        <f>VLOOKUP(B967,Customers!A:J,10,0)</f>
        <v>Silver</v>
      </c>
      <c r="Q967" t="str">
        <f>VLOOKUP(B967,Customers!A:J,8,0)</f>
        <v>Male</v>
      </c>
      <c r="R967" t="b">
        <f t="shared" si="30"/>
        <v>1</v>
      </c>
      <c r="S967" s="18">
        <f t="shared" si="31"/>
        <v>44896</v>
      </c>
    </row>
    <row r="968" spans="1:19" x14ac:dyDescent="0.25">
      <c r="A968" s="3" t="s">
        <v>2217</v>
      </c>
      <c r="B968" s="4" t="s">
        <v>402</v>
      </c>
      <c r="C968" s="14">
        <v>45588</v>
      </c>
      <c r="D968" s="4" t="s">
        <v>667</v>
      </c>
      <c r="E968" s="4" t="s">
        <v>714</v>
      </c>
      <c r="F968" s="4">
        <v>44.99</v>
      </c>
      <c r="G968" s="4">
        <v>2</v>
      </c>
      <c r="H968" s="4">
        <v>10</v>
      </c>
      <c r="I968" s="4">
        <v>40.49</v>
      </c>
      <c r="J968" s="4">
        <v>80.98</v>
      </c>
      <c r="K968" s="4" t="s">
        <v>669</v>
      </c>
      <c r="L968" s="4" t="s">
        <v>656</v>
      </c>
      <c r="M968" s="5">
        <v>3</v>
      </c>
      <c r="N968">
        <f>VLOOKUP(B968,Customers!A:J,7,0)</f>
        <v>62</v>
      </c>
      <c r="O968" t="str">
        <f>VLOOKUP(B968,Customers!A:J,5,0)</f>
        <v>Houston</v>
      </c>
      <c r="P968" t="str">
        <f>VLOOKUP(B968,Customers!A:J,10,0)</f>
        <v>Silver</v>
      </c>
      <c r="Q968" t="str">
        <f>VLOOKUP(B968,Customers!A:J,8,0)</f>
        <v>Male</v>
      </c>
      <c r="R968" t="b">
        <f t="shared" si="30"/>
        <v>1</v>
      </c>
      <c r="S968" s="18">
        <f t="shared" si="31"/>
        <v>45566</v>
      </c>
    </row>
    <row r="969" spans="1:19" x14ac:dyDescent="0.25">
      <c r="A969" s="6" t="s">
        <v>2218</v>
      </c>
      <c r="B969" s="7" t="s">
        <v>402</v>
      </c>
      <c r="C969" s="15">
        <v>45524</v>
      </c>
      <c r="D969" s="7" t="s">
        <v>710</v>
      </c>
      <c r="E969" s="7" t="s">
        <v>721</v>
      </c>
      <c r="F969" s="7">
        <v>24.99</v>
      </c>
      <c r="G969" s="7">
        <v>3</v>
      </c>
      <c r="H969" s="7">
        <v>0</v>
      </c>
      <c r="I969" s="7">
        <v>24.99</v>
      </c>
      <c r="J969" s="7">
        <v>74.97</v>
      </c>
      <c r="K969" s="7" t="s">
        <v>655</v>
      </c>
      <c r="L969" s="7" t="s">
        <v>656</v>
      </c>
      <c r="M969" s="8">
        <v>4</v>
      </c>
      <c r="N969">
        <f>VLOOKUP(B969,Customers!A:J,7,0)</f>
        <v>62</v>
      </c>
      <c r="O969" t="str">
        <f>VLOOKUP(B969,Customers!A:J,5,0)</f>
        <v>Houston</v>
      </c>
      <c r="P969" t="str">
        <f>VLOOKUP(B969,Customers!A:J,10,0)</f>
        <v>Silver</v>
      </c>
      <c r="Q969" t="str">
        <f>VLOOKUP(B969,Customers!A:J,8,0)</f>
        <v>Male</v>
      </c>
      <c r="R969" t="b">
        <f t="shared" si="30"/>
        <v>1</v>
      </c>
      <c r="S969" s="18">
        <f t="shared" si="31"/>
        <v>45505</v>
      </c>
    </row>
    <row r="970" spans="1:19" x14ac:dyDescent="0.25">
      <c r="A970" s="3" t="s">
        <v>2220</v>
      </c>
      <c r="B970" s="4" t="s">
        <v>402</v>
      </c>
      <c r="C970" s="14">
        <v>45300</v>
      </c>
      <c r="D970" s="4" t="s">
        <v>684</v>
      </c>
      <c r="E970" s="4" t="s">
        <v>815</v>
      </c>
      <c r="F970" s="4">
        <v>34.99</v>
      </c>
      <c r="G970" s="4">
        <v>2</v>
      </c>
      <c r="H970" s="4">
        <v>10</v>
      </c>
      <c r="I970" s="4">
        <v>31.49</v>
      </c>
      <c r="J970" s="4">
        <v>62.98</v>
      </c>
      <c r="K970" s="4" t="s">
        <v>669</v>
      </c>
      <c r="L970" s="4" t="s">
        <v>656</v>
      </c>
      <c r="M970" s="5">
        <v>5</v>
      </c>
      <c r="N970">
        <f>VLOOKUP(B970,Customers!A:J,7,0)</f>
        <v>62</v>
      </c>
      <c r="O970" t="str">
        <f>VLOOKUP(B970,Customers!A:J,5,0)</f>
        <v>Houston</v>
      </c>
      <c r="P970" t="str">
        <f>VLOOKUP(B970,Customers!A:J,10,0)</f>
        <v>Silver</v>
      </c>
      <c r="Q970" t="str">
        <f>VLOOKUP(B970,Customers!A:J,8,0)</f>
        <v>Male</v>
      </c>
      <c r="R970" t="b">
        <f t="shared" si="30"/>
        <v>1</v>
      </c>
      <c r="S970" s="18">
        <f t="shared" si="31"/>
        <v>45292</v>
      </c>
    </row>
    <row r="971" spans="1:19" x14ac:dyDescent="0.25">
      <c r="A971" s="6" t="s">
        <v>2222</v>
      </c>
      <c r="B971" s="7" t="s">
        <v>402</v>
      </c>
      <c r="C971" s="15">
        <v>45313</v>
      </c>
      <c r="D971" s="7" t="s">
        <v>710</v>
      </c>
      <c r="E971" s="7" t="s">
        <v>744</v>
      </c>
      <c r="F971" s="7">
        <v>29.99</v>
      </c>
      <c r="G971" s="7">
        <v>3</v>
      </c>
      <c r="H971" s="7">
        <v>5</v>
      </c>
      <c r="I971" s="7">
        <v>28.49</v>
      </c>
      <c r="J971" s="7">
        <v>85.47</v>
      </c>
      <c r="K971" s="7" t="s">
        <v>655</v>
      </c>
      <c r="L971" s="7" t="s">
        <v>788</v>
      </c>
      <c r="M971" s="8"/>
      <c r="N971">
        <f>VLOOKUP(B971,Customers!A:J,7,0)</f>
        <v>62</v>
      </c>
      <c r="O971" t="str">
        <f>VLOOKUP(B971,Customers!A:J,5,0)</f>
        <v>Houston</v>
      </c>
      <c r="P971" t="str">
        <f>VLOOKUP(B971,Customers!A:J,10,0)</f>
        <v>Silver</v>
      </c>
      <c r="Q971" t="str">
        <f>VLOOKUP(B971,Customers!A:J,8,0)</f>
        <v>Male</v>
      </c>
      <c r="R971" t="b">
        <f t="shared" si="30"/>
        <v>1</v>
      </c>
      <c r="S971" s="18">
        <f t="shared" si="31"/>
        <v>45292</v>
      </c>
    </row>
    <row r="972" spans="1:19" x14ac:dyDescent="0.25">
      <c r="A972" s="3" t="s">
        <v>2224</v>
      </c>
      <c r="B972" s="4" t="s">
        <v>402</v>
      </c>
      <c r="C972" s="14">
        <v>44830</v>
      </c>
      <c r="D972" s="4" t="s">
        <v>710</v>
      </c>
      <c r="E972" s="4" t="s">
        <v>711</v>
      </c>
      <c r="F972" s="4">
        <v>14.99</v>
      </c>
      <c r="G972" s="4">
        <v>1</v>
      </c>
      <c r="H972" s="4">
        <v>20</v>
      </c>
      <c r="I972" s="4">
        <v>11.99</v>
      </c>
      <c r="J972" s="4">
        <v>11.99</v>
      </c>
      <c r="K972" s="4" t="s">
        <v>682</v>
      </c>
      <c r="L972" s="4" t="s">
        <v>656</v>
      </c>
      <c r="M972" s="5">
        <v>5</v>
      </c>
      <c r="N972">
        <f>VLOOKUP(B972,Customers!A:J,7,0)</f>
        <v>62</v>
      </c>
      <c r="O972" t="str">
        <f>VLOOKUP(B972,Customers!A:J,5,0)</f>
        <v>Houston</v>
      </c>
      <c r="P972" t="str">
        <f>VLOOKUP(B972,Customers!A:J,10,0)</f>
        <v>Silver</v>
      </c>
      <c r="Q972" t="str">
        <f>VLOOKUP(B972,Customers!A:J,8,0)</f>
        <v>Male</v>
      </c>
      <c r="R972" t="b">
        <f t="shared" si="30"/>
        <v>1</v>
      </c>
      <c r="S972" s="18">
        <f t="shared" si="31"/>
        <v>44805</v>
      </c>
    </row>
    <row r="973" spans="1:19" x14ac:dyDescent="0.25">
      <c r="A973" s="6" t="s">
        <v>2225</v>
      </c>
      <c r="B973" s="7" t="s">
        <v>402</v>
      </c>
      <c r="C973" s="15">
        <v>45620</v>
      </c>
      <c r="D973" s="7" t="s">
        <v>659</v>
      </c>
      <c r="E973" s="7" t="s">
        <v>660</v>
      </c>
      <c r="F973" s="7">
        <v>19.989999999999998</v>
      </c>
      <c r="G973" s="7">
        <v>4</v>
      </c>
      <c r="H973" s="7">
        <v>0</v>
      </c>
      <c r="I973" s="7">
        <v>19.989999999999998</v>
      </c>
      <c r="J973" s="7">
        <v>79.959999999999994</v>
      </c>
      <c r="K973" s="7" t="s">
        <v>682</v>
      </c>
      <c r="L973" s="7" t="s">
        <v>656</v>
      </c>
      <c r="M973" s="8">
        <v>5</v>
      </c>
      <c r="N973">
        <f>VLOOKUP(B973,Customers!A:J,7,0)</f>
        <v>62</v>
      </c>
      <c r="O973" t="str">
        <f>VLOOKUP(B973,Customers!A:J,5,0)</f>
        <v>Houston</v>
      </c>
      <c r="P973" t="str">
        <f>VLOOKUP(B973,Customers!A:J,10,0)</f>
        <v>Silver</v>
      </c>
      <c r="Q973" t="str">
        <f>VLOOKUP(B973,Customers!A:J,8,0)</f>
        <v>Male</v>
      </c>
      <c r="R973" t="b">
        <f t="shared" si="30"/>
        <v>1</v>
      </c>
      <c r="S973" s="18">
        <f t="shared" si="31"/>
        <v>45597</v>
      </c>
    </row>
    <row r="974" spans="1:19" x14ac:dyDescent="0.25">
      <c r="A974" s="3" t="s">
        <v>2227</v>
      </c>
      <c r="B974" s="4" t="s">
        <v>402</v>
      </c>
      <c r="C974" s="14">
        <v>44718</v>
      </c>
      <c r="D974" s="4" t="s">
        <v>672</v>
      </c>
      <c r="E974" s="4" t="s">
        <v>673</v>
      </c>
      <c r="F974" s="4">
        <v>24.99</v>
      </c>
      <c r="G974" s="4">
        <v>1</v>
      </c>
      <c r="H974" s="4">
        <v>15</v>
      </c>
      <c r="I974" s="4">
        <v>21.24</v>
      </c>
      <c r="J974" s="4">
        <v>21.24</v>
      </c>
      <c r="K974" s="4" t="s">
        <v>682</v>
      </c>
      <c r="L974" s="4" t="s">
        <v>788</v>
      </c>
      <c r="M974" s="5">
        <v>4</v>
      </c>
      <c r="N974">
        <f>VLOOKUP(B974,Customers!A:J,7,0)</f>
        <v>62</v>
      </c>
      <c r="O974" t="str">
        <f>VLOOKUP(B974,Customers!A:J,5,0)</f>
        <v>Houston</v>
      </c>
      <c r="P974" t="str">
        <f>VLOOKUP(B974,Customers!A:J,10,0)</f>
        <v>Silver</v>
      </c>
      <c r="Q974" t="str">
        <f>VLOOKUP(B974,Customers!A:J,8,0)</f>
        <v>Male</v>
      </c>
      <c r="R974" t="b">
        <f t="shared" si="30"/>
        <v>1</v>
      </c>
      <c r="S974" s="18">
        <f t="shared" si="31"/>
        <v>44713</v>
      </c>
    </row>
    <row r="975" spans="1:19" x14ac:dyDescent="0.25">
      <c r="A975" s="6" t="s">
        <v>2228</v>
      </c>
      <c r="B975" s="7" t="s">
        <v>402</v>
      </c>
      <c r="C975" s="15">
        <v>44922</v>
      </c>
      <c r="D975" s="7" t="s">
        <v>672</v>
      </c>
      <c r="E975" s="7" t="s">
        <v>673</v>
      </c>
      <c r="F975" s="7">
        <v>24.99</v>
      </c>
      <c r="G975" s="7">
        <v>2</v>
      </c>
      <c r="H975" s="7">
        <v>0</v>
      </c>
      <c r="I975" s="7">
        <v>24.99</v>
      </c>
      <c r="J975" s="7">
        <v>49.98</v>
      </c>
      <c r="K975" s="7" t="s">
        <v>655</v>
      </c>
      <c r="L975" s="7" t="s">
        <v>656</v>
      </c>
      <c r="M975" s="8"/>
      <c r="N975">
        <f>VLOOKUP(B975,Customers!A:J,7,0)</f>
        <v>62</v>
      </c>
      <c r="O975" t="str">
        <f>VLOOKUP(B975,Customers!A:J,5,0)</f>
        <v>Houston</v>
      </c>
      <c r="P975" t="str">
        <f>VLOOKUP(B975,Customers!A:J,10,0)</f>
        <v>Silver</v>
      </c>
      <c r="Q975" t="str">
        <f>VLOOKUP(B975,Customers!A:J,8,0)</f>
        <v>Male</v>
      </c>
      <c r="R975" t="b">
        <f t="shared" si="30"/>
        <v>1</v>
      </c>
      <c r="S975" s="18">
        <f t="shared" si="31"/>
        <v>44896</v>
      </c>
    </row>
    <row r="976" spans="1:19" x14ac:dyDescent="0.25">
      <c r="A976" s="3" t="s">
        <v>2229</v>
      </c>
      <c r="B976" s="4" t="s">
        <v>402</v>
      </c>
      <c r="C976" s="14">
        <v>45204</v>
      </c>
      <c r="D976" s="4" t="s">
        <v>659</v>
      </c>
      <c r="E976" s="4" t="s">
        <v>660</v>
      </c>
      <c r="F976" s="4">
        <v>19.989999999999998</v>
      </c>
      <c r="G976" s="4">
        <v>1</v>
      </c>
      <c r="H976" s="4">
        <v>0</v>
      </c>
      <c r="I976" s="4">
        <v>19.989999999999998</v>
      </c>
      <c r="J976" s="4">
        <v>19.989999999999998</v>
      </c>
      <c r="K976" s="4" t="s">
        <v>669</v>
      </c>
      <c r="L976" s="4" t="s">
        <v>656</v>
      </c>
      <c r="M976" s="5"/>
      <c r="N976">
        <f>VLOOKUP(B976,Customers!A:J,7,0)</f>
        <v>62</v>
      </c>
      <c r="O976" t="str">
        <f>VLOOKUP(B976,Customers!A:J,5,0)</f>
        <v>Houston</v>
      </c>
      <c r="P976" t="str">
        <f>VLOOKUP(B976,Customers!A:J,10,0)</f>
        <v>Silver</v>
      </c>
      <c r="Q976" t="str">
        <f>VLOOKUP(B976,Customers!A:J,8,0)</f>
        <v>Male</v>
      </c>
      <c r="R976" t="b">
        <f t="shared" si="30"/>
        <v>1</v>
      </c>
      <c r="S976" s="18">
        <f t="shared" si="31"/>
        <v>45200</v>
      </c>
    </row>
    <row r="977" spans="1:19" x14ac:dyDescent="0.25">
      <c r="A977" s="6" t="s">
        <v>2231</v>
      </c>
      <c r="B977" s="7" t="s">
        <v>405</v>
      </c>
      <c r="C977" s="15">
        <v>45525</v>
      </c>
      <c r="D977" s="7" t="s">
        <v>659</v>
      </c>
      <c r="E977" s="7" t="s">
        <v>820</v>
      </c>
      <c r="F977" s="7">
        <v>39.99</v>
      </c>
      <c r="G977" s="7">
        <v>3</v>
      </c>
      <c r="H977" s="7">
        <v>0</v>
      </c>
      <c r="I977" s="7">
        <v>39.99</v>
      </c>
      <c r="J977" s="7">
        <v>119.97</v>
      </c>
      <c r="K977" s="7" t="s">
        <v>661</v>
      </c>
      <c r="L977" s="7" t="s">
        <v>788</v>
      </c>
      <c r="M977" s="8">
        <v>5</v>
      </c>
      <c r="N977">
        <f>VLOOKUP(B977,Customers!A:J,7,0)</f>
        <v>34</v>
      </c>
      <c r="O977" t="str">
        <f>VLOOKUP(B977,Customers!A:J,5,0)</f>
        <v>Jacksonville</v>
      </c>
      <c r="P977" t="str">
        <f>VLOOKUP(B977,Customers!A:J,10,0)</f>
        <v>Free</v>
      </c>
      <c r="Q977" t="str">
        <f>VLOOKUP(B977,Customers!A:J,8,0)</f>
        <v>Male</v>
      </c>
      <c r="R977" t="b">
        <f t="shared" si="30"/>
        <v>1</v>
      </c>
      <c r="S977" s="18">
        <f t="shared" si="31"/>
        <v>45505</v>
      </c>
    </row>
    <row r="978" spans="1:19" x14ac:dyDescent="0.25">
      <c r="A978" s="3" t="s">
        <v>2232</v>
      </c>
      <c r="B978" s="4" t="s">
        <v>405</v>
      </c>
      <c r="C978" s="14">
        <v>44855</v>
      </c>
      <c r="D978" s="4" t="s">
        <v>667</v>
      </c>
      <c r="E978" s="4" t="s">
        <v>696</v>
      </c>
      <c r="F978" s="4">
        <v>59.99</v>
      </c>
      <c r="G978" s="4">
        <v>3</v>
      </c>
      <c r="H978" s="4">
        <v>0</v>
      </c>
      <c r="I978" s="4">
        <v>59.99</v>
      </c>
      <c r="J978" s="4">
        <v>179.97</v>
      </c>
      <c r="K978" s="4" t="s">
        <v>682</v>
      </c>
      <c r="L978" s="4" t="s">
        <v>656</v>
      </c>
      <c r="M978" s="5">
        <v>4</v>
      </c>
      <c r="N978">
        <f>VLOOKUP(B978,Customers!A:J,7,0)</f>
        <v>34</v>
      </c>
      <c r="O978" t="str">
        <f>VLOOKUP(B978,Customers!A:J,5,0)</f>
        <v>Jacksonville</v>
      </c>
      <c r="P978" t="str">
        <f>VLOOKUP(B978,Customers!A:J,10,0)</f>
        <v>Free</v>
      </c>
      <c r="Q978" t="str">
        <f>VLOOKUP(B978,Customers!A:J,8,0)</f>
        <v>Male</v>
      </c>
      <c r="R978" t="b">
        <f t="shared" si="30"/>
        <v>1</v>
      </c>
      <c r="S978" s="18">
        <f t="shared" si="31"/>
        <v>44835</v>
      </c>
    </row>
    <row r="979" spans="1:19" x14ac:dyDescent="0.25">
      <c r="A979" s="6" t="s">
        <v>2234</v>
      </c>
      <c r="B979" s="7" t="s">
        <v>408</v>
      </c>
      <c r="C979" s="15">
        <v>44916</v>
      </c>
      <c r="D979" s="7" t="s">
        <v>680</v>
      </c>
      <c r="E979" s="7" t="s">
        <v>688</v>
      </c>
      <c r="F979" s="7">
        <v>29.99</v>
      </c>
      <c r="G979" s="7">
        <v>2</v>
      </c>
      <c r="H979" s="7">
        <v>0</v>
      </c>
      <c r="I979" s="7">
        <v>29.99</v>
      </c>
      <c r="J979" s="7">
        <v>59.98</v>
      </c>
      <c r="K979" s="7" t="s">
        <v>661</v>
      </c>
      <c r="L979" s="7" t="s">
        <v>656</v>
      </c>
      <c r="M979" s="8"/>
      <c r="N979">
        <f>VLOOKUP(B979,Customers!A:J,7,0)</f>
        <v>58</v>
      </c>
      <c r="O979" t="str">
        <f>VLOOKUP(B979,Customers!A:J,5,0)</f>
        <v>Houston</v>
      </c>
      <c r="P979" t="str">
        <f>VLOOKUP(B979,Customers!A:J,10,0)</f>
        <v>Free</v>
      </c>
      <c r="Q979" t="str">
        <f>VLOOKUP(B979,Customers!A:J,8,0)</f>
        <v>Male</v>
      </c>
      <c r="R979" t="b">
        <f t="shared" si="30"/>
        <v>1</v>
      </c>
      <c r="S979" s="18">
        <f t="shared" si="31"/>
        <v>44896</v>
      </c>
    </row>
    <row r="980" spans="1:19" x14ac:dyDescent="0.25">
      <c r="A980" s="3" t="s">
        <v>2236</v>
      </c>
      <c r="B980" s="4" t="s">
        <v>408</v>
      </c>
      <c r="C980" s="14">
        <v>45390</v>
      </c>
      <c r="D980" s="4" t="s">
        <v>667</v>
      </c>
      <c r="E980" s="4" t="s">
        <v>699</v>
      </c>
      <c r="F980" s="4">
        <v>89.99</v>
      </c>
      <c r="G980" s="4">
        <v>3</v>
      </c>
      <c r="H980" s="4">
        <v>0</v>
      </c>
      <c r="I980" s="4">
        <v>89.99</v>
      </c>
      <c r="J980" s="4">
        <v>269.97000000000003</v>
      </c>
      <c r="K980" s="4" t="s">
        <v>661</v>
      </c>
      <c r="L980" s="4" t="s">
        <v>656</v>
      </c>
      <c r="M980" s="5">
        <v>4</v>
      </c>
      <c r="N980">
        <f>VLOOKUP(B980,Customers!A:J,7,0)</f>
        <v>58</v>
      </c>
      <c r="O980" t="str">
        <f>VLOOKUP(B980,Customers!A:J,5,0)</f>
        <v>Houston</v>
      </c>
      <c r="P980" t="str">
        <f>VLOOKUP(B980,Customers!A:J,10,0)</f>
        <v>Free</v>
      </c>
      <c r="Q980" t="str">
        <f>VLOOKUP(B980,Customers!A:J,8,0)</f>
        <v>Male</v>
      </c>
      <c r="R980" t="b">
        <f t="shared" si="30"/>
        <v>1</v>
      </c>
      <c r="S980" s="18">
        <f t="shared" si="31"/>
        <v>45383</v>
      </c>
    </row>
    <row r="981" spans="1:19" x14ac:dyDescent="0.25">
      <c r="A981" s="6" t="s">
        <v>2237</v>
      </c>
      <c r="B981" s="7" t="s">
        <v>408</v>
      </c>
      <c r="C981" s="15">
        <v>45539</v>
      </c>
      <c r="D981" s="7" t="s">
        <v>680</v>
      </c>
      <c r="E981" s="7" t="s">
        <v>688</v>
      </c>
      <c r="F981" s="7">
        <v>29.99</v>
      </c>
      <c r="G981" s="7">
        <v>2</v>
      </c>
      <c r="H981" s="7">
        <v>0</v>
      </c>
      <c r="I981" s="7">
        <v>29.99</v>
      </c>
      <c r="J981" s="7">
        <v>59.98</v>
      </c>
      <c r="K981" s="7" t="s">
        <v>669</v>
      </c>
      <c r="L981" s="7" t="s">
        <v>656</v>
      </c>
      <c r="M981" s="8"/>
      <c r="N981">
        <f>VLOOKUP(B981,Customers!A:J,7,0)</f>
        <v>58</v>
      </c>
      <c r="O981" t="str">
        <f>VLOOKUP(B981,Customers!A:J,5,0)</f>
        <v>Houston</v>
      </c>
      <c r="P981" t="str">
        <f>VLOOKUP(B981,Customers!A:J,10,0)</f>
        <v>Free</v>
      </c>
      <c r="Q981" t="str">
        <f>VLOOKUP(B981,Customers!A:J,8,0)</f>
        <v>Male</v>
      </c>
      <c r="R981" t="b">
        <f t="shared" si="30"/>
        <v>1</v>
      </c>
      <c r="S981" s="18">
        <f t="shared" si="31"/>
        <v>45536</v>
      </c>
    </row>
    <row r="982" spans="1:19" x14ac:dyDescent="0.25">
      <c r="A982" s="3" t="s">
        <v>2238</v>
      </c>
      <c r="B982" s="4" t="s">
        <v>408</v>
      </c>
      <c r="C982" s="14">
        <v>45586</v>
      </c>
      <c r="D982" s="4" t="s">
        <v>710</v>
      </c>
      <c r="E982" s="4" t="s">
        <v>711</v>
      </c>
      <c r="F982" s="4">
        <v>14.99</v>
      </c>
      <c r="G982" s="4">
        <v>3</v>
      </c>
      <c r="H982" s="4">
        <v>0</v>
      </c>
      <c r="I982" s="4">
        <v>14.99</v>
      </c>
      <c r="J982" s="4">
        <v>44.97</v>
      </c>
      <c r="K982" s="4" t="s">
        <v>669</v>
      </c>
      <c r="L982" s="4" t="s">
        <v>656</v>
      </c>
      <c r="M982" s="5">
        <v>5</v>
      </c>
      <c r="N982">
        <f>VLOOKUP(B982,Customers!A:J,7,0)</f>
        <v>58</v>
      </c>
      <c r="O982" t="str">
        <f>VLOOKUP(B982,Customers!A:J,5,0)</f>
        <v>Houston</v>
      </c>
      <c r="P982" t="str">
        <f>VLOOKUP(B982,Customers!A:J,10,0)</f>
        <v>Free</v>
      </c>
      <c r="Q982" t="str">
        <f>VLOOKUP(B982,Customers!A:J,8,0)</f>
        <v>Male</v>
      </c>
      <c r="R982" t="b">
        <f t="shared" si="30"/>
        <v>1</v>
      </c>
      <c r="S982" s="18">
        <f t="shared" si="31"/>
        <v>45566</v>
      </c>
    </row>
    <row r="983" spans="1:19" x14ac:dyDescent="0.25">
      <c r="A983" s="6" t="s">
        <v>2239</v>
      </c>
      <c r="B983" s="7" t="s">
        <v>408</v>
      </c>
      <c r="C983" s="15">
        <v>44964</v>
      </c>
      <c r="D983" s="7" t="s">
        <v>659</v>
      </c>
      <c r="E983" s="7" t="s">
        <v>762</v>
      </c>
      <c r="F983" s="7">
        <v>49.99</v>
      </c>
      <c r="G983" s="7">
        <v>4</v>
      </c>
      <c r="H983" s="7">
        <v>0</v>
      </c>
      <c r="I983" s="7">
        <v>49.99</v>
      </c>
      <c r="J983" s="7">
        <v>199.96</v>
      </c>
      <c r="K983" s="7" t="s">
        <v>661</v>
      </c>
      <c r="L983" s="7" t="s">
        <v>656</v>
      </c>
      <c r="M983" s="8">
        <v>5</v>
      </c>
      <c r="N983">
        <f>VLOOKUP(B983,Customers!A:J,7,0)</f>
        <v>58</v>
      </c>
      <c r="O983" t="str">
        <f>VLOOKUP(B983,Customers!A:J,5,0)</f>
        <v>Houston</v>
      </c>
      <c r="P983" t="str">
        <f>VLOOKUP(B983,Customers!A:J,10,0)</f>
        <v>Free</v>
      </c>
      <c r="Q983" t="str">
        <f>VLOOKUP(B983,Customers!A:J,8,0)</f>
        <v>Male</v>
      </c>
      <c r="R983" t="b">
        <f t="shared" si="30"/>
        <v>1</v>
      </c>
      <c r="S983" s="18">
        <f t="shared" si="31"/>
        <v>44958</v>
      </c>
    </row>
    <row r="984" spans="1:19" x14ac:dyDescent="0.25">
      <c r="A984" s="3" t="s">
        <v>2240</v>
      </c>
      <c r="B984" s="4" t="s">
        <v>408</v>
      </c>
      <c r="C984" s="14">
        <v>44673</v>
      </c>
      <c r="D984" s="4" t="s">
        <v>710</v>
      </c>
      <c r="E984" s="4" t="s">
        <v>730</v>
      </c>
      <c r="F984" s="4">
        <v>39.99</v>
      </c>
      <c r="G984" s="4">
        <v>4</v>
      </c>
      <c r="H984" s="4">
        <v>10</v>
      </c>
      <c r="I984" s="4">
        <v>35.99</v>
      </c>
      <c r="J984" s="4">
        <v>143.96</v>
      </c>
      <c r="K984" s="4" t="s">
        <v>669</v>
      </c>
      <c r="L984" s="4" t="s">
        <v>656</v>
      </c>
      <c r="M984" s="5">
        <v>5</v>
      </c>
      <c r="N984">
        <f>VLOOKUP(B984,Customers!A:J,7,0)</f>
        <v>58</v>
      </c>
      <c r="O984" t="str">
        <f>VLOOKUP(B984,Customers!A:J,5,0)</f>
        <v>Houston</v>
      </c>
      <c r="P984" t="str">
        <f>VLOOKUP(B984,Customers!A:J,10,0)</f>
        <v>Free</v>
      </c>
      <c r="Q984" t="str">
        <f>VLOOKUP(B984,Customers!A:J,8,0)</f>
        <v>Male</v>
      </c>
      <c r="R984" t="b">
        <f t="shared" si="30"/>
        <v>1</v>
      </c>
      <c r="S984" s="18">
        <f t="shared" si="31"/>
        <v>44652</v>
      </c>
    </row>
    <row r="985" spans="1:19" x14ac:dyDescent="0.25">
      <c r="A985" s="6" t="s">
        <v>2242</v>
      </c>
      <c r="B985" s="7" t="s">
        <v>408</v>
      </c>
      <c r="C985" s="15">
        <v>44669</v>
      </c>
      <c r="D985" s="7" t="s">
        <v>684</v>
      </c>
      <c r="E985" s="7" t="s">
        <v>815</v>
      </c>
      <c r="F985" s="7">
        <v>34.99</v>
      </c>
      <c r="G985" s="7">
        <v>3</v>
      </c>
      <c r="H985" s="7">
        <v>0</v>
      </c>
      <c r="I985" s="7">
        <v>34.99</v>
      </c>
      <c r="J985" s="7">
        <v>104.97</v>
      </c>
      <c r="K985" s="7" t="s">
        <v>682</v>
      </c>
      <c r="L985" s="7" t="s">
        <v>785</v>
      </c>
      <c r="M985" s="8"/>
      <c r="N985">
        <f>VLOOKUP(B985,Customers!A:J,7,0)</f>
        <v>58</v>
      </c>
      <c r="O985" t="str">
        <f>VLOOKUP(B985,Customers!A:J,5,0)</f>
        <v>Houston</v>
      </c>
      <c r="P985" t="str">
        <f>VLOOKUP(B985,Customers!A:J,10,0)</f>
        <v>Free</v>
      </c>
      <c r="Q985" t="str">
        <f>VLOOKUP(B985,Customers!A:J,8,0)</f>
        <v>Male</v>
      </c>
      <c r="R985" t="b">
        <f t="shared" si="30"/>
        <v>1</v>
      </c>
      <c r="S985" s="18">
        <f t="shared" si="31"/>
        <v>44652</v>
      </c>
    </row>
    <row r="986" spans="1:19" x14ac:dyDescent="0.25">
      <c r="A986" s="3" t="s">
        <v>2243</v>
      </c>
      <c r="B986" s="4" t="s">
        <v>408</v>
      </c>
      <c r="C986" s="14">
        <v>44971</v>
      </c>
      <c r="D986" s="4" t="s">
        <v>659</v>
      </c>
      <c r="E986" s="4" t="s">
        <v>762</v>
      </c>
      <c r="F986" s="4">
        <v>49.99</v>
      </c>
      <c r="G986" s="4">
        <v>4</v>
      </c>
      <c r="H986" s="4">
        <v>0</v>
      </c>
      <c r="I986" s="4">
        <v>49.99</v>
      </c>
      <c r="J986" s="4">
        <v>199.96</v>
      </c>
      <c r="K986" s="4" t="s">
        <v>661</v>
      </c>
      <c r="L986" s="4" t="s">
        <v>656</v>
      </c>
      <c r="M986" s="5"/>
      <c r="N986">
        <f>VLOOKUP(B986,Customers!A:J,7,0)</f>
        <v>58</v>
      </c>
      <c r="O986" t="str">
        <f>VLOOKUP(B986,Customers!A:J,5,0)</f>
        <v>Houston</v>
      </c>
      <c r="P986" t="str">
        <f>VLOOKUP(B986,Customers!A:J,10,0)</f>
        <v>Free</v>
      </c>
      <c r="Q986" t="str">
        <f>VLOOKUP(B986,Customers!A:J,8,0)</f>
        <v>Male</v>
      </c>
      <c r="R986" t="b">
        <f t="shared" si="30"/>
        <v>1</v>
      </c>
      <c r="S986" s="18">
        <f t="shared" si="31"/>
        <v>44958</v>
      </c>
    </row>
    <row r="987" spans="1:19" x14ac:dyDescent="0.25">
      <c r="A987" s="6" t="s">
        <v>2244</v>
      </c>
      <c r="B987" s="7" t="s">
        <v>408</v>
      </c>
      <c r="C987" s="15">
        <v>44817</v>
      </c>
      <c r="D987" s="7" t="s">
        <v>653</v>
      </c>
      <c r="E987" s="7" t="s">
        <v>769</v>
      </c>
      <c r="F987" s="7">
        <v>49.99</v>
      </c>
      <c r="G987" s="7">
        <v>4</v>
      </c>
      <c r="H987" s="7">
        <v>20</v>
      </c>
      <c r="I987" s="7">
        <v>39.99</v>
      </c>
      <c r="J987" s="7">
        <v>159.96</v>
      </c>
      <c r="K987" s="7" t="s">
        <v>675</v>
      </c>
      <c r="L987" s="7" t="s">
        <v>656</v>
      </c>
      <c r="M987" s="8">
        <v>3</v>
      </c>
      <c r="N987">
        <f>VLOOKUP(B987,Customers!A:J,7,0)</f>
        <v>58</v>
      </c>
      <c r="O987" t="str">
        <f>VLOOKUP(B987,Customers!A:J,5,0)</f>
        <v>Houston</v>
      </c>
      <c r="P987" t="str">
        <f>VLOOKUP(B987,Customers!A:J,10,0)</f>
        <v>Free</v>
      </c>
      <c r="Q987" t="str">
        <f>VLOOKUP(B987,Customers!A:J,8,0)</f>
        <v>Male</v>
      </c>
      <c r="R987" t="b">
        <f t="shared" si="30"/>
        <v>1</v>
      </c>
      <c r="S987" s="18">
        <f t="shared" si="31"/>
        <v>44805</v>
      </c>
    </row>
    <row r="988" spans="1:19" x14ac:dyDescent="0.25">
      <c r="A988" s="3" t="s">
        <v>2246</v>
      </c>
      <c r="B988" s="4" t="s">
        <v>408</v>
      </c>
      <c r="C988" s="14">
        <v>44899</v>
      </c>
      <c r="D988" s="4" t="s">
        <v>667</v>
      </c>
      <c r="E988" s="4" t="s">
        <v>699</v>
      </c>
      <c r="F988" s="4">
        <v>89.99</v>
      </c>
      <c r="G988" s="4">
        <v>1</v>
      </c>
      <c r="H988" s="4">
        <v>0</v>
      </c>
      <c r="I988" s="4">
        <v>89.99</v>
      </c>
      <c r="J988" s="4">
        <v>89.99</v>
      </c>
      <c r="K988" s="4" t="s">
        <v>669</v>
      </c>
      <c r="L988" s="4" t="s">
        <v>656</v>
      </c>
      <c r="M988" s="5">
        <v>5</v>
      </c>
      <c r="N988">
        <f>VLOOKUP(B988,Customers!A:J,7,0)</f>
        <v>58</v>
      </c>
      <c r="O988" t="str">
        <f>VLOOKUP(B988,Customers!A:J,5,0)</f>
        <v>Houston</v>
      </c>
      <c r="P988" t="str">
        <f>VLOOKUP(B988,Customers!A:J,10,0)</f>
        <v>Free</v>
      </c>
      <c r="Q988" t="str">
        <f>VLOOKUP(B988,Customers!A:J,8,0)</f>
        <v>Male</v>
      </c>
      <c r="R988" t="b">
        <f t="shared" si="30"/>
        <v>1</v>
      </c>
      <c r="S988" s="18">
        <f t="shared" si="31"/>
        <v>44896</v>
      </c>
    </row>
    <row r="989" spans="1:19" x14ac:dyDescent="0.25">
      <c r="A989" s="6" t="s">
        <v>2247</v>
      </c>
      <c r="B989" s="7" t="s">
        <v>411</v>
      </c>
      <c r="C989" s="15">
        <v>44598</v>
      </c>
      <c r="D989" s="7" t="s">
        <v>667</v>
      </c>
      <c r="E989" s="7" t="s">
        <v>699</v>
      </c>
      <c r="F989" s="7">
        <v>89.99</v>
      </c>
      <c r="G989" s="7">
        <v>4</v>
      </c>
      <c r="H989" s="7">
        <v>0</v>
      </c>
      <c r="I989" s="7">
        <v>89.99</v>
      </c>
      <c r="J989" s="7">
        <v>359.96</v>
      </c>
      <c r="K989" s="7" t="s">
        <v>655</v>
      </c>
      <c r="L989" s="7" t="s">
        <v>656</v>
      </c>
      <c r="M989" s="8"/>
      <c r="N989">
        <f>VLOOKUP(B989,Customers!A:J,7,0)</f>
        <v>21</v>
      </c>
      <c r="O989" t="str">
        <f>VLOOKUP(B989,Customers!A:J,5,0)</f>
        <v>San Jose</v>
      </c>
      <c r="P989" t="str">
        <f>VLOOKUP(B989,Customers!A:J,10,0)</f>
        <v>Silver</v>
      </c>
      <c r="Q989" t="str">
        <f>VLOOKUP(B989,Customers!A:J,8,0)</f>
        <v>Female</v>
      </c>
      <c r="R989" t="b">
        <f t="shared" si="30"/>
        <v>1</v>
      </c>
      <c r="S989" s="18">
        <f t="shared" si="31"/>
        <v>44593</v>
      </c>
    </row>
    <row r="990" spans="1:19" x14ac:dyDescent="0.25">
      <c r="A990" s="3" t="s">
        <v>2249</v>
      </c>
      <c r="B990" s="4" t="s">
        <v>411</v>
      </c>
      <c r="C990" s="14">
        <v>44629</v>
      </c>
      <c r="D990" s="4" t="s">
        <v>710</v>
      </c>
      <c r="E990" s="4" t="s">
        <v>744</v>
      </c>
      <c r="F990" s="4">
        <v>29.99</v>
      </c>
      <c r="G990" s="4">
        <v>4</v>
      </c>
      <c r="H990" s="4">
        <v>0</v>
      </c>
      <c r="I990" s="4">
        <v>29.99</v>
      </c>
      <c r="J990" s="4">
        <v>119.96</v>
      </c>
      <c r="K990" s="4" t="s">
        <v>661</v>
      </c>
      <c r="L990" s="4" t="s">
        <v>788</v>
      </c>
      <c r="M990" s="5">
        <v>4</v>
      </c>
      <c r="N990">
        <f>VLOOKUP(B990,Customers!A:J,7,0)</f>
        <v>21</v>
      </c>
      <c r="O990" t="str">
        <f>VLOOKUP(B990,Customers!A:J,5,0)</f>
        <v>San Jose</v>
      </c>
      <c r="P990" t="str">
        <f>VLOOKUP(B990,Customers!A:J,10,0)</f>
        <v>Silver</v>
      </c>
      <c r="Q990" t="str">
        <f>VLOOKUP(B990,Customers!A:J,8,0)</f>
        <v>Female</v>
      </c>
      <c r="R990" t="b">
        <f t="shared" si="30"/>
        <v>1</v>
      </c>
      <c r="S990" s="18">
        <f t="shared" si="31"/>
        <v>44621</v>
      </c>
    </row>
    <row r="991" spans="1:19" x14ac:dyDescent="0.25">
      <c r="A991" s="6" t="s">
        <v>2250</v>
      </c>
      <c r="B991" s="7" t="s">
        <v>411</v>
      </c>
      <c r="C991" s="15">
        <v>45005</v>
      </c>
      <c r="D991" s="7" t="s">
        <v>684</v>
      </c>
      <c r="E991" s="7" t="s">
        <v>685</v>
      </c>
      <c r="F991" s="7">
        <v>49.99</v>
      </c>
      <c r="G991" s="7">
        <v>3</v>
      </c>
      <c r="H991" s="7">
        <v>10</v>
      </c>
      <c r="I991" s="7">
        <v>44.99</v>
      </c>
      <c r="J991" s="7">
        <v>134.97</v>
      </c>
      <c r="K991" s="7" t="s">
        <v>675</v>
      </c>
      <c r="L991" s="7" t="s">
        <v>656</v>
      </c>
      <c r="M991" s="8"/>
      <c r="N991">
        <f>VLOOKUP(B991,Customers!A:J,7,0)</f>
        <v>21</v>
      </c>
      <c r="O991" t="str">
        <f>VLOOKUP(B991,Customers!A:J,5,0)</f>
        <v>San Jose</v>
      </c>
      <c r="P991" t="str">
        <f>VLOOKUP(B991,Customers!A:J,10,0)</f>
        <v>Silver</v>
      </c>
      <c r="Q991" t="str">
        <f>VLOOKUP(B991,Customers!A:J,8,0)</f>
        <v>Female</v>
      </c>
      <c r="R991" t="b">
        <f t="shared" si="30"/>
        <v>1</v>
      </c>
      <c r="S991" s="18">
        <f t="shared" si="31"/>
        <v>44986</v>
      </c>
    </row>
    <row r="992" spans="1:19" x14ac:dyDescent="0.25">
      <c r="A992" s="3" t="s">
        <v>2251</v>
      </c>
      <c r="B992" s="4" t="s">
        <v>411</v>
      </c>
      <c r="C992" s="14">
        <v>45618</v>
      </c>
      <c r="D992" s="4" t="s">
        <v>667</v>
      </c>
      <c r="E992" s="4" t="s">
        <v>699</v>
      </c>
      <c r="F992" s="4">
        <v>89.99</v>
      </c>
      <c r="G992" s="4">
        <v>2</v>
      </c>
      <c r="H992" s="4">
        <v>0</v>
      </c>
      <c r="I992" s="4">
        <v>89.99</v>
      </c>
      <c r="J992" s="4">
        <v>179.98</v>
      </c>
      <c r="K992" s="4" t="s">
        <v>661</v>
      </c>
      <c r="L992" s="4" t="s">
        <v>656</v>
      </c>
      <c r="M992" s="5"/>
      <c r="N992">
        <f>VLOOKUP(B992,Customers!A:J,7,0)</f>
        <v>21</v>
      </c>
      <c r="O992" t="str">
        <f>VLOOKUP(B992,Customers!A:J,5,0)</f>
        <v>San Jose</v>
      </c>
      <c r="P992" t="str">
        <f>VLOOKUP(B992,Customers!A:J,10,0)</f>
        <v>Silver</v>
      </c>
      <c r="Q992" t="str">
        <f>VLOOKUP(B992,Customers!A:J,8,0)</f>
        <v>Female</v>
      </c>
      <c r="R992" t="b">
        <f t="shared" si="30"/>
        <v>1</v>
      </c>
      <c r="S992" s="18">
        <f t="shared" si="31"/>
        <v>45597</v>
      </c>
    </row>
    <row r="993" spans="1:19" x14ac:dyDescent="0.25">
      <c r="A993" s="6" t="s">
        <v>2253</v>
      </c>
      <c r="B993" s="7" t="s">
        <v>411</v>
      </c>
      <c r="C993" s="15">
        <v>45457</v>
      </c>
      <c r="D993" s="7" t="s">
        <v>659</v>
      </c>
      <c r="E993" s="7" t="s">
        <v>664</v>
      </c>
      <c r="F993" s="7">
        <v>24.99</v>
      </c>
      <c r="G993" s="7">
        <v>1</v>
      </c>
      <c r="H993" s="7">
        <v>15</v>
      </c>
      <c r="I993" s="7">
        <v>21.24</v>
      </c>
      <c r="J993" s="7">
        <v>21.24</v>
      </c>
      <c r="K993" s="7" t="s">
        <v>675</v>
      </c>
      <c r="L993" s="7" t="s">
        <v>656</v>
      </c>
      <c r="M993" s="8">
        <v>2</v>
      </c>
      <c r="N993">
        <f>VLOOKUP(B993,Customers!A:J,7,0)</f>
        <v>21</v>
      </c>
      <c r="O993" t="str">
        <f>VLOOKUP(B993,Customers!A:J,5,0)</f>
        <v>San Jose</v>
      </c>
      <c r="P993" t="str">
        <f>VLOOKUP(B993,Customers!A:J,10,0)</f>
        <v>Silver</v>
      </c>
      <c r="Q993" t="str">
        <f>VLOOKUP(B993,Customers!A:J,8,0)</f>
        <v>Female</v>
      </c>
      <c r="R993" t="b">
        <f t="shared" si="30"/>
        <v>1</v>
      </c>
      <c r="S993" s="18">
        <f t="shared" si="31"/>
        <v>45444</v>
      </c>
    </row>
    <row r="994" spans="1:19" x14ac:dyDescent="0.25">
      <c r="A994" s="3" t="s">
        <v>2254</v>
      </c>
      <c r="B994" s="4" t="s">
        <v>411</v>
      </c>
      <c r="C994" s="14">
        <v>45007</v>
      </c>
      <c r="D994" s="4" t="s">
        <v>653</v>
      </c>
      <c r="E994" s="4" t="s">
        <v>769</v>
      </c>
      <c r="F994" s="4">
        <v>49.99</v>
      </c>
      <c r="G994" s="4">
        <v>1</v>
      </c>
      <c r="H994" s="4">
        <v>20</v>
      </c>
      <c r="I994" s="4">
        <v>39.99</v>
      </c>
      <c r="J994" s="4">
        <v>39.99</v>
      </c>
      <c r="K994" s="4" t="s">
        <v>682</v>
      </c>
      <c r="L994" s="4" t="s">
        <v>656</v>
      </c>
      <c r="M994" s="5">
        <v>4</v>
      </c>
      <c r="N994">
        <f>VLOOKUP(B994,Customers!A:J,7,0)</f>
        <v>21</v>
      </c>
      <c r="O994" t="str">
        <f>VLOOKUP(B994,Customers!A:J,5,0)</f>
        <v>San Jose</v>
      </c>
      <c r="P994" t="str">
        <f>VLOOKUP(B994,Customers!A:J,10,0)</f>
        <v>Silver</v>
      </c>
      <c r="Q994" t="str">
        <f>VLOOKUP(B994,Customers!A:J,8,0)</f>
        <v>Female</v>
      </c>
      <c r="R994" t="b">
        <f t="shared" si="30"/>
        <v>1</v>
      </c>
      <c r="S994" s="18">
        <f t="shared" si="31"/>
        <v>44986</v>
      </c>
    </row>
    <row r="995" spans="1:19" x14ac:dyDescent="0.25">
      <c r="A995" s="6" t="s">
        <v>2256</v>
      </c>
      <c r="B995" s="7" t="s">
        <v>411</v>
      </c>
      <c r="C995" s="15">
        <v>45132</v>
      </c>
      <c r="D995" s="7" t="s">
        <v>653</v>
      </c>
      <c r="E995" s="7" t="s">
        <v>769</v>
      </c>
      <c r="F995" s="7">
        <v>49.99</v>
      </c>
      <c r="G995" s="7">
        <v>3</v>
      </c>
      <c r="H995" s="7">
        <v>15</v>
      </c>
      <c r="I995" s="7">
        <v>42.49</v>
      </c>
      <c r="J995" s="7">
        <v>127.47</v>
      </c>
      <c r="K995" s="7" t="s">
        <v>682</v>
      </c>
      <c r="L995" s="7" t="s">
        <v>656</v>
      </c>
      <c r="M995" s="8">
        <v>5</v>
      </c>
      <c r="N995">
        <f>VLOOKUP(B995,Customers!A:J,7,0)</f>
        <v>21</v>
      </c>
      <c r="O995" t="str">
        <f>VLOOKUP(B995,Customers!A:J,5,0)</f>
        <v>San Jose</v>
      </c>
      <c r="P995" t="str">
        <f>VLOOKUP(B995,Customers!A:J,10,0)</f>
        <v>Silver</v>
      </c>
      <c r="Q995" t="str">
        <f>VLOOKUP(B995,Customers!A:J,8,0)</f>
        <v>Female</v>
      </c>
      <c r="R995" t="b">
        <f t="shared" si="30"/>
        <v>1</v>
      </c>
      <c r="S995" s="18">
        <f t="shared" si="31"/>
        <v>45108</v>
      </c>
    </row>
    <row r="996" spans="1:19" x14ac:dyDescent="0.25">
      <c r="A996" s="3" t="s">
        <v>2257</v>
      </c>
      <c r="B996" s="4" t="s">
        <v>411</v>
      </c>
      <c r="C996" s="14">
        <v>45436</v>
      </c>
      <c r="D996" s="4" t="s">
        <v>653</v>
      </c>
      <c r="E996" s="4" t="s">
        <v>654</v>
      </c>
      <c r="F996" s="4">
        <v>39.99</v>
      </c>
      <c r="G996" s="4">
        <v>2</v>
      </c>
      <c r="H996" s="4">
        <v>0</v>
      </c>
      <c r="I996" s="4">
        <v>39.99</v>
      </c>
      <c r="J996" s="4">
        <v>79.98</v>
      </c>
      <c r="K996" s="4" t="s">
        <v>661</v>
      </c>
      <c r="L996" s="4" t="s">
        <v>656</v>
      </c>
      <c r="M996" s="5">
        <v>4</v>
      </c>
      <c r="N996">
        <f>VLOOKUP(B996,Customers!A:J,7,0)</f>
        <v>21</v>
      </c>
      <c r="O996" t="str">
        <f>VLOOKUP(B996,Customers!A:J,5,0)</f>
        <v>San Jose</v>
      </c>
      <c r="P996" t="str">
        <f>VLOOKUP(B996,Customers!A:J,10,0)</f>
        <v>Silver</v>
      </c>
      <c r="Q996" t="str">
        <f>VLOOKUP(B996,Customers!A:J,8,0)</f>
        <v>Female</v>
      </c>
      <c r="R996" t="b">
        <f t="shared" si="30"/>
        <v>1</v>
      </c>
      <c r="S996" s="18">
        <f t="shared" si="31"/>
        <v>45413</v>
      </c>
    </row>
    <row r="997" spans="1:19" x14ac:dyDescent="0.25">
      <c r="A997" s="6" t="s">
        <v>2258</v>
      </c>
      <c r="B997" s="7" t="s">
        <v>411</v>
      </c>
      <c r="C997" s="15">
        <v>45208</v>
      </c>
      <c r="D997" s="7" t="s">
        <v>680</v>
      </c>
      <c r="E997" s="7" t="s">
        <v>688</v>
      </c>
      <c r="F997" s="7">
        <v>29.99</v>
      </c>
      <c r="G997" s="7">
        <v>1</v>
      </c>
      <c r="H997" s="7">
        <v>0</v>
      </c>
      <c r="I997" s="7">
        <v>29.99</v>
      </c>
      <c r="J997" s="7">
        <v>29.99</v>
      </c>
      <c r="K997" s="7" t="s">
        <v>661</v>
      </c>
      <c r="L997" s="7" t="s">
        <v>656</v>
      </c>
      <c r="M997" s="8">
        <v>5</v>
      </c>
      <c r="N997">
        <f>VLOOKUP(B997,Customers!A:J,7,0)</f>
        <v>21</v>
      </c>
      <c r="O997" t="str">
        <f>VLOOKUP(B997,Customers!A:J,5,0)</f>
        <v>San Jose</v>
      </c>
      <c r="P997" t="str">
        <f>VLOOKUP(B997,Customers!A:J,10,0)</f>
        <v>Silver</v>
      </c>
      <c r="Q997" t="str">
        <f>VLOOKUP(B997,Customers!A:J,8,0)</f>
        <v>Female</v>
      </c>
      <c r="R997" t="b">
        <f t="shared" si="30"/>
        <v>1</v>
      </c>
      <c r="S997" s="18">
        <f t="shared" si="31"/>
        <v>45200</v>
      </c>
    </row>
    <row r="998" spans="1:19" x14ac:dyDescent="0.25">
      <c r="A998" s="3" t="s">
        <v>2259</v>
      </c>
      <c r="B998" s="4" t="s">
        <v>414</v>
      </c>
      <c r="C998" s="14">
        <v>45604</v>
      </c>
      <c r="D998" s="4" t="s">
        <v>672</v>
      </c>
      <c r="E998" s="4" t="s">
        <v>803</v>
      </c>
      <c r="F998" s="4">
        <v>69.989999999999995</v>
      </c>
      <c r="G998" s="4">
        <v>2</v>
      </c>
      <c r="H998" s="4">
        <v>10</v>
      </c>
      <c r="I998" s="4">
        <v>62.99</v>
      </c>
      <c r="J998" s="4">
        <v>125.98</v>
      </c>
      <c r="K998" s="4" t="s">
        <v>675</v>
      </c>
      <c r="L998" s="4" t="s">
        <v>656</v>
      </c>
      <c r="M998" s="5">
        <v>5</v>
      </c>
      <c r="N998">
        <f>VLOOKUP(B998,Customers!A:J,7,0)</f>
        <v>59</v>
      </c>
      <c r="O998" t="str">
        <f>VLOOKUP(B998,Customers!A:J,5,0)</f>
        <v>Austin</v>
      </c>
      <c r="P998" t="str">
        <f>VLOOKUP(B998,Customers!A:J,10,0)</f>
        <v>Silver</v>
      </c>
      <c r="Q998" t="str">
        <f>VLOOKUP(B998,Customers!A:J,8,0)</f>
        <v>Male</v>
      </c>
      <c r="R998" t="b">
        <f t="shared" si="30"/>
        <v>1</v>
      </c>
      <c r="S998" s="18">
        <f t="shared" si="31"/>
        <v>45597</v>
      </c>
    </row>
    <row r="999" spans="1:19" x14ac:dyDescent="0.25">
      <c r="A999" s="6" t="s">
        <v>2261</v>
      </c>
      <c r="B999" s="7" t="s">
        <v>414</v>
      </c>
      <c r="C999" s="15">
        <v>45561</v>
      </c>
      <c r="D999" s="7" t="s">
        <v>667</v>
      </c>
      <c r="E999" s="7" t="s">
        <v>696</v>
      </c>
      <c r="F999" s="7">
        <v>59.99</v>
      </c>
      <c r="G999" s="7">
        <v>3</v>
      </c>
      <c r="H999" s="7">
        <v>0</v>
      </c>
      <c r="I999" s="7">
        <v>59.99</v>
      </c>
      <c r="J999" s="7">
        <v>179.97</v>
      </c>
      <c r="K999" s="7" t="s">
        <v>675</v>
      </c>
      <c r="L999" s="7" t="s">
        <v>656</v>
      </c>
      <c r="M999" s="8">
        <v>5</v>
      </c>
      <c r="N999">
        <f>VLOOKUP(B999,Customers!A:J,7,0)</f>
        <v>59</v>
      </c>
      <c r="O999" t="str">
        <f>VLOOKUP(B999,Customers!A:J,5,0)</f>
        <v>Austin</v>
      </c>
      <c r="P999" t="str">
        <f>VLOOKUP(B999,Customers!A:J,10,0)</f>
        <v>Silver</v>
      </c>
      <c r="Q999" t="str">
        <f>VLOOKUP(B999,Customers!A:J,8,0)</f>
        <v>Male</v>
      </c>
      <c r="R999" t="b">
        <f t="shared" si="30"/>
        <v>1</v>
      </c>
      <c r="S999" s="18">
        <f t="shared" si="31"/>
        <v>45536</v>
      </c>
    </row>
    <row r="1000" spans="1:19" x14ac:dyDescent="0.25">
      <c r="A1000" s="3" t="s">
        <v>2263</v>
      </c>
      <c r="B1000" s="4" t="s">
        <v>414</v>
      </c>
      <c r="C1000" s="14">
        <v>45156</v>
      </c>
      <c r="D1000" s="4" t="s">
        <v>710</v>
      </c>
      <c r="E1000" s="4" t="s">
        <v>721</v>
      </c>
      <c r="F1000" s="4">
        <v>24.99</v>
      </c>
      <c r="G1000" s="4">
        <v>2</v>
      </c>
      <c r="H1000" s="4">
        <v>15</v>
      </c>
      <c r="I1000" s="4">
        <v>21.24</v>
      </c>
      <c r="J1000" s="4">
        <v>42.48</v>
      </c>
      <c r="K1000" s="4" t="s">
        <v>661</v>
      </c>
      <c r="L1000" s="4" t="s">
        <v>656</v>
      </c>
      <c r="M1000" s="5">
        <v>3</v>
      </c>
      <c r="N1000">
        <f>VLOOKUP(B1000,Customers!A:J,7,0)</f>
        <v>59</v>
      </c>
      <c r="O1000" t="str">
        <f>VLOOKUP(B1000,Customers!A:J,5,0)</f>
        <v>Austin</v>
      </c>
      <c r="P1000" t="str">
        <f>VLOOKUP(B1000,Customers!A:J,10,0)</f>
        <v>Silver</v>
      </c>
      <c r="Q1000" t="str">
        <f>VLOOKUP(B1000,Customers!A:J,8,0)</f>
        <v>Male</v>
      </c>
      <c r="R1000" t="b">
        <f t="shared" si="30"/>
        <v>1</v>
      </c>
      <c r="S1000" s="18">
        <f t="shared" si="31"/>
        <v>45139</v>
      </c>
    </row>
    <row r="1001" spans="1:19" x14ac:dyDescent="0.25">
      <c r="A1001" s="6" t="s">
        <v>2264</v>
      </c>
      <c r="B1001" s="7" t="s">
        <v>417</v>
      </c>
      <c r="C1001" s="15">
        <v>45448</v>
      </c>
      <c r="D1001" s="7" t="s">
        <v>710</v>
      </c>
      <c r="E1001" s="7" t="s">
        <v>744</v>
      </c>
      <c r="F1001" s="7">
        <v>29.99</v>
      </c>
      <c r="G1001" s="7">
        <v>1</v>
      </c>
      <c r="H1001" s="7">
        <v>15</v>
      </c>
      <c r="I1001" s="7">
        <v>25.49</v>
      </c>
      <c r="J1001" s="7">
        <v>25.49</v>
      </c>
      <c r="K1001" s="7" t="s">
        <v>669</v>
      </c>
      <c r="L1001" s="7" t="s">
        <v>656</v>
      </c>
      <c r="M1001" s="8"/>
      <c r="N1001">
        <f>VLOOKUP(B1001,Customers!A:J,7,0)</f>
        <v>18</v>
      </c>
      <c r="O1001" t="str">
        <f>VLOOKUP(B1001,Customers!A:J,5,0)</f>
        <v>Phoenix</v>
      </c>
      <c r="P1001" t="str">
        <f>VLOOKUP(B1001,Customers!A:J,10,0)</f>
        <v>Gold</v>
      </c>
      <c r="Q1001" t="str">
        <f>VLOOKUP(B1001,Customers!A:J,8,0)</f>
        <v>Female</v>
      </c>
      <c r="R1001" t="b">
        <f t="shared" si="30"/>
        <v>1</v>
      </c>
      <c r="S1001" s="18">
        <f t="shared" si="31"/>
        <v>45444</v>
      </c>
    </row>
    <row r="1002" spans="1:19" x14ac:dyDescent="0.25">
      <c r="A1002" s="3" t="s">
        <v>2266</v>
      </c>
      <c r="B1002" s="4" t="s">
        <v>417</v>
      </c>
      <c r="C1002" s="14">
        <v>44706</v>
      </c>
      <c r="D1002" s="4" t="s">
        <v>710</v>
      </c>
      <c r="E1002" s="4" t="s">
        <v>744</v>
      </c>
      <c r="F1002" s="4">
        <v>29.99</v>
      </c>
      <c r="G1002" s="4">
        <v>3</v>
      </c>
      <c r="H1002" s="4">
        <v>0</v>
      </c>
      <c r="I1002" s="4">
        <v>29.99</v>
      </c>
      <c r="J1002" s="4">
        <v>89.97</v>
      </c>
      <c r="K1002" s="4" t="s">
        <v>661</v>
      </c>
      <c r="L1002" s="4" t="s">
        <v>656</v>
      </c>
      <c r="M1002" s="5">
        <v>4</v>
      </c>
      <c r="N1002">
        <f>VLOOKUP(B1002,Customers!A:J,7,0)</f>
        <v>18</v>
      </c>
      <c r="O1002" t="str">
        <f>VLOOKUP(B1002,Customers!A:J,5,0)</f>
        <v>Phoenix</v>
      </c>
      <c r="P1002" t="str">
        <f>VLOOKUP(B1002,Customers!A:J,10,0)</f>
        <v>Gold</v>
      </c>
      <c r="Q1002" t="str">
        <f>VLOOKUP(B1002,Customers!A:J,8,0)</f>
        <v>Female</v>
      </c>
      <c r="R1002" t="b">
        <f t="shared" si="30"/>
        <v>1</v>
      </c>
      <c r="S1002" s="18">
        <f t="shared" si="31"/>
        <v>44682</v>
      </c>
    </row>
    <row r="1003" spans="1:19" x14ac:dyDescent="0.25">
      <c r="A1003" s="6" t="s">
        <v>2267</v>
      </c>
      <c r="B1003" s="7" t="s">
        <v>417</v>
      </c>
      <c r="C1003" s="15">
        <v>44896</v>
      </c>
      <c r="D1003" s="7" t="s">
        <v>667</v>
      </c>
      <c r="E1003" s="7" t="s">
        <v>714</v>
      </c>
      <c r="F1003" s="7">
        <v>44.99</v>
      </c>
      <c r="G1003" s="7">
        <v>2</v>
      </c>
      <c r="H1003" s="7">
        <v>5</v>
      </c>
      <c r="I1003" s="7">
        <v>42.74</v>
      </c>
      <c r="J1003" s="7">
        <v>85.48</v>
      </c>
      <c r="K1003" s="7" t="s">
        <v>682</v>
      </c>
      <c r="L1003" s="7" t="s">
        <v>788</v>
      </c>
      <c r="M1003" s="8"/>
      <c r="N1003">
        <f>VLOOKUP(B1003,Customers!A:J,7,0)</f>
        <v>18</v>
      </c>
      <c r="O1003" t="str">
        <f>VLOOKUP(B1003,Customers!A:J,5,0)</f>
        <v>Phoenix</v>
      </c>
      <c r="P1003" t="str">
        <f>VLOOKUP(B1003,Customers!A:J,10,0)</f>
        <v>Gold</v>
      </c>
      <c r="Q1003" t="str">
        <f>VLOOKUP(B1003,Customers!A:J,8,0)</f>
        <v>Female</v>
      </c>
      <c r="R1003" t="b">
        <f t="shared" si="30"/>
        <v>1</v>
      </c>
      <c r="S1003" s="18">
        <f t="shared" si="31"/>
        <v>44896</v>
      </c>
    </row>
    <row r="1004" spans="1:19" x14ac:dyDescent="0.25">
      <c r="A1004" s="3" t="s">
        <v>2269</v>
      </c>
      <c r="B1004" s="4" t="s">
        <v>417</v>
      </c>
      <c r="C1004" s="14">
        <v>44905</v>
      </c>
      <c r="D1004" s="4" t="s">
        <v>659</v>
      </c>
      <c r="E1004" s="4" t="s">
        <v>762</v>
      </c>
      <c r="F1004" s="4">
        <v>49.99</v>
      </c>
      <c r="G1004" s="4">
        <v>2</v>
      </c>
      <c r="H1004" s="4">
        <v>15</v>
      </c>
      <c r="I1004" s="4">
        <v>42.49</v>
      </c>
      <c r="J1004" s="4">
        <v>84.98</v>
      </c>
      <c r="K1004" s="4" t="s">
        <v>675</v>
      </c>
      <c r="L1004" s="4" t="s">
        <v>656</v>
      </c>
      <c r="M1004" s="5">
        <v>5</v>
      </c>
      <c r="N1004">
        <f>VLOOKUP(B1004,Customers!A:J,7,0)</f>
        <v>18</v>
      </c>
      <c r="O1004" t="str">
        <f>VLOOKUP(B1004,Customers!A:J,5,0)</f>
        <v>Phoenix</v>
      </c>
      <c r="P1004" t="str">
        <f>VLOOKUP(B1004,Customers!A:J,10,0)</f>
        <v>Gold</v>
      </c>
      <c r="Q1004" t="str">
        <f>VLOOKUP(B1004,Customers!A:J,8,0)</f>
        <v>Female</v>
      </c>
      <c r="R1004" t="b">
        <f t="shared" si="30"/>
        <v>1</v>
      </c>
      <c r="S1004" s="18">
        <f t="shared" si="31"/>
        <v>44896</v>
      </c>
    </row>
    <row r="1005" spans="1:19" x14ac:dyDescent="0.25">
      <c r="A1005" s="6" t="s">
        <v>2270</v>
      </c>
      <c r="B1005" s="7" t="s">
        <v>417</v>
      </c>
      <c r="C1005" s="15">
        <v>45550</v>
      </c>
      <c r="D1005" s="7" t="s">
        <v>680</v>
      </c>
      <c r="E1005" s="7" t="s">
        <v>708</v>
      </c>
      <c r="F1005" s="7">
        <v>24.99</v>
      </c>
      <c r="G1005" s="7">
        <v>2</v>
      </c>
      <c r="H1005" s="7">
        <v>15</v>
      </c>
      <c r="I1005" s="7">
        <v>21.24</v>
      </c>
      <c r="J1005" s="7">
        <v>42.48</v>
      </c>
      <c r="K1005" s="7" t="s">
        <v>669</v>
      </c>
      <c r="L1005" s="7" t="s">
        <v>785</v>
      </c>
      <c r="M1005" s="8">
        <v>5</v>
      </c>
      <c r="N1005">
        <f>VLOOKUP(B1005,Customers!A:J,7,0)</f>
        <v>18</v>
      </c>
      <c r="O1005" t="str">
        <f>VLOOKUP(B1005,Customers!A:J,5,0)</f>
        <v>Phoenix</v>
      </c>
      <c r="P1005" t="str">
        <f>VLOOKUP(B1005,Customers!A:J,10,0)</f>
        <v>Gold</v>
      </c>
      <c r="Q1005" t="str">
        <f>VLOOKUP(B1005,Customers!A:J,8,0)</f>
        <v>Female</v>
      </c>
      <c r="R1005" t="b">
        <f t="shared" si="30"/>
        <v>1</v>
      </c>
      <c r="S1005" s="18">
        <f t="shared" si="31"/>
        <v>45536</v>
      </c>
    </row>
    <row r="1006" spans="1:19" x14ac:dyDescent="0.25">
      <c r="A1006" s="3" t="s">
        <v>2272</v>
      </c>
      <c r="B1006" s="4" t="s">
        <v>417</v>
      </c>
      <c r="C1006" s="14">
        <v>45612</v>
      </c>
      <c r="D1006" s="4" t="s">
        <v>680</v>
      </c>
      <c r="E1006" s="4" t="s">
        <v>681</v>
      </c>
      <c r="F1006" s="4">
        <v>19.989999999999998</v>
      </c>
      <c r="G1006" s="4">
        <v>1</v>
      </c>
      <c r="H1006" s="4">
        <v>5</v>
      </c>
      <c r="I1006" s="4">
        <v>18.989999999999998</v>
      </c>
      <c r="J1006" s="4">
        <v>18.989999999999998</v>
      </c>
      <c r="K1006" s="4" t="s">
        <v>682</v>
      </c>
      <c r="L1006" s="4" t="s">
        <v>656</v>
      </c>
      <c r="M1006" s="5">
        <v>4</v>
      </c>
      <c r="N1006">
        <f>VLOOKUP(B1006,Customers!A:J,7,0)</f>
        <v>18</v>
      </c>
      <c r="O1006" t="str">
        <f>VLOOKUP(B1006,Customers!A:J,5,0)</f>
        <v>Phoenix</v>
      </c>
      <c r="P1006" t="str">
        <f>VLOOKUP(B1006,Customers!A:J,10,0)</f>
        <v>Gold</v>
      </c>
      <c r="Q1006" t="str">
        <f>VLOOKUP(B1006,Customers!A:J,8,0)</f>
        <v>Female</v>
      </c>
      <c r="R1006" t="b">
        <f t="shared" si="30"/>
        <v>1</v>
      </c>
      <c r="S1006" s="18">
        <f t="shared" si="31"/>
        <v>45597</v>
      </c>
    </row>
    <row r="1007" spans="1:19" x14ac:dyDescent="0.25">
      <c r="A1007" s="6" t="s">
        <v>2274</v>
      </c>
      <c r="B1007" s="7" t="s">
        <v>417</v>
      </c>
      <c r="C1007" s="15">
        <v>44761</v>
      </c>
      <c r="D1007" s="7" t="s">
        <v>684</v>
      </c>
      <c r="E1007" s="7" t="s">
        <v>685</v>
      </c>
      <c r="F1007" s="7">
        <v>49.99</v>
      </c>
      <c r="G1007" s="7">
        <v>2</v>
      </c>
      <c r="H1007" s="7">
        <v>0</v>
      </c>
      <c r="I1007" s="7">
        <v>49.99</v>
      </c>
      <c r="J1007" s="7">
        <v>99.98</v>
      </c>
      <c r="K1007" s="7" t="s">
        <v>675</v>
      </c>
      <c r="L1007" s="7" t="s">
        <v>656</v>
      </c>
      <c r="M1007" s="8">
        <v>2</v>
      </c>
      <c r="N1007">
        <f>VLOOKUP(B1007,Customers!A:J,7,0)</f>
        <v>18</v>
      </c>
      <c r="O1007" t="str">
        <f>VLOOKUP(B1007,Customers!A:J,5,0)</f>
        <v>Phoenix</v>
      </c>
      <c r="P1007" t="str">
        <f>VLOOKUP(B1007,Customers!A:J,10,0)</f>
        <v>Gold</v>
      </c>
      <c r="Q1007" t="str">
        <f>VLOOKUP(B1007,Customers!A:J,8,0)</f>
        <v>Female</v>
      </c>
      <c r="R1007" t="b">
        <f t="shared" si="30"/>
        <v>1</v>
      </c>
      <c r="S1007" s="18">
        <f t="shared" si="31"/>
        <v>44743</v>
      </c>
    </row>
    <row r="1008" spans="1:19" x14ac:dyDescent="0.25">
      <c r="A1008" s="3" t="s">
        <v>2276</v>
      </c>
      <c r="B1008" s="4" t="s">
        <v>417</v>
      </c>
      <c r="C1008" s="14">
        <v>45602</v>
      </c>
      <c r="D1008" s="4" t="s">
        <v>659</v>
      </c>
      <c r="E1008" s="4" t="s">
        <v>820</v>
      </c>
      <c r="F1008" s="4">
        <v>39.99</v>
      </c>
      <c r="G1008" s="4">
        <v>4</v>
      </c>
      <c r="H1008" s="4">
        <v>10</v>
      </c>
      <c r="I1008" s="4">
        <v>35.99</v>
      </c>
      <c r="J1008" s="4">
        <v>143.96</v>
      </c>
      <c r="K1008" s="4" t="s">
        <v>661</v>
      </c>
      <c r="L1008" s="4" t="s">
        <v>693</v>
      </c>
      <c r="M1008" s="5">
        <v>4</v>
      </c>
      <c r="N1008">
        <f>VLOOKUP(B1008,Customers!A:J,7,0)</f>
        <v>18</v>
      </c>
      <c r="O1008" t="str">
        <f>VLOOKUP(B1008,Customers!A:J,5,0)</f>
        <v>Phoenix</v>
      </c>
      <c r="P1008" t="str">
        <f>VLOOKUP(B1008,Customers!A:J,10,0)</f>
        <v>Gold</v>
      </c>
      <c r="Q1008" t="str">
        <f>VLOOKUP(B1008,Customers!A:J,8,0)</f>
        <v>Female</v>
      </c>
      <c r="R1008" t="b">
        <f t="shared" si="30"/>
        <v>1</v>
      </c>
      <c r="S1008" s="18">
        <f t="shared" si="31"/>
        <v>45597</v>
      </c>
    </row>
    <row r="1009" spans="1:19" x14ac:dyDescent="0.25">
      <c r="A1009" s="6" t="s">
        <v>2277</v>
      </c>
      <c r="B1009" s="7" t="s">
        <v>417</v>
      </c>
      <c r="C1009" s="15">
        <v>45006</v>
      </c>
      <c r="D1009" s="7" t="s">
        <v>680</v>
      </c>
      <c r="E1009" s="7" t="s">
        <v>749</v>
      </c>
      <c r="F1009" s="7">
        <v>14.99</v>
      </c>
      <c r="G1009" s="7">
        <v>1</v>
      </c>
      <c r="H1009" s="7">
        <v>5</v>
      </c>
      <c r="I1009" s="7">
        <v>14.24</v>
      </c>
      <c r="J1009" s="7">
        <v>14.24</v>
      </c>
      <c r="K1009" s="7" t="s">
        <v>661</v>
      </c>
      <c r="L1009" s="7" t="s">
        <v>656</v>
      </c>
      <c r="M1009" s="8">
        <v>5</v>
      </c>
      <c r="N1009">
        <f>VLOOKUP(B1009,Customers!A:J,7,0)</f>
        <v>18</v>
      </c>
      <c r="O1009" t="str">
        <f>VLOOKUP(B1009,Customers!A:J,5,0)</f>
        <v>Phoenix</v>
      </c>
      <c r="P1009" t="str">
        <f>VLOOKUP(B1009,Customers!A:J,10,0)</f>
        <v>Gold</v>
      </c>
      <c r="Q1009" t="str">
        <f>VLOOKUP(B1009,Customers!A:J,8,0)</f>
        <v>Female</v>
      </c>
      <c r="R1009" t="b">
        <f t="shared" si="30"/>
        <v>1</v>
      </c>
      <c r="S1009" s="18">
        <f t="shared" si="31"/>
        <v>44986</v>
      </c>
    </row>
    <row r="1010" spans="1:19" x14ac:dyDescent="0.25">
      <c r="A1010" s="3" t="s">
        <v>2278</v>
      </c>
      <c r="B1010" s="4" t="s">
        <v>417</v>
      </c>
      <c r="C1010" s="14">
        <v>45305</v>
      </c>
      <c r="D1010" s="4" t="s">
        <v>659</v>
      </c>
      <c r="E1010" s="4" t="s">
        <v>762</v>
      </c>
      <c r="F1010" s="4">
        <v>49.99</v>
      </c>
      <c r="G1010" s="4">
        <v>3</v>
      </c>
      <c r="H1010" s="4">
        <v>5</v>
      </c>
      <c r="I1010" s="4">
        <v>47.49</v>
      </c>
      <c r="J1010" s="4">
        <v>142.47</v>
      </c>
      <c r="K1010" s="4" t="s">
        <v>655</v>
      </c>
      <c r="L1010" s="4" t="s">
        <v>656</v>
      </c>
      <c r="M1010" s="5">
        <v>4</v>
      </c>
      <c r="N1010">
        <f>VLOOKUP(B1010,Customers!A:J,7,0)</f>
        <v>18</v>
      </c>
      <c r="O1010" t="str">
        <f>VLOOKUP(B1010,Customers!A:J,5,0)</f>
        <v>Phoenix</v>
      </c>
      <c r="P1010" t="str">
        <f>VLOOKUP(B1010,Customers!A:J,10,0)</f>
        <v>Gold</v>
      </c>
      <c r="Q1010" t="str">
        <f>VLOOKUP(B1010,Customers!A:J,8,0)</f>
        <v>Female</v>
      </c>
      <c r="R1010" t="b">
        <f t="shared" si="30"/>
        <v>1</v>
      </c>
      <c r="S1010" s="18">
        <f t="shared" si="31"/>
        <v>45292</v>
      </c>
    </row>
    <row r="1011" spans="1:19" x14ac:dyDescent="0.25">
      <c r="A1011" s="6" t="s">
        <v>2279</v>
      </c>
      <c r="B1011" s="7" t="s">
        <v>417</v>
      </c>
      <c r="C1011" s="15">
        <v>44971</v>
      </c>
      <c r="D1011" s="7" t="s">
        <v>659</v>
      </c>
      <c r="E1011" s="7" t="s">
        <v>664</v>
      </c>
      <c r="F1011" s="7">
        <v>24.99</v>
      </c>
      <c r="G1011" s="7">
        <v>2</v>
      </c>
      <c r="H1011" s="7">
        <v>15</v>
      </c>
      <c r="I1011" s="7">
        <v>21.24</v>
      </c>
      <c r="J1011" s="7">
        <v>42.48</v>
      </c>
      <c r="K1011" s="7" t="s">
        <v>669</v>
      </c>
      <c r="L1011" s="7" t="s">
        <v>656</v>
      </c>
      <c r="M1011" s="8"/>
      <c r="N1011">
        <f>VLOOKUP(B1011,Customers!A:J,7,0)</f>
        <v>18</v>
      </c>
      <c r="O1011" t="str">
        <f>VLOOKUP(B1011,Customers!A:J,5,0)</f>
        <v>Phoenix</v>
      </c>
      <c r="P1011" t="str">
        <f>VLOOKUP(B1011,Customers!A:J,10,0)</f>
        <v>Gold</v>
      </c>
      <c r="Q1011" t="str">
        <f>VLOOKUP(B1011,Customers!A:J,8,0)</f>
        <v>Female</v>
      </c>
      <c r="R1011" t="b">
        <f t="shared" si="30"/>
        <v>1</v>
      </c>
      <c r="S1011" s="18">
        <f t="shared" si="31"/>
        <v>44958</v>
      </c>
    </row>
    <row r="1012" spans="1:19" x14ac:dyDescent="0.25">
      <c r="A1012" s="3" t="s">
        <v>2280</v>
      </c>
      <c r="B1012" s="4" t="s">
        <v>417</v>
      </c>
      <c r="C1012" s="14">
        <v>45409</v>
      </c>
      <c r="D1012" s="4" t="s">
        <v>653</v>
      </c>
      <c r="E1012" s="4" t="s">
        <v>769</v>
      </c>
      <c r="F1012" s="4">
        <v>49.99</v>
      </c>
      <c r="G1012" s="4">
        <v>1</v>
      </c>
      <c r="H1012" s="4">
        <v>0</v>
      </c>
      <c r="I1012" s="4">
        <v>49.99</v>
      </c>
      <c r="J1012" s="4">
        <v>49.99</v>
      </c>
      <c r="K1012" s="4" t="s">
        <v>655</v>
      </c>
      <c r="L1012" s="4" t="s">
        <v>656</v>
      </c>
      <c r="M1012" s="5"/>
      <c r="N1012">
        <f>VLOOKUP(B1012,Customers!A:J,7,0)</f>
        <v>18</v>
      </c>
      <c r="O1012" t="str">
        <f>VLOOKUP(B1012,Customers!A:J,5,0)</f>
        <v>Phoenix</v>
      </c>
      <c r="P1012" t="str">
        <f>VLOOKUP(B1012,Customers!A:J,10,0)</f>
        <v>Gold</v>
      </c>
      <c r="Q1012" t="str">
        <f>VLOOKUP(B1012,Customers!A:J,8,0)</f>
        <v>Female</v>
      </c>
      <c r="R1012" t="b">
        <f t="shared" si="30"/>
        <v>1</v>
      </c>
      <c r="S1012" s="18">
        <f t="shared" si="31"/>
        <v>45383</v>
      </c>
    </row>
    <row r="1013" spans="1:19" x14ac:dyDescent="0.25">
      <c r="A1013" s="6" t="s">
        <v>2281</v>
      </c>
      <c r="B1013" s="7" t="s">
        <v>417</v>
      </c>
      <c r="C1013" s="15">
        <v>44688</v>
      </c>
      <c r="D1013" s="7" t="s">
        <v>672</v>
      </c>
      <c r="E1013" s="7" t="s">
        <v>673</v>
      </c>
      <c r="F1013" s="7">
        <v>24.99</v>
      </c>
      <c r="G1013" s="7">
        <v>3</v>
      </c>
      <c r="H1013" s="7">
        <v>15</v>
      </c>
      <c r="I1013" s="7">
        <v>21.24</v>
      </c>
      <c r="J1013" s="7">
        <v>63.72</v>
      </c>
      <c r="K1013" s="7" t="s">
        <v>675</v>
      </c>
      <c r="L1013" s="7" t="s">
        <v>656</v>
      </c>
      <c r="M1013" s="8">
        <v>5</v>
      </c>
      <c r="N1013">
        <f>VLOOKUP(B1013,Customers!A:J,7,0)</f>
        <v>18</v>
      </c>
      <c r="O1013" t="str">
        <f>VLOOKUP(B1013,Customers!A:J,5,0)</f>
        <v>Phoenix</v>
      </c>
      <c r="P1013" t="str">
        <f>VLOOKUP(B1013,Customers!A:J,10,0)</f>
        <v>Gold</v>
      </c>
      <c r="Q1013" t="str">
        <f>VLOOKUP(B1013,Customers!A:J,8,0)</f>
        <v>Female</v>
      </c>
      <c r="R1013" t="b">
        <f t="shared" si="30"/>
        <v>1</v>
      </c>
      <c r="S1013" s="18">
        <f t="shared" si="31"/>
        <v>44682</v>
      </c>
    </row>
    <row r="1014" spans="1:19" x14ac:dyDescent="0.25">
      <c r="A1014" s="3" t="s">
        <v>2283</v>
      </c>
      <c r="B1014" s="4" t="s">
        <v>420</v>
      </c>
      <c r="C1014" s="14">
        <v>44758</v>
      </c>
      <c r="D1014" s="4" t="s">
        <v>653</v>
      </c>
      <c r="E1014" s="4" t="s">
        <v>769</v>
      </c>
      <c r="F1014" s="4">
        <v>49.99</v>
      </c>
      <c r="G1014" s="4">
        <v>4</v>
      </c>
      <c r="H1014" s="4">
        <v>0</v>
      </c>
      <c r="I1014" s="4">
        <v>49.99</v>
      </c>
      <c r="J1014" s="4">
        <v>199.96</v>
      </c>
      <c r="K1014" s="4" t="s">
        <v>655</v>
      </c>
      <c r="L1014" s="4" t="s">
        <v>656</v>
      </c>
      <c r="M1014" s="5"/>
      <c r="N1014">
        <f>VLOOKUP(B1014,Customers!A:J,7,0)</f>
        <v>62</v>
      </c>
      <c r="O1014" t="str">
        <f>VLOOKUP(B1014,Customers!A:J,5,0)</f>
        <v>San Antonio</v>
      </c>
      <c r="P1014" t="str">
        <f>VLOOKUP(B1014,Customers!A:J,10,0)</f>
        <v>Platinum</v>
      </c>
      <c r="Q1014" t="str">
        <f>VLOOKUP(B1014,Customers!A:J,8,0)</f>
        <v>Male</v>
      </c>
      <c r="R1014" t="b">
        <f t="shared" si="30"/>
        <v>1</v>
      </c>
      <c r="S1014" s="18">
        <f t="shared" si="31"/>
        <v>44743</v>
      </c>
    </row>
    <row r="1015" spans="1:19" x14ac:dyDescent="0.25">
      <c r="A1015" s="6" t="s">
        <v>2284</v>
      </c>
      <c r="B1015" s="7" t="s">
        <v>420</v>
      </c>
      <c r="C1015" s="15">
        <v>45133</v>
      </c>
      <c r="D1015" s="7" t="s">
        <v>710</v>
      </c>
      <c r="E1015" s="7" t="s">
        <v>730</v>
      </c>
      <c r="F1015" s="7">
        <v>39.99</v>
      </c>
      <c r="G1015" s="7">
        <v>1</v>
      </c>
      <c r="H1015" s="7">
        <v>5</v>
      </c>
      <c r="I1015" s="7">
        <v>37.99</v>
      </c>
      <c r="J1015" s="7">
        <v>37.99</v>
      </c>
      <c r="K1015" s="7" t="s">
        <v>661</v>
      </c>
      <c r="L1015" s="7" t="s">
        <v>656</v>
      </c>
      <c r="M1015" s="8">
        <v>4</v>
      </c>
      <c r="N1015">
        <f>VLOOKUP(B1015,Customers!A:J,7,0)</f>
        <v>62</v>
      </c>
      <c r="O1015" t="str">
        <f>VLOOKUP(B1015,Customers!A:J,5,0)</f>
        <v>San Antonio</v>
      </c>
      <c r="P1015" t="str">
        <f>VLOOKUP(B1015,Customers!A:J,10,0)</f>
        <v>Platinum</v>
      </c>
      <c r="Q1015" t="str">
        <f>VLOOKUP(B1015,Customers!A:J,8,0)</f>
        <v>Male</v>
      </c>
      <c r="R1015" t="b">
        <f t="shared" si="30"/>
        <v>1</v>
      </c>
      <c r="S1015" s="18">
        <f t="shared" si="31"/>
        <v>45108</v>
      </c>
    </row>
    <row r="1016" spans="1:19" x14ac:dyDescent="0.25">
      <c r="A1016" s="3" t="s">
        <v>2285</v>
      </c>
      <c r="B1016" s="4" t="s">
        <v>420</v>
      </c>
      <c r="C1016" s="14">
        <v>45129</v>
      </c>
      <c r="D1016" s="4" t="s">
        <v>659</v>
      </c>
      <c r="E1016" s="4" t="s">
        <v>660</v>
      </c>
      <c r="F1016" s="4">
        <v>19.989999999999998</v>
      </c>
      <c r="G1016" s="4">
        <v>3</v>
      </c>
      <c r="H1016" s="4">
        <v>5</v>
      </c>
      <c r="I1016" s="4">
        <v>18.989999999999998</v>
      </c>
      <c r="J1016" s="4">
        <v>56.97</v>
      </c>
      <c r="K1016" s="4" t="s">
        <v>661</v>
      </c>
      <c r="L1016" s="4" t="s">
        <v>656</v>
      </c>
      <c r="M1016" s="5">
        <v>4</v>
      </c>
      <c r="N1016">
        <f>VLOOKUP(B1016,Customers!A:J,7,0)</f>
        <v>62</v>
      </c>
      <c r="O1016" t="str">
        <f>VLOOKUP(B1016,Customers!A:J,5,0)</f>
        <v>San Antonio</v>
      </c>
      <c r="P1016" t="str">
        <f>VLOOKUP(B1016,Customers!A:J,10,0)</f>
        <v>Platinum</v>
      </c>
      <c r="Q1016" t="str">
        <f>VLOOKUP(B1016,Customers!A:J,8,0)</f>
        <v>Male</v>
      </c>
      <c r="R1016" t="b">
        <f t="shared" si="30"/>
        <v>1</v>
      </c>
      <c r="S1016" s="18">
        <f t="shared" si="31"/>
        <v>45108</v>
      </c>
    </row>
    <row r="1017" spans="1:19" x14ac:dyDescent="0.25">
      <c r="A1017" s="6" t="s">
        <v>2286</v>
      </c>
      <c r="B1017" s="7" t="s">
        <v>420</v>
      </c>
      <c r="C1017" s="15">
        <v>45073</v>
      </c>
      <c r="D1017" s="7" t="s">
        <v>684</v>
      </c>
      <c r="E1017" s="7" t="s">
        <v>705</v>
      </c>
      <c r="F1017" s="7">
        <v>79.989999999999995</v>
      </c>
      <c r="G1017" s="7">
        <v>1</v>
      </c>
      <c r="H1017" s="7">
        <v>0</v>
      </c>
      <c r="I1017" s="7">
        <v>79.989999999999995</v>
      </c>
      <c r="J1017" s="7">
        <v>79.989999999999995</v>
      </c>
      <c r="K1017" s="7" t="s">
        <v>669</v>
      </c>
      <c r="L1017" s="7" t="s">
        <v>656</v>
      </c>
      <c r="M1017" s="8"/>
      <c r="N1017">
        <f>VLOOKUP(B1017,Customers!A:J,7,0)</f>
        <v>62</v>
      </c>
      <c r="O1017" t="str">
        <f>VLOOKUP(B1017,Customers!A:J,5,0)</f>
        <v>San Antonio</v>
      </c>
      <c r="P1017" t="str">
        <f>VLOOKUP(B1017,Customers!A:J,10,0)</f>
        <v>Platinum</v>
      </c>
      <c r="Q1017" t="str">
        <f>VLOOKUP(B1017,Customers!A:J,8,0)</f>
        <v>Male</v>
      </c>
      <c r="R1017" t="b">
        <f t="shared" si="30"/>
        <v>1</v>
      </c>
      <c r="S1017" s="18">
        <f t="shared" si="31"/>
        <v>45047</v>
      </c>
    </row>
    <row r="1018" spans="1:19" x14ac:dyDescent="0.25">
      <c r="A1018" s="3" t="s">
        <v>2288</v>
      </c>
      <c r="B1018" s="4" t="s">
        <v>420</v>
      </c>
      <c r="C1018" s="14">
        <v>45499</v>
      </c>
      <c r="D1018" s="4" t="s">
        <v>653</v>
      </c>
      <c r="E1018" s="4" t="s">
        <v>654</v>
      </c>
      <c r="F1018" s="4">
        <v>39.99</v>
      </c>
      <c r="G1018" s="4">
        <v>3</v>
      </c>
      <c r="H1018" s="4">
        <v>10</v>
      </c>
      <c r="I1018" s="4">
        <v>35.99</v>
      </c>
      <c r="J1018" s="4">
        <v>107.97</v>
      </c>
      <c r="K1018" s="4" t="s">
        <v>655</v>
      </c>
      <c r="L1018" s="4" t="s">
        <v>656</v>
      </c>
      <c r="M1018" s="5"/>
      <c r="N1018">
        <f>VLOOKUP(B1018,Customers!A:J,7,0)</f>
        <v>62</v>
      </c>
      <c r="O1018" t="str">
        <f>VLOOKUP(B1018,Customers!A:J,5,0)</f>
        <v>San Antonio</v>
      </c>
      <c r="P1018" t="str">
        <f>VLOOKUP(B1018,Customers!A:J,10,0)</f>
        <v>Platinum</v>
      </c>
      <c r="Q1018" t="str">
        <f>VLOOKUP(B1018,Customers!A:J,8,0)</f>
        <v>Male</v>
      </c>
      <c r="R1018" t="b">
        <f t="shared" si="30"/>
        <v>1</v>
      </c>
      <c r="S1018" s="18">
        <f t="shared" si="31"/>
        <v>45474</v>
      </c>
    </row>
    <row r="1019" spans="1:19" x14ac:dyDescent="0.25">
      <c r="A1019" s="6" t="s">
        <v>2290</v>
      </c>
      <c r="B1019" s="7" t="s">
        <v>420</v>
      </c>
      <c r="C1019" s="15">
        <v>44749</v>
      </c>
      <c r="D1019" s="7" t="s">
        <v>684</v>
      </c>
      <c r="E1019" s="7" t="s">
        <v>705</v>
      </c>
      <c r="F1019" s="7">
        <v>79.989999999999995</v>
      </c>
      <c r="G1019" s="7">
        <v>4</v>
      </c>
      <c r="H1019" s="7">
        <v>10</v>
      </c>
      <c r="I1019" s="7">
        <v>71.989999999999995</v>
      </c>
      <c r="J1019" s="7">
        <v>287.95999999999998</v>
      </c>
      <c r="K1019" s="7" t="s">
        <v>661</v>
      </c>
      <c r="L1019" s="7" t="s">
        <v>656</v>
      </c>
      <c r="M1019" s="8">
        <v>5</v>
      </c>
      <c r="N1019">
        <f>VLOOKUP(B1019,Customers!A:J,7,0)</f>
        <v>62</v>
      </c>
      <c r="O1019" t="str">
        <f>VLOOKUP(B1019,Customers!A:J,5,0)</f>
        <v>San Antonio</v>
      </c>
      <c r="P1019" t="str">
        <f>VLOOKUP(B1019,Customers!A:J,10,0)</f>
        <v>Platinum</v>
      </c>
      <c r="Q1019" t="str">
        <f>VLOOKUP(B1019,Customers!A:J,8,0)</f>
        <v>Male</v>
      </c>
      <c r="R1019" t="b">
        <f t="shared" si="30"/>
        <v>1</v>
      </c>
      <c r="S1019" s="18">
        <f t="shared" si="31"/>
        <v>44743</v>
      </c>
    </row>
    <row r="1020" spans="1:19" x14ac:dyDescent="0.25">
      <c r="A1020" s="3" t="s">
        <v>2292</v>
      </c>
      <c r="B1020" s="4" t="s">
        <v>420</v>
      </c>
      <c r="C1020" s="14">
        <v>45161</v>
      </c>
      <c r="D1020" s="4" t="s">
        <v>710</v>
      </c>
      <c r="E1020" s="4" t="s">
        <v>730</v>
      </c>
      <c r="F1020" s="4">
        <v>39.99</v>
      </c>
      <c r="G1020" s="4">
        <v>1</v>
      </c>
      <c r="H1020" s="4">
        <v>0</v>
      </c>
      <c r="I1020" s="4">
        <v>39.99</v>
      </c>
      <c r="J1020" s="4">
        <v>39.99</v>
      </c>
      <c r="K1020" s="4" t="s">
        <v>675</v>
      </c>
      <c r="L1020" s="4" t="s">
        <v>656</v>
      </c>
      <c r="M1020" s="5"/>
      <c r="N1020">
        <f>VLOOKUP(B1020,Customers!A:J,7,0)</f>
        <v>62</v>
      </c>
      <c r="O1020" t="str">
        <f>VLOOKUP(B1020,Customers!A:J,5,0)</f>
        <v>San Antonio</v>
      </c>
      <c r="P1020" t="str">
        <f>VLOOKUP(B1020,Customers!A:J,10,0)</f>
        <v>Platinum</v>
      </c>
      <c r="Q1020" t="str">
        <f>VLOOKUP(B1020,Customers!A:J,8,0)</f>
        <v>Male</v>
      </c>
      <c r="R1020" t="b">
        <f t="shared" si="30"/>
        <v>1</v>
      </c>
      <c r="S1020" s="18">
        <f t="shared" si="31"/>
        <v>45139</v>
      </c>
    </row>
    <row r="1021" spans="1:19" x14ac:dyDescent="0.25">
      <c r="A1021" s="6" t="s">
        <v>2293</v>
      </c>
      <c r="B1021" s="7" t="s">
        <v>420</v>
      </c>
      <c r="C1021" s="15">
        <v>44928</v>
      </c>
      <c r="D1021" s="7" t="s">
        <v>653</v>
      </c>
      <c r="E1021" s="7" t="s">
        <v>727</v>
      </c>
      <c r="F1021" s="7">
        <v>14.99</v>
      </c>
      <c r="G1021" s="7">
        <v>2</v>
      </c>
      <c r="H1021" s="7">
        <v>0</v>
      </c>
      <c r="I1021" s="7">
        <v>14.99</v>
      </c>
      <c r="J1021" s="7">
        <v>29.98</v>
      </c>
      <c r="K1021" s="7" t="s">
        <v>669</v>
      </c>
      <c r="L1021" s="7" t="s">
        <v>656</v>
      </c>
      <c r="M1021" s="8"/>
      <c r="N1021">
        <f>VLOOKUP(B1021,Customers!A:J,7,0)</f>
        <v>62</v>
      </c>
      <c r="O1021" t="str">
        <f>VLOOKUP(B1021,Customers!A:J,5,0)</f>
        <v>San Antonio</v>
      </c>
      <c r="P1021" t="str">
        <f>VLOOKUP(B1021,Customers!A:J,10,0)</f>
        <v>Platinum</v>
      </c>
      <c r="Q1021" t="str">
        <f>VLOOKUP(B1021,Customers!A:J,8,0)</f>
        <v>Male</v>
      </c>
      <c r="R1021" t="b">
        <f t="shared" si="30"/>
        <v>1</v>
      </c>
      <c r="S1021" s="18">
        <f t="shared" si="31"/>
        <v>44927</v>
      </c>
    </row>
    <row r="1022" spans="1:19" x14ac:dyDescent="0.25">
      <c r="A1022" s="3" t="s">
        <v>2294</v>
      </c>
      <c r="B1022" s="4" t="s">
        <v>420</v>
      </c>
      <c r="C1022" s="14">
        <v>45586</v>
      </c>
      <c r="D1022" s="4" t="s">
        <v>680</v>
      </c>
      <c r="E1022" s="4" t="s">
        <v>681</v>
      </c>
      <c r="F1022" s="4">
        <v>19.989999999999998</v>
      </c>
      <c r="G1022" s="4">
        <v>2</v>
      </c>
      <c r="H1022" s="4">
        <v>20</v>
      </c>
      <c r="I1022" s="4">
        <v>15.99</v>
      </c>
      <c r="J1022" s="4">
        <v>31.98</v>
      </c>
      <c r="K1022" s="4" t="s">
        <v>675</v>
      </c>
      <c r="L1022" s="4" t="s">
        <v>656</v>
      </c>
      <c r="M1022" s="5">
        <v>5</v>
      </c>
      <c r="N1022">
        <f>VLOOKUP(B1022,Customers!A:J,7,0)</f>
        <v>62</v>
      </c>
      <c r="O1022" t="str">
        <f>VLOOKUP(B1022,Customers!A:J,5,0)</f>
        <v>San Antonio</v>
      </c>
      <c r="P1022" t="str">
        <f>VLOOKUP(B1022,Customers!A:J,10,0)</f>
        <v>Platinum</v>
      </c>
      <c r="Q1022" t="str">
        <f>VLOOKUP(B1022,Customers!A:J,8,0)</f>
        <v>Male</v>
      </c>
      <c r="R1022" t="b">
        <f t="shared" si="30"/>
        <v>1</v>
      </c>
      <c r="S1022" s="18">
        <f t="shared" si="31"/>
        <v>45566</v>
      </c>
    </row>
    <row r="1023" spans="1:19" x14ac:dyDescent="0.25">
      <c r="A1023" s="6" t="s">
        <v>2295</v>
      </c>
      <c r="B1023" s="7" t="s">
        <v>420</v>
      </c>
      <c r="C1023" s="15">
        <v>44824</v>
      </c>
      <c r="D1023" s="7" t="s">
        <v>659</v>
      </c>
      <c r="E1023" s="7" t="s">
        <v>820</v>
      </c>
      <c r="F1023" s="7">
        <v>39.99</v>
      </c>
      <c r="G1023" s="7">
        <v>4</v>
      </c>
      <c r="H1023" s="7">
        <v>10</v>
      </c>
      <c r="I1023" s="7">
        <v>35.99</v>
      </c>
      <c r="J1023" s="7">
        <v>143.96</v>
      </c>
      <c r="K1023" s="7" t="s">
        <v>669</v>
      </c>
      <c r="L1023" s="7" t="s">
        <v>656</v>
      </c>
      <c r="M1023" s="8"/>
      <c r="N1023">
        <f>VLOOKUP(B1023,Customers!A:J,7,0)</f>
        <v>62</v>
      </c>
      <c r="O1023" t="str">
        <f>VLOOKUP(B1023,Customers!A:J,5,0)</f>
        <v>San Antonio</v>
      </c>
      <c r="P1023" t="str">
        <f>VLOOKUP(B1023,Customers!A:J,10,0)</f>
        <v>Platinum</v>
      </c>
      <c r="Q1023" t="str">
        <f>VLOOKUP(B1023,Customers!A:J,8,0)</f>
        <v>Male</v>
      </c>
      <c r="R1023" t="b">
        <f t="shared" si="30"/>
        <v>1</v>
      </c>
      <c r="S1023" s="18">
        <f t="shared" si="31"/>
        <v>44805</v>
      </c>
    </row>
    <row r="1024" spans="1:19" x14ac:dyDescent="0.25">
      <c r="A1024" s="3" t="s">
        <v>2297</v>
      </c>
      <c r="B1024" s="4" t="s">
        <v>420</v>
      </c>
      <c r="C1024" s="14">
        <v>45067</v>
      </c>
      <c r="D1024" s="4" t="s">
        <v>672</v>
      </c>
      <c r="E1024" s="4" t="s">
        <v>803</v>
      </c>
      <c r="F1024" s="4">
        <v>69.989999999999995</v>
      </c>
      <c r="G1024" s="4">
        <v>1</v>
      </c>
      <c r="H1024" s="4">
        <v>15</v>
      </c>
      <c r="I1024" s="4">
        <v>59.49</v>
      </c>
      <c r="J1024" s="4">
        <v>59.49</v>
      </c>
      <c r="K1024" s="4" t="s">
        <v>682</v>
      </c>
      <c r="L1024" s="4" t="s">
        <v>656</v>
      </c>
      <c r="M1024" s="5"/>
      <c r="N1024">
        <f>VLOOKUP(B1024,Customers!A:J,7,0)</f>
        <v>62</v>
      </c>
      <c r="O1024" t="str">
        <f>VLOOKUP(B1024,Customers!A:J,5,0)</f>
        <v>San Antonio</v>
      </c>
      <c r="P1024" t="str">
        <f>VLOOKUP(B1024,Customers!A:J,10,0)</f>
        <v>Platinum</v>
      </c>
      <c r="Q1024" t="str">
        <f>VLOOKUP(B1024,Customers!A:J,8,0)</f>
        <v>Male</v>
      </c>
      <c r="R1024" t="b">
        <f t="shared" si="30"/>
        <v>1</v>
      </c>
      <c r="S1024" s="18">
        <f t="shared" si="31"/>
        <v>45047</v>
      </c>
    </row>
    <row r="1025" spans="1:19" x14ac:dyDescent="0.25">
      <c r="A1025" s="6" t="s">
        <v>2298</v>
      </c>
      <c r="B1025" s="7" t="s">
        <v>420</v>
      </c>
      <c r="C1025" s="15">
        <v>45365</v>
      </c>
      <c r="D1025" s="7" t="s">
        <v>672</v>
      </c>
      <c r="E1025" s="7" t="s">
        <v>673</v>
      </c>
      <c r="F1025" s="7">
        <v>24.99</v>
      </c>
      <c r="G1025" s="7">
        <v>2</v>
      </c>
      <c r="H1025" s="7">
        <v>20</v>
      </c>
      <c r="I1025" s="7">
        <v>19.989999999999998</v>
      </c>
      <c r="J1025" s="7">
        <v>39.979999999999997</v>
      </c>
      <c r="K1025" s="7" t="s">
        <v>682</v>
      </c>
      <c r="L1025" s="7" t="s">
        <v>656</v>
      </c>
      <c r="M1025" s="8">
        <v>5</v>
      </c>
      <c r="N1025">
        <f>VLOOKUP(B1025,Customers!A:J,7,0)</f>
        <v>62</v>
      </c>
      <c r="O1025" t="str">
        <f>VLOOKUP(B1025,Customers!A:J,5,0)</f>
        <v>San Antonio</v>
      </c>
      <c r="P1025" t="str">
        <f>VLOOKUP(B1025,Customers!A:J,10,0)</f>
        <v>Platinum</v>
      </c>
      <c r="Q1025" t="str">
        <f>VLOOKUP(B1025,Customers!A:J,8,0)</f>
        <v>Male</v>
      </c>
      <c r="R1025" t="b">
        <f t="shared" si="30"/>
        <v>1</v>
      </c>
      <c r="S1025" s="18">
        <f t="shared" si="31"/>
        <v>45352</v>
      </c>
    </row>
    <row r="1026" spans="1:19" x14ac:dyDescent="0.25">
      <c r="A1026" s="3" t="s">
        <v>2300</v>
      </c>
      <c r="B1026" s="4" t="s">
        <v>423</v>
      </c>
      <c r="C1026" s="14">
        <v>44605</v>
      </c>
      <c r="D1026" s="4" t="s">
        <v>684</v>
      </c>
      <c r="E1026" s="4" t="s">
        <v>685</v>
      </c>
      <c r="F1026" s="4">
        <v>49.99</v>
      </c>
      <c r="G1026" s="4">
        <v>4</v>
      </c>
      <c r="H1026" s="4">
        <v>0</v>
      </c>
      <c r="I1026" s="4">
        <v>49.99</v>
      </c>
      <c r="J1026" s="4">
        <v>199.96</v>
      </c>
      <c r="K1026" s="4" t="s">
        <v>675</v>
      </c>
      <c r="L1026" s="4" t="s">
        <v>656</v>
      </c>
      <c r="M1026" s="5"/>
      <c r="N1026">
        <f>VLOOKUP(B1026,Customers!A:J,7,0)</f>
        <v>47</v>
      </c>
      <c r="O1026" t="str">
        <f>VLOOKUP(B1026,Customers!A:J,5,0)</f>
        <v>Dallas</v>
      </c>
      <c r="P1026" t="str">
        <f>VLOOKUP(B1026,Customers!A:J,10,0)</f>
        <v>Gold</v>
      </c>
      <c r="Q1026" t="str">
        <f>VLOOKUP(B1026,Customers!A:J,8,0)</f>
        <v>Male</v>
      </c>
      <c r="R1026" t="b">
        <f t="shared" si="30"/>
        <v>1</v>
      </c>
      <c r="S1026" s="18">
        <f t="shared" si="31"/>
        <v>44593</v>
      </c>
    </row>
    <row r="1027" spans="1:19" x14ac:dyDescent="0.25">
      <c r="A1027" s="6" t="s">
        <v>2301</v>
      </c>
      <c r="B1027" s="7" t="s">
        <v>423</v>
      </c>
      <c r="C1027" s="15">
        <v>44605</v>
      </c>
      <c r="D1027" s="7" t="s">
        <v>710</v>
      </c>
      <c r="E1027" s="7" t="s">
        <v>730</v>
      </c>
      <c r="F1027" s="7">
        <v>39.99</v>
      </c>
      <c r="G1027" s="7">
        <v>2</v>
      </c>
      <c r="H1027" s="7">
        <v>5</v>
      </c>
      <c r="I1027" s="7">
        <v>37.99</v>
      </c>
      <c r="J1027" s="7">
        <v>75.98</v>
      </c>
      <c r="K1027" s="7" t="s">
        <v>682</v>
      </c>
      <c r="L1027" s="7" t="s">
        <v>656</v>
      </c>
      <c r="M1027" s="8">
        <v>5</v>
      </c>
      <c r="N1027">
        <f>VLOOKUP(B1027,Customers!A:J,7,0)</f>
        <v>47</v>
      </c>
      <c r="O1027" t="str">
        <f>VLOOKUP(B1027,Customers!A:J,5,0)</f>
        <v>Dallas</v>
      </c>
      <c r="P1027" t="str">
        <f>VLOOKUP(B1027,Customers!A:J,10,0)</f>
        <v>Gold</v>
      </c>
      <c r="Q1027" t="str">
        <f>VLOOKUP(B1027,Customers!A:J,8,0)</f>
        <v>Male</v>
      </c>
      <c r="R1027" t="b">
        <f t="shared" ref="R1027:R1090" si="32">ISNUMBER(C1027)</f>
        <v>1</v>
      </c>
      <c r="S1027" s="18">
        <f t="shared" ref="S1027:S1090" si="33">DATE(YEAR(C1027),MONTH(C1027),1)</f>
        <v>44593</v>
      </c>
    </row>
    <row r="1028" spans="1:19" x14ac:dyDescent="0.25">
      <c r="A1028" s="3" t="s">
        <v>2302</v>
      </c>
      <c r="B1028" s="4" t="s">
        <v>423</v>
      </c>
      <c r="C1028" s="14">
        <v>44693</v>
      </c>
      <c r="D1028" s="4" t="s">
        <v>659</v>
      </c>
      <c r="E1028" s="4" t="s">
        <v>660</v>
      </c>
      <c r="F1028" s="4">
        <v>19.989999999999998</v>
      </c>
      <c r="G1028" s="4">
        <v>2</v>
      </c>
      <c r="H1028" s="4">
        <v>20</v>
      </c>
      <c r="I1028" s="4">
        <v>15.99</v>
      </c>
      <c r="J1028" s="4">
        <v>31.98</v>
      </c>
      <c r="K1028" s="4" t="s">
        <v>655</v>
      </c>
      <c r="L1028" s="4" t="s">
        <v>656</v>
      </c>
      <c r="M1028" s="5">
        <v>5</v>
      </c>
      <c r="N1028">
        <f>VLOOKUP(B1028,Customers!A:J,7,0)</f>
        <v>47</v>
      </c>
      <c r="O1028" t="str">
        <f>VLOOKUP(B1028,Customers!A:J,5,0)</f>
        <v>Dallas</v>
      </c>
      <c r="P1028" t="str">
        <f>VLOOKUP(B1028,Customers!A:J,10,0)</f>
        <v>Gold</v>
      </c>
      <c r="Q1028" t="str">
        <f>VLOOKUP(B1028,Customers!A:J,8,0)</f>
        <v>Male</v>
      </c>
      <c r="R1028" t="b">
        <f t="shared" si="32"/>
        <v>1</v>
      </c>
      <c r="S1028" s="18">
        <f t="shared" si="33"/>
        <v>44682</v>
      </c>
    </row>
    <row r="1029" spans="1:19" x14ac:dyDescent="0.25">
      <c r="A1029" s="6" t="s">
        <v>2303</v>
      </c>
      <c r="B1029" s="7" t="s">
        <v>423</v>
      </c>
      <c r="C1029" s="15">
        <v>44793</v>
      </c>
      <c r="D1029" s="7" t="s">
        <v>710</v>
      </c>
      <c r="E1029" s="7" t="s">
        <v>730</v>
      </c>
      <c r="F1029" s="7">
        <v>39.99</v>
      </c>
      <c r="G1029" s="7">
        <v>3</v>
      </c>
      <c r="H1029" s="7">
        <v>5</v>
      </c>
      <c r="I1029" s="7">
        <v>37.99</v>
      </c>
      <c r="J1029" s="7">
        <v>113.97</v>
      </c>
      <c r="K1029" s="7" t="s">
        <v>655</v>
      </c>
      <c r="L1029" s="7" t="s">
        <v>739</v>
      </c>
      <c r="M1029" s="8">
        <v>4</v>
      </c>
      <c r="N1029">
        <f>VLOOKUP(B1029,Customers!A:J,7,0)</f>
        <v>47</v>
      </c>
      <c r="O1029" t="str">
        <f>VLOOKUP(B1029,Customers!A:J,5,0)</f>
        <v>Dallas</v>
      </c>
      <c r="P1029" t="str">
        <f>VLOOKUP(B1029,Customers!A:J,10,0)</f>
        <v>Gold</v>
      </c>
      <c r="Q1029" t="str">
        <f>VLOOKUP(B1029,Customers!A:J,8,0)</f>
        <v>Male</v>
      </c>
      <c r="R1029" t="b">
        <f t="shared" si="32"/>
        <v>1</v>
      </c>
      <c r="S1029" s="18">
        <f t="shared" si="33"/>
        <v>44774</v>
      </c>
    </row>
    <row r="1030" spans="1:19" x14ac:dyDescent="0.25">
      <c r="A1030" s="3" t="s">
        <v>2304</v>
      </c>
      <c r="B1030" s="4" t="s">
        <v>423</v>
      </c>
      <c r="C1030" s="14">
        <v>44723</v>
      </c>
      <c r="D1030" s="4" t="s">
        <v>653</v>
      </c>
      <c r="E1030" s="4" t="s">
        <v>769</v>
      </c>
      <c r="F1030" s="4">
        <v>49.99</v>
      </c>
      <c r="G1030" s="4">
        <v>2</v>
      </c>
      <c r="H1030" s="4">
        <v>20</v>
      </c>
      <c r="I1030" s="4">
        <v>39.99</v>
      </c>
      <c r="J1030" s="4">
        <v>79.98</v>
      </c>
      <c r="K1030" s="4" t="s">
        <v>669</v>
      </c>
      <c r="L1030" s="4" t="s">
        <v>656</v>
      </c>
      <c r="M1030" s="5">
        <v>5</v>
      </c>
      <c r="N1030">
        <f>VLOOKUP(B1030,Customers!A:J,7,0)</f>
        <v>47</v>
      </c>
      <c r="O1030" t="str">
        <f>VLOOKUP(B1030,Customers!A:J,5,0)</f>
        <v>Dallas</v>
      </c>
      <c r="P1030" t="str">
        <f>VLOOKUP(B1030,Customers!A:J,10,0)</f>
        <v>Gold</v>
      </c>
      <c r="Q1030" t="str">
        <f>VLOOKUP(B1030,Customers!A:J,8,0)</f>
        <v>Male</v>
      </c>
      <c r="R1030" t="b">
        <f t="shared" si="32"/>
        <v>1</v>
      </c>
      <c r="S1030" s="18">
        <f t="shared" si="33"/>
        <v>44713</v>
      </c>
    </row>
    <row r="1031" spans="1:19" x14ac:dyDescent="0.25">
      <c r="A1031" s="6" t="s">
        <v>2305</v>
      </c>
      <c r="B1031" s="7" t="s">
        <v>423</v>
      </c>
      <c r="C1031" s="15">
        <v>45515</v>
      </c>
      <c r="D1031" s="7" t="s">
        <v>667</v>
      </c>
      <c r="E1031" s="7" t="s">
        <v>696</v>
      </c>
      <c r="F1031" s="7">
        <v>59.99</v>
      </c>
      <c r="G1031" s="7">
        <v>4</v>
      </c>
      <c r="H1031" s="7">
        <v>0</v>
      </c>
      <c r="I1031" s="7">
        <v>59.99</v>
      </c>
      <c r="J1031" s="7">
        <v>239.96</v>
      </c>
      <c r="K1031" s="7" t="s">
        <v>655</v>
      </c>
      <c r="L1031" s="7" t="s">
        <v>739</v>
      </c>
      <c r="M1031" s="8">
        <v>3</v>
      </c>
      <c r="N1031">
        <f>VLOOKUP(B1031,Customers!A:J,7,0)</f>
        <v>47</v>
      </c>
      <c r="O1031" t="str">
        <f>VLOOKUP(B1031,Customers!A:J,5,0)</f>
        <v>Dallas</v>
      </c>
      <c r="P1031" t="str">
        <f>VLOOKUP(B1031,Customers!A:J,10,0)</f>
        <v>Gold</v>
      </c>
      <c r="Q1031" t="str">
        <f>VLOOKUP(B1031,Customers!A:J,8,0)</f>
        <v>Male</v>
      </c>
      <c r="R1031" t="b">
        <f t="shared" si="32"/>
        <v>1</v>
      </c>
      <c r="S1031" s="18">
        <f t="shared" si="33"/>
        <v>45505</v>
      </c>
    </row>
    <row r="1032" spans="1:19" x14ac:dyDescent="0.25">
      <c r="A1032" s="3" t="s">
        <v>2307</v>
      </c>
      <c r="B1032" s="4" t="s">
        <v>423</v>
      </c>
      <c r="C1032" s="14">
        <v>45505</v>
      </c>
      <c r="D1032" s="4" t="s">
        <v>653</v>
      </c>
      <c r="E1032" s="4" t="s">
        <v>654</v>
      </c>
      <c r="F1032" s="4">
        <v>39.99</v>
      </c>
      <c r="G1032" s="4">
        <v>2</v>
      </c>
      <c r="H1032" s="4">
        <v>0</v>
      </c>
      <c r="I1032" s="4">
        <v>39.99</v>
      </c>
      <c r="J1032" s="4">
        <v>79.98</v>
      </c>
      <c r="K1032" s="4" t="s">
        <v>661</v>
      </c>
      <c r="L1032" s="4" t="s">
        <v>656</v>
      </c>
      <c r="M1032" s="5">
        <v>4</v>
      </c>
      <c r="N1032">
        <f>VLOOKUP(B1032,Customers!A:J,7,0)</f>
        <v>47</v>
      </c>
      <c r="O1032" t="str">
        <f>VLOOKUP(B1032,Customers!A:J,5,0)</f>
        <v>Dallas</v>
      </c>
      <c r="P1032" t="str">
        <f>VLOOKUP(B1032,Customers!A:J,10,0)</f>
        <v>Gold</v>
      </c>
      <c r="Q1032" t="str">
        <f>VLOOKUP(B1032,Customers!A:J,8,0)</f>
        <v>Male</v>
      </c>
      <c r="R1032" t="b">
        <f t="shared" si="32"/>
        <v>1</v>
      </c>
      <c r="S1032" s="18">
        <f t="shared" si="33"/>
        <v>45505</v>
      </c>
    </row>
    <row r="1033" spans="1:19" x14ac:dyDescent="0.25">
      <c r="A1033" s="6" t="s">
        <v>2309</v>
      </c>
      <c r="B1033" s="7" t="s">
        <v>423</v>
      </c>
      <c r="C1033" s="15">
        <v>45018</v>
      </c>
      <c r="D1033" s="7" t="s">
        <v>672</v>
      </c>
      <c r="E1033" s="7" t="s">
        <v>724</v>
      </c>
      <c r="F1033" s="7">
        <v>89.99</v>
      </c>
      <c r="G1033" s="7">
        <v>1</v>
      </c>
      <c r="H1033" s="7">
        <v>0</v>
      </c>
      <c r="I1033" s="7">
        <v>89.99</v>
      </c>
      <c r="J1033" s="7">
        <v>89.99</v>
      </c>
      <c r="K1033" s="7" t="s">
        <v>682</v>
      </c>
      <c r="L1033" s="7" t="s">
        <v>656</v>
      </c>
      <c r="M1033" s="8">
        <v>5</v>
      </c>
      <c r="N1033">
        <f>VLOOKUP(B1033,Customers!A:J,7,0)</f>
        <v>47</v>
      </c>
      <c r="O1033" t="str">
        <f>VLOOKUP(B1033,Customers!A:J,5,0)</f>
        <v>Dallas</v>
      </c>
      <c r="P1033" t="str">
        <f>VLOOKUP(B1033,Customers!A:J,10,0)</f>
        <v>Gold</v>
      </c>
      <c r="Q1033" t="str">
        <f>VLOOKUP(B1033,Customers!A:J,8,0)</f>
        <v>Male</v>
      </c>
      <c r="R1033" t="b">
        <f t="shared" si="32"/>
        <v>1</v>
      </c>
      <c r="S1033" s="18">
        <f t="shared" si="33"/>
        <v>45017</v>
      </c>
    </row>
    <row r="1034" spans="1:19" x14ac:dyDescent="0.25">
      <c r="A1034" s="3" t="s">
        <v>2310</v>
      </c>
      <c r="B1034" s="4" t="s">
        <v>426</v>
      </c>
      <c r="C1034" s="14">
        <v>45341</v>
      </c>
      <c r="D1034" s="4" t="s">
        <v>672</v>
      </c>
      <c r="E1034" s="4" t="s">
        <v>673</v>
      </c>
      <c r="F1034" s="4">
        <v>24.99</v>
      </c>
      <c r="G1034" s="4">
        <v>4</v>
      </c>
      <c r="H1034" s="4">
        <v>10</v>
      </c>
      <c r="I1034" s="4">
        <v>22.49</v>
      </c>
      <c r="J1034" s="4">
        <v>89.96</v>
      </c>
      <c r="K1034" s="4" t="s">
        <v>682</v>
      </c>
      <c r="L1034" s="4" t="s">
        <v>656</v>
      </c>
      <c r="M1034" s="5">
        <v>4</v>
      </c>
      <c r="N1034">
        <f>VLOOKUP(B1034,Customers!A:J,7,0)</f>
        <v>31</v>
      </c>
      <c r="O1034" t="str">
        <f>VLOOKUP(B1034,Customers!A:J,5,0)</f>
        <v>Chicago</v>
      </c>
      <c r="P1034" t="str">
        <f>VLOOKUP(B1034,Customers!A:J,10,0)</f>
        <v>Free</v>
      </c>
      <c r="Q1034" t="str">
        <f>VLOOKUP(B1034,Customers!A:J,8,0)</f>
        <v>Female</v>
      </c>
      <c r="R1034" t="b">
        <f t="shared" si="32"/>
        <v>1</v>
      </c>
      <c r="S1034" s="18">
        <f t="shared" si="33"/>
        <v>45323</v>
      </c>
    </row>
    <row r="1035" spans="1:19" x14ac:dyDescent="0.25">
      <c r="A1035" s="6" t="s">
        <v>2311</v>
      </c>
      <c r="B1035" s="7" t="s">
        <v>429</v>
      </c>
      <c r="C1035" s="15">
        <v>45517</v>
      </c>
      <c r="D1035" s="7" t="s">
        <v>680</v>
      </c>
      <c r="E1035" s="7" t="s">
        <v>749</v>
      </c>
      <c r="F1035" s="7">
        <v>14.99</v>
      </c>
      <c r="G1035" s="7">
        <v>4</v>
      </c>
      <c r="H1035" s="7">
        <v>10</v>
      </c>
      <c r="I1035" s="7">
        <v>13.49</v>
      </c>
      <c r="J1035" s="7">
        <v>53.96</v>
      </c>
      <c r="K1035" s="7" t="s">
        <v>655</v>
      </c>
      <c r="L1035" s="7" t="s">
        <v>656</v>
      </c>
      <c r="M1035" s="8">
        <v>5</v>
      </c>
      <c r="N1035">
        <f>VLOOKUP(B1035,Customers!A:J,7,0)</f>
        <v>46</v>
      </c>
      <c r="O1035" t="str">
        <f>VLOOKUP(B1035,Customers!A:J,5,0)</f>
        <v>Phoenix</v>
      </c>
      <c r="P1035" t="str">
        <f>VLOOKUP(B1035,Customers!A:J,10,0)</f>
        <v>Free</v>
      </c>
      <c r="Q1035" t="str">
        <f>VLOOKUP(B1035,Customers!A:J,8,0)</f>
        <v>Male</v>
      </c>
      <c r="R1035" t="b">
        <f t="shared" si="32"/>
        <v>1</v>
      </c>
      <c r="S1035" s="18">
        <f t="shared" si="33"/>
        <v>45505</v>
      </c>
    </row>
    <row r="1036" spans="1:19" x14ac:dyDescent="0.25">
      <c r="A1036" s="3" t="s">
        <v>2312</v>
      </c>
      <c r="B1036" s="4" t="s">
        <v>429</v>
      </c>
      <c r="C1036" s="14">
        <v>45448</v>
      </c>
      <c r="D1036" s="4" t="s">
        <v>710</v>
      </c>
      <c r="E1036" s="4" t="s">
        <v>730</v>
      </c>
      <c r="F1036" s="4">
        <v>39.99</v>
      </c>
      <c r="G1036" s="4">
        <v>3</v>
      </c>
      <c r="H1036" s="4">
        <v>15</v>
      </c>
      <c r="I1036" s="4">
        <v>33.99</v>
      </c>
      <c r="J1036" s="4">
        <v>101.97</v>
      </c>
      <c r="K1036" s="4" t="s">
        <v>669</v>
      </c>
      <c r="L1036" s="4" t="s">
        <v>656</v>
      </c>
      <c r="M1036" s="5">
        <v>4</v>
      </c>
      <c r="N1036">
        <f>VLOOKUP(B1036,Customers!A:J,7,0)</f>
        <v>46</v>
      </c>
      <c r="O1036" t="str">
        <f>VLOOKUP(B1036,Customers!A:J,5,0)</f>
        <v>Phoenix</v>
      </c>
      <c r="P1036" t="str">
        <f>VLOOKUP(B1036,Customers!A:J,10,0)</f>
        <v>Free</v>
      </c>
      <c r="Q1036" t="str">
        <f>VLOOKUP(B1036,Customers!A:J,8,0)</f>
        <v>Male</v>
      </c>
      <c r="R1036" t="b">
        <f t="shared" si="32"/>
        <v>1</v>
      </c>
      <c r="S1036" s="18">
        <f t="shared" si="33"/>
        <v>45444</v>
      </c>
    </row>
    <row r="1037" spans="1:19" x14ac:dyDescent="0.25">
      <c r="A1037" s="6" t="s">
        <v>2313</v>
      </c>
      <c r="B1037" s="7" t="s">
        <v>432</v>
      </c>
      <c r="C1037" s="15">
        <v>45030</v>
      </c>
      <c r="D1037" s="7" t="s">
        <v>659</v>
      </c>
      <c r="E1037" s="7" t="s">
        <v>664</v>
      </c>
      <c r="F1037" s="7">
        <v>24.99</v>
      </c>
      <c r="G1037" s="7">
        <v>3</v>
      </c>
      <c r="H1037" s="7">
        <v>5</v>
      </c>
      <c r="I1037" s="7">
        <v>23.74</v>
      </c>
      <c r="J1037" s="7">
        <v>71.22</v>
      </c>
      <c r="K1037" s="7" t="s">
        <v>661</v>
      </c>
      <c r="L1037" s="7" t="s">
        <v>788</v>
      </c>
      <c r="M1037" s="8">
        <v>5</v>
      </c>
      <c r="N1037">
        <f>VLOOKUP(B1037,Customers!A:J,7,0)</f>
        <v>59</v>
      </c>
      <c r="O1037" t="str">
        <f>VLOOKUP(B1037,Customers!A:J,5,0)</f>
        <v>San Jose</v>
      </c>
      <c r="P1037" t="str">
        <f>VLOOKUP(B1037,Customers!A:J,10,0)</f>
        <v>Silver</v>
      </c>
      <c r="Q1037" t="str">
        <f>VLOOKUP(B1037,Customers!A:J,8,0)</f>
        <v>Male</v>
      </c>
      <c r="R1037" t="b">
        <f t="shared" si="32"/>
        <v>1</v>
      </c>
      <c r="S1037" s="18">
        <f t="shared" si="33"/>
        <v>45017</v>
      </c>
    </row>
    <row r="1038" spans="1:19" x14ac:dyDescent="0.25">
      <c r="A1038" s="3" t="s">
        <v>2314</v>
      </c>
      <c r="B1038" s="4" t="s">
        <v>435</v>
      </c>
      <c r="C1038" s="14">
        <v>45067</v>
      </c>
      <c r="D1038" s="4" t="s">
        <v>672</v>
      </c>
      <c r="E1038" s="4" t="s">
        <v>735</v>
      </c>
      <c r="F1038" s="4">
        <v>44.99</v>
      </c>
      <c r="G1038" s="4">
        <v>2</v>
      </c>
      <c r="H1038" s="4">
        <v>10</v>
      </c>
      <c r="I1038" s="4">
        <v>40.49</v>
      </c>
      <c r="J1038" s="4">
        <v>80.98</v>
      </c>
      <c r="K1038" s="4" t="s">
        <v>669</v>
      </c>
      <c r="L1038" s="4" t="s">
        <v>656</v>
      </c>
      <c r="M1038" s="5">
        <v>1</v>
      </c>
      <c r="N1038">
        <f>VLOOKUP(B1038,Customers!A:J,7,0)</f>
        <v>29</v>
      </c>
      <c r="O1038" t="str">
        <f>VLOOKUP(B1038,Customers!A:J,5,0)</f>
        <v>San Jose</v>
      </c>
      <c r="P1038" t="str">
        <f>VLOOKUP(B1038,Customers!A:J,10,0)</f>
        <v>Platinum</v>
      </c>
      <c r="Q1038" t="str">
        <f>VLOOKUP(B1038,Customers!A:J,8,0)</f>
        <v>Female</v>
      </c>
      <c r="R1038" t="b">
        <f t="shared" si="32"/>
        <v>1</v>
      </c>
      <c r="S1038" s="18">
        <f t="shared" si="33"/>
        <v>45047</v>
      </c>
    </row>
    <row r="1039" spans="1:19" x14ac:dyDescent="0.25">
      <c r="A1039" s="6" t="s">
        <v>2315</v>
      </c>
      <c r="B1039" s="7" t="s">
        <v>435</v>
      </c>
      <c r="C1039" s="15">
        <v>45414</v>
      </c>
      <c r="D1039" s="7" t="s">
        <v>659</v>
      </c>
      <c r="E1039" s="7" t="s">
        <v>762</v>
      </c>
      <c r="F1039" s="7">
        <v>49.99</v>
      </c>
      <c r="G1039" s="7">
        <v>4</v>
      </c>
      <c r="H1039" s="7">
        <v>0</v>
      </c>
      <c r="I1039" s="7">
        <v>49.99</v>
      </c>
      <c r="J1039" s="7">
        <v>199.96</v>
      </c>
      <c r="K1039" s="7" t="s">
        <v>675</v>
      </c>
      <c r="L1039" s="7" t="s">
        <v>656</v>
      </c>
      <c r="M1039" s="8">
        <v>5</v>
      </c>
      <c r="N1039">
        <f>VLOOKUP(B1039,Customers!A:J,7,0)</f>
        <v>29</v>
      </c>
      <c r="O1039" t="str">
        <f>VLOOKUP(B1039,Customers!A:J,5,0)</f>
        <v>San Jose</v>
      </c>
      <c r="P1039" t="str">
        <f>VLOOKUP(B1039,Customers!A:J,10,0)</f>
        <v>Platinum</v>
      </c>
      <c r="Q1039" t="str">
        <f>VLOOKUP(B1039,Customers!A:J,8,0)</f>
        <v>Female</v>
      </c>
      <c r="R1039" t="b">
        <f t="shared" si="32"/>
        <v>1</v>
      </c>
      <c r="S1039" s="18">
        <f t="shared" si="33"/>
        <v>45413</v>
      </c>
    </row>
    <row r="1040" spans="1:19" x14ac:dyDescent="0.25">
      <c r="A1040" s="3" t="s">
        <v>2316</v>
      </c>
      <c r="B1040" s="4" t="s">
        <v>435</v>
      </c>
      <c r="C1040" s="14">
        <v>44848</v>
      </c>
      <c r="D1040" s="4" t="s">
        <v>672</v>
      </c>
      <c r="E1040" s="4" t="s">
        <v>673</v>
      </c>
      <c r="F1040" s="4">
        <v>24.99</v>
      </c>
      <c r="G1040" s="4">
        <v>3</v>
      </c>
      <c r="H1040" s="4">
        <v>0</v>
      </c>
      <c r="I1040" s="4">
        <v>24.99</v>
      </c>
      <c r="J1040" s="4">
        <v>74.97</v>
      </c>
      <c r="K1040" s="4" t="s">
        <v>655</v>
      </c>
      <c r="L1040" s="4" t="s">
        <v>739</v>
      </c>
      <c r="M1040" s="5"/>
      <c r="N1040">
        <f>VLOOKUP(B1040,Customers!A:J,7,0)</f>
        <v>29</v>
      </c>
      <c r="O1040" t="str">
        <f>VLOOKUP(B1040,Customers!A:J,5,0)</f>
        <v>San Jose</v>
      </c>
      <c r="P1040" t="str">
        <f>VLOOKUP(B1040,Customers!A:J,10,0)</f>
        <v>Platinum</v>
      </c>
      <c r="Q1040" t="str">
        <f>VLOOKUP(B1040,Customers!A:J,8,0)</f>
        <v>Female</v>
      </c>
      <c r="R1040" t="b">
        <f t="shared" si="32"/>
        <v>1</v>
      </c>
      <c r="S1040" s="18">
        <f t="shared" si="33"/>
        <v>44835</v>
      </c>
    </row>
    <row r="1041" spans="1:19" x14ac:dyDescent="0.25">
      <c r="A1041" s="6" t="s">
        <v>2317</v>
      </c>
      <c r="B1041" s="7" t="s">
        <v>435</v>
      </c>
      <c r="C1041" s="15">
        <v>45364</v>
      </c>
      <c r="D1041" s="7" t="s">
        <v>680</v>
      </c>
      <c r="E1041" s="7" t="s">
        <v>681</v>
      </c>
      <c r="F1041" s="7">
        <v>19.989999999999998</v>
      </c>
      <c r="G1041" s="7">
        <v>1</v>
      </c>
      <c r="H1041" s="7">
        <v>20</v>
      </c>
      <c r="I1041" s="7">
        <v>15.99</v>
      </c>
      <c r="J1041" s="7">
        <v>15.99</v>
      </c>
      <c r="K1041" s="7" t="s">
        <v>675</v>
      </c>
      <c r="L1041" s="7" t="s">
        <v>656</v>
      </c>
      <c r="M1041" s="8">
        <v>2</v>
      </c>
      <c r="N1041">
        <f>VLOOKUP(B1041,Customers!A:J,7,0)</f>
        <v>29</v>
      </c>
      <c r="O1041" t="str">
        <f>VLOOKUP(B1041,Customers!A:J,5,0)</f>
        <v>San Jose</v>
      </c>
      <c r="P1041" t="str">
        <f>VLOOKUP(B1041,Customers!A:J,10,0)</f>
        <v>Platinum</v>
      </c>
      <c r="Q1041" t="str">
        <f>VLOOKUP(B1041,Customers!A:J,8,0)</f>
        <v>Female</v>
      </c>
      <c r="R1041" t="b">
        <f t="shared" si="32"/>
        <v>1</v>
      </c>
      <c r="S1041" s="18">
        <f t="shared" si="33"/>
        <v>45352</v>
      </c>
    </row>
    <row r="1042" spans="1:19" x14ac:dyDescent="0.25">
      <c r="A1042" s="3" t="s">
        <v>2318</v>
      </c>
      <c r="B1042" s="4" t="s">
        <v>437</v>
      </c>
      <c r="C1042" s="14">
        <v>45369</v>
      </c>
      <c r="D1042" s="4" t="s">
        <v>684</v>
      </c>
      <c r="E1042" s="4" t="s">
        <v>685</v>
      </c>
      <c r="F1042" s="4">
        <v>49.99</v>
      </c>
      <c r="G1042" s="4">
        <v>4</v>
      </c>
      <c r="H1042" s="4">
        <v>0</v>
      </c>
      <c r="I1042" s="4">
        <v>49.99</v>
      </c>
      <c r="J1042" s="4">
        <v>199.96</v>
      </c>
      <c r="K1042" s="4" t="s">
        <v>682</v>
      </c>
      <c r="L1042" s="4" t="s">
        <v>656</v>
      </c>
      <c r="M1042" s="5"/>
      <c r="N1042">
        <f>VLOOKUP(B1042,Customers!A:J,7,0)</f>
        <v>20</v>
      </c>
      <c r="O1042" t="str">
        <f>VLOOKUP(B1042,Customers!A:J,5,0)</f>
        <v>Phoenix</v>
      </c>
      <c r="P1042" t="str">
        <f>VLOOKUP(B1042,Customers!A:J,10,0)</f>
        <v>Free</v>
      </c>
      <c r="Q1042" t="str">
        <f>VLOOKUP(B1042,Customers!A:J,8,0)</f>
        <v>Male</v>
      </c>
      <c r="R1042" t="b">
        <f t="shared" si="32"/>
        <v>1</v>
      </c>
      <c r="S1042" s="18">
        <f t="shared" si="33"/>
        <v>45352</v>
      </c>
    </row>
    <row r="1043" spans="1:19" x14ac:dyDescent="0.25">
      <c r="A1043" s="6" t="s">
        <v>2320</v>
      </c>
      <c r="B1043" s="7" t="s">
        <v>437</v>
      </c>
      <c r="C1043" s="15">
        <v>45257</v>
      </c>
      <c r="D1043" s="7" t="s">
        <v>659</v>
      </c>
      <c r="E1043" s="7" t="s">
        <v>660</v>
      </c>
      <c r="F1043" s="7">
        <v>19.989999999999998</v>
      </c>
      <c r="G1043" s="7">
        <v>4</v>
      </c>
      <c r="H1043" s="7">
        <v>15</v>
      </c>
      <c r="I1043" s="7">
        <v>16.989999999999998</v>
      </c>
      <c r="J1043" s="7">
        <v>67.959999999999994</v>
      </c>
      <c r="K1043" s="7" t="s">
        <v>669</v>
      </c>
      <c r="L1043" s="7" t="s">
        <v>656</v>
      </c>
      <c r="M1043" s="8">
        <v>5</v>
      </c>
      <c r="N1043">
        <f>VLOOKUP(B1043,Customers!A:J,7,0)</f>
        <v>20</v>
      </c>
      <c r="O1043" t="str">
        <f>VLOOKUP(B1043,Customers!A:J,5,0)</f>
        <v>Phoenix</v>
      </c>
      <c r="P1043" t="str">
        <f>VLOOKUP(B1043,Customers!A:J,10,0)</f>
        <v>Free</v>
      </c>
      <c r="Q1043" t="str">
        <f>VLOOKUP(B1043,Customers!A:J,8,0)</f>
        <v>Male</v>
      </c>
      <c r="R1043" t="b">
        <f t="shared" si="32"/>
        <v>1</v>
      </c>
      <c r="S1043" s="18">
        <f t="shared" si="33"/>
        <v>45231</v>
      </c>
    </row>
    <row r="1044" spans="1:19" x14ac:dyDescent="0.25">
      <c r="A1044" s="3" t="s">
        <v>2322</v>
      </c>
      <c r="B1044" s="4" t="s">
        <v>437</v>
      </c>
      <c r="C1044" s="14">
        <v>45605</v>
      </c>
      <c r="D1044" s="4" t="s">
        <v>667</v>
      </c>
      <c r="E1044" s="4" t="s">
        <v>699</v>
      </c>
      <c r="F1044" s="4">
        <v>89.99</v>
      </c>
      <c r="G1044" s="4">
        <v>4</v>
      </c>
      <c r="H1044" s="4">
        <v>20</v>
      </c>
      <c r="I1044" s="4">
        <v>71.989999999999995</v>
      </c>
      <c r="J1044" s="4">
        <v>287.95999999999998</v>
      </c>
      <c r="K1044" s="4" t="s">
        <v>669</v>
      </c>
      <c r="L1044" s="4" t="s">
        <v>656</v>
      </c>
      <c r="M1044" s="5">
        <v>4</v>
      </c>
      <c r="N1044">
        <f>VLOOKUP(B1044,Customers!A:J,7,0)</f>
        <v>20</v>
      </c>
      <c r="O1044" t="str">
        <f>VLOOKUP(B1044,Customers!A:J,5,0)</f>
        <v>Phoenix</v>
      </c>
      <c r="P1044" t="str">
        <f>VLOOKUP(B1044,Customers!A:J,10,0)</f>
        <v>Free</v>
      </c>
      <c r="Q1044" t="str">
        <f>VLOOKUP(B1044,Customers!A:J,8,0)</f>
        <v>Male</v>
      </c>
      <c r="R1044" t="b">
        <f t="shared" si="32"/>
        <v>1</v>
      </c>
      <c r="S1044" s="18">
        <f t="shared" si="33"/>
        <v>45597</v>
      </c>
    </row>
    <row r="1045" spans="1:19" x14ac:dyDescent="0.25">
      <c r="A1045" s="6" t="s">
        <v>2323</v>
      </c>
      <c r="B1045" s="7" t="s">
        <v>437</v>
      </c>
      <c r="C1045" s="15">
        <v>45304</v>
      </c>
      <c r="D1045" s="7" t="s">
        <v>672</v>
      </c>
      <c r="E1045" s="7" t="s">
        <v>735</v>
      </c>
      <c r="F1045" s="7">
        <v>44.99</v>
      </c>
      <c r="G1045" s="7">
        <v>2</v>
      </c>
      <c r="H1045" s="7">
        <v>15</v>
      </c>
      <c r="I1045" s="7">
        <v>38.24</v>
      </c>
      <c r="J1045" s="7">
        <v>76.48</v>
      </c>
      <c r="K1045" s="7" t="s">
        <v>655</v>
      </c>
      <c r="L1045" s="7" t="s">
        <v>656</v>
      </c>
      <c r="M1045" s="8">
        <v>4</v>
      </c>
      <c r="N1045">
        <f>VLOOKUP(B1045,Customers!A:J,7,0)</f>
        <v>20</v>
      </c>
      <c r="O1045" t="str">
        <f>VLOOKUP(B1045,Customers!A:J,5,0)</f>
        <v>Phoenix</v>
      </c>
      <c r="P1045" t="str">
        <f>VLOOKUP(B1045,Customers!A:J,10,0)</f>
        <v>Free</v>
      </c>
      <c r="Q1045" t="str">
        <f>VLOOKUP(B1045,Customers!A:J,8,0)</f>
        <v>Male</v>
      </c>
      <c r="R1045" t="b">
        <f t="shared" si="32"/>
        <v>1</v>
      </c>
      <c r="S1045" s="18">
        <f t="shared" si="33"/>
        <v>45292</v>
      </c>
    </row>
    <row r="1046" spans="1:19" x14ac:dyDescent="0.25">
      <c r="A1046" s="3" t="s">
        <v>2325</v>
      </c>
      <c r="B1046" s="4" t="s">
        <v>437</v>
      </c>
      <c r="C1046" s="14">
        <v>45019</v>
      </c>
      <c r="D1046" s="4" t="s">
        <v>680</v>
      </c>
      <c r="E1046" s="4" t="s">
        <v>688</v>
      </c>
      <c r="F1046" s="4">
        <v>29.99</v>
      </c>
      <c r="G1046" s="4">
        <v>4</v>
      </c>
      <c r="H1046" s="4">
        <v>0</v>
      </c>
      <c r="I1046" s="4">
        <v>29.99</v>
      </c>
      <c r="J1046" s="4">
        <v>119.96</v>
      </c>
      <c r="K1046" s="4" t="s">
        <v>675</v>
      </c>
      <c r="L1046" s="4" t="s">
        <v>656</v>
      </c>
      <c r="M1046" s="5">
        <v>4</v>
      </c>
      <c r="N1046">
        <f>VLOOKUP(B1046,Customers!A:J,7,0)</f>
        <v>20</v>
      </c>
      <c r="O1046" t="str">
        <f>VLOOKUP(B1046,Customers!A:J,5,0)</f>
        <v>Phoenix</v>
      </c>
      <c r="P1046" t="str">
        <f>VLOOKUP(B1046,Customers!A:J,10,0)</f>
        <v>Free</v>
      </c>
      <c r="Q1046" t="str">
        <f>VLOOKUP(B1046,Customers!A:J,8,0)</f>
        <v>Male</v>
      </c>
      <c r="R1046" t="b">
        <f t="shared" si="32"/>
        <v>1</v>
      </c>
      <c r="S1046" s="18">
        <f t="shared" si="33"/>
        <v>45017</v>
      </c>
    </row>
    <row r="1047" spans="1:19" x14ac:dyDescent="0.25">
      <c r="A1047" s="6" t="s">
        <v>2326</v>
      </c>
      <c r="B1047" s="7" t="s">
        <v>437</v>
      </c>
      <c r="C1047" s="15">
        <v>44776</v>
      </c>
      <c r="D1047" s="7" t="s">
        <v>672</v>
      </c>
      <c r="E1047" s="7" t="s">
        <v>673</v>
      </c>
      <c r="F1047" s="7">
        <v>24.99</v>
      </c>
      <c r="G1047" s="7">
        <v>4</v>
      </c>
      <c r="H1047" s="7">
        <v>0</v>
      </c>
      <c r="I1047" s="7">
        <v>24.99</v>
      </c>
      <c r="J1047" s="7">
        <v>99.96</v>
      </c>
      <c r="K1047" s="7" t="s">
        <v>682</v>
      </c>
      <c r="L1047" s="7" t="s">
        <v>656</v>
      </c>
      <c r="M1047" s="8"/>
      <c r="N1047">
        <f>VLOOKUP(B1047,Customers!A:J,7,0)</f>
        <v>20</v>
      </c>
      <c r="O1047" t="str">
        <f>VLOOKUP(B1047,Customers!A:J,5,0)</f>
        <v>Phoenix</v>
      </c>
      <c r="P1047" t="str">
        <f>VLOOKUP(B1047,Customers!A:J,10,0)</f>
        <v>Free</v>
      </c>
      <c r="Q1047" t="str">
        <f>VLOOKUP(B1047,Customers!A:J,8,0)</f>
        <v>Male</v>
      </c>
      <c r="R1047" t="b">
        <f t="shared" si="32"/>
        <v>1</v>
      </c>
      <c r="S1047" s="18">
        <f t="shared" si="33"/>
        <v>44774</v>
      </c>
    </row>
    <row r="1048" spans="1:19" x14ac:dyDescent="0.25">
      <c r="A1048" s="3" t="s">
        <v>2328</v>
      </c>
      <c r="B1048" s="4" t="s">
        <v>437</v>
      </c>
      <c r="C1048" s="14">
        <v>45467</v>
      </c>
      <c r="D1048" s="4" t="s">
        <v>659</v>
      </c>
      <c r="E1048" s="4" t="s">
        <v>762</v>
      </c>
      <c r="F1048" s="4">
        <v>49.99</v>
      </c>
      <c r="G1048" s="4">
        <v>1</v>
      </c>
      <c r="H1048" s="4">
        <v>20</v>
      </c>
      <c r="I1048" s="4">
        <v>39.99</v>
      </c>
      <c r="J1048" s="4">
        <v>39.99</v>
      </c>
      <c r="K1048" s="4" t="s">
        <v>675</v>
      </c>
      <c r="L1048" s="4" t="s">
        <v>656</v>
      </c>
      <c r="M1048" s="5"/>
      <c r="N1048">
        <f>VLOOKUP(B1048,Customers!A:J,7,0)</f>
        <v>20</v>
      </c>
      <c r="O1048" t="str">
        <f>VLOOKUP(B1048,Customers!A:J,5,0)</f>
        <v>Phoenix</v>
      </c>
      <c r="P1048" t="str">
        <f>VLOOKUP(B1048,Customers!A:J,10,0)</f>
        <v>Free</v>
      </c>
      <c r="Q1048" t="str">
        <f>VLOOKUP(B1048,Customers!A:J,8,0)</f>
        <v>Male</v>
      </c>
      <c r="R1048" t="b">
        <f t="shared" si="32"/>
        <v>1</v>
      </c>
      <c r="S1048" s="18">
        <f t="shared" si="33"/>
        <v>45444</v>
      </c>
    </row>
    <row r="1049" spans="1:19" x14ac:dyDescent="0.25">
      <c r="A1049" s="6" t="s">
        <v>2329</v>
      </c>
      <c r="B1049" s="7" t="s">
        <v>437</v>
      </c>
      <c r="C1049" s="15">
        <v>44947</v>
      </c>
      <c r="D1049" s="7" t="s">
        <v>684</v>
      </c>
      <c r="E1049" s="7" t="s">
        <v>702</v>
      </c>
      <c r="F1049" s="7">
        <v>199.99</v>
      </c>
      <c r="G1049" s="7">
        <v>3</v>
      </c>
      <c r="H1049" s="7">
        <v>10</v>
      </c>
      <c r="I1049" s="7">
        <v>179.99</v>
      </c>
      <c r="J1049" s="7">
        <v>539.97</v>
      </c>
      <c r="K1049" s="7" t="s">
        <v>669</v>
      </c>
      <c r="L1049" s="7" t="s">
        <v>739</v>
      </c>
      <c r="M1049" s="8">
        <v>5</v>
      </c>
      <c r="N1049">
        <f>VLOOKUP(B1049,Customers!A:J,7,0)</f>
        <v>20</v>
      </c>
      <c r="O1049" t="str">
        <f>VLOOKUP(B1049,Customers!A:J,5,0)</f>
        <v>Phoenix</v>
      </c>
      <c r="P1049" t="str">
        <f>VLOOKUP(B1049,Customers!A:J,10,0)</f>
        <v>Free</v>
      </c>
      <c r="Q1049" t="str">
        <f>VLOOKUP(B1049,Customers!A:J,8,0)</f>
        <v>Male</v>
      </c>
      <c r="R1049" t="b">
        <f t="shared" si="32"/>
        <v>1</v>
      </c>
      <c r="S1049" s="18">
        <f t="shared" si="33"/>
        <v>44927</v>
      </c>
    </row>
    <row r="1050" spans="1:19" x14ac:dyDescent="0.25">
      <c r="A1050" s="3" t="s">
        <v>2331</v>
      </c>
      <c r="B1050" s="4" t="s">
        <v>437</v>
      </c>
      <c r="C1050" s="14">
        <v>45031</v>
      </c>
      <c r="D1050" s="4" t="s">
        <v>659</v>
      </c>
      <c r="E1050" s="4" t="s">
        <v>762</v>
      </c>
      <c r="F1050" s="4">
        <v>49.99</v>
      </c>
      <c r="G1050" s="4">
        <v>4</v>
      </c>
      <c r="H1050" s="4">
        <v>0</v>
      </c>
      <c r="I1050" s="4">
        <v>49.99</v>
      </c>
      <c r="J1050" s="4">
        <v>199.96</v>
      </c>
      <c r="K1050" s="4" t="s">
        <v>661</v>
      </c>
      <c r="L1050" s="4" t="s">
        <v>656</v>
      </c>
      <c r="M1050" s="5"/>
      <c r="N1050">
        <f>VLOOKUP(B1050,Customers!A:J,7,0)</f>
        <v>20</v>
      </c>
      <c r="O1050" t="str">
        <f>VLOOKUP(B1050,Customers!A:J,5,0)</f>
        <v>Phoenix</v>
      </c>
      <c r="P1050" t="str">
        <f>VLOOKUP(B1050,Customers!A:J,10,0)</f>
        <v>Free</v>
      </c>
      <c r="Q1050" t="str">
        <f>VLOOKUP(B1050,Customers!A:J,8,0)</f>
        <v>Male</v>
      </c>
      <c r="R1050" t="b">
        <f t="shared" si="32"/>
        <v>1</v>
      </c>
      <c r="S1050" s="18">
        <f t="shared" si="33"/>
        <v>45017</v>
      </c>
    </row>
    <row r="1051" spans="1:19" x14ac:dyDescent="0.25">
      <c r="A1051" s="6" t="s">
        <v>2332</v>
      </c>
      <c r="B1051" s="7" t="s">
        <v>440</v>
      </c>
      <c r="C1051" s="15">
        <v>45122</v>
      </c>
      <c r="D1051" s="7" t="s">
        <v>667</v>
      </c>
      <c r="E1051" s="7" t="s">
        <v>714</v>
      </c>
      <c r="F1051" s="7">
        <v>44.99</v>
      </c>
      <c r="G1051" s="7">
        <v>2</v>
      </c>
      <c r="H1051" s="7">
        <v>20</v>
      </c>
      <c r="I1051" s="7">
        <v>35.99</v>
      </c>
      <c r="J1051" s="7">
        <v>71.98</v>
      </c>
      <c r="K1051" s="7" t="s">
        <v>682</v>
      </c>
      <c r="L1051" s="7" t="s">
        <v>693</v>
      </c>
      <c r="M1051" s="8">
        <v>4</v>
      </c>
      <c r="N1051">
        <f>VLOOKUP(B1051,Customers!A:J,7,0)</f>
        <v>39</v>
      </c>
      <c r="O1051" t="str">
        <f>VLOOKUP(B1051,Customers!A:J,5,0)</f>
        <v>Dallas</v>
      </c>
      <c r="P1051" t="str">
        <f>VLOOKUP(B1051,Customers!A:J,10,0)</f>
        <v>Free</v>
      </c>
      <c r="Q1051" t="str">
        <f>VLOOKUP(B1051,Customers!A:J,8,0)</f>
        <v>Female</v>
      </c>
      <c r="R1051" t="b">
        <f t="shared" si="32"/>
        <v>1</v>
      </c>
      <c r="S1051" s="18">
        <f t="shared" si="33"/>
        <v>45108</v>
      </c>
    </row>
    <row r="1052" spans="1:19" x14ac:dyDescent="0.25">
      <c r="A1052" s="3" t="s">
        <v>2333</v>
      </c>
      <c r="B1052" s="4" t="s">
        <v>440</v>
      </c>
      <c r="C1052" s="14">
        <v>44707</v>
      </c>
      <c r="D1052" s="4" t="s">
        <v>710</v>
      </c>
      <c r="E1052" s="4" t="s">
        <v>721</v>
      </c>
      <c r="F1052" s="4">
        <v>24.99</v>
      </c>
      <c r="G1052" s="4">
        <v>3</v>
      </c>
      <c r="H1052" s="4">
        <v>0</v>
      </c>
      <c r="I1052" s="4">
        <v>24.99</v>
      </c>
      <c r="J1052" s="4">
        <v>74.97</v>
      </c>
      <c r="K1052" s="4" t="s">
        <v>661</v>
      </c>
      <c r="L1052" s="4" t="s">
        <v>656</v>
      </c>
      <c r="M1052" s="5"/>
      <c r="N1052">
        <f>VLOOKUP(B1052,Customers!A:J,7,0)</f>
        <v>39</v>
      </c>
      <c r="O1052" t="str">
        <f>VLOOKUP(B1052,Customers!A:J,5,0)</f>
        <v>Dallas</v>
      </c>
      <c r="P1052" t="str">
        <f>VLOOKUP(B1052,Customers!A:J,10,0)</f>
        <v>Free</v>
      </c>
      <c r="Q1052" t="str">
        <f>VLOOKUP(B1052,Customers!A:J,8,0)</f>
        <v>Female</v>
      </c>
      <c r="R1052" t="b">
        <f t="shared" si="32"/>
        <v>1</v>
      </c>
      <c r="S1052" s="18">
        <f t="shared" si="33"/>
        <v>44682</v>
      </c>
    </row>
    <row r="1053" spans="1:19" x14ac:dyDescent="0.25">
      <c r="A1053" s="6" t="s">
        <v>2334</v>
      </c>
      <c r="B1053" s="7" t="s">
        <v>440</v>
      </c>
      <c r="C1053" s="15">
        <v>45486</v>
      </c>
      <c r="D1053" s="7" t="s">
        <v>667</v>
      </c>
      <c r="E1053" s="7" t="s">
        <v>696</v>
      </c>
      <c r="F1053" s="7">
        <v>59.99</v>
      </c>
      <c r="G1053" s="7">
        <v>2</v>
      </c>
      <c r="H1053" s="7">
        <v>15</v>
      </c>
      <c r="I1053" s="7">
        <v>50.99</v>
      </c>
      <c r="J1053" s="7">
        <v>101.98</v>
      </c>
      <c r="K1053" s="7" t="s">
        <v>669</v>
      </c>
      <c r="L1053" s="7" t="s">
        <v>656</v>
      </c>
      <c r="M1053" s="8"/>
      <c r="N1053">
        <f>VLOOKUP(B1053,Customers!A:J,7,0)</f>
        <v>39</v>
      </c>
      <c r="O1053" t="str">
        <f>VLOOKUP(B1053,Customers!A:J,5,0)</f>
        <v>Dallas</v>
      </c>
      <c r="P1053" t="str">
        <f>VLOOKUP(B1053,Customers!A:J,10,0)</f>
        <v>Free</v>
      </c>
      <c r="Q1053" t="str">
        <f>VLOOKUP(B1053,Customers!A:J,8,0)</f>
        <v>Female</v>
      </c>
      <c r="R1053" t="b">
        <f t="shared" si="32"/>
        <v>1</v>
      </c>
      <c r="S1053" s="18">
        <f t="shared" si="33"/>
        <v>45474</v>
      </c>
    </row>
    <row r="1054" spans="1:19" x14ac:dyDescent="0.25">
      <c r="A1054" s="3" t="s">
        <v>2335</v>
      </c>
      <c r="B1054" s="4" t="s">
        <v>440</v>
      </c>
      <c r="C1054" s="14">
        <v>45004</v>
      </c>
      <c r="D1054" s="4" t="s">
        <v>672</v>
      </c>
      <c r="E1054" s="4" t="s">
        <v>803</v>
      </c>
      <c r="F1054" s="4">
        <v>69.989999999999995</v>
      </c>
      <c r="G1054" s="4">
        <v>4</v>
      </c>
      <c r="H1054" s="4">
        <v>5</v>
      </c>
      <c r="I1054" s="4">
        <v>66.489999999999995</v>
      </c>
      <c r="J1054" s="4">
        <v>265.95999999999998</v>
      </c>
      <c r="K1054" s="4" t="s">
        <v>669</v>
      </c>
      <c r="L1054" s="4" t="s">
        <v>656</v>
      </c>
      <c r="M1054" s="5">
        <v>4</v>
      </c>
      <c r="N1054">
        <f>VLOOKUP(B1054,Customers!A:J,7,0)</f>
        <v>39</v>
      </c>
      <c r="O1054" t="str">
        <f>VLOOKUP(B1054,Customers!A:J,5,0)</f>
        <v>Dallas</v>
      </c>
      <c r="P1054" t="str">
        <f>VLOOKUP(B1054,Customers!A:J,10,0)</f>
        <v>Free</v>
      </c>
      <c r="Q1054" t="str">
        <f>VLOOKUP(B1054,Customers!A:J,8,0)</f>
        <v>Female</v>
      </c>
      <c r="R1054" t="b">
        <f t="shared" si="32"/>
        <v>1</v>
      </c>
      <c r="S1054" s="18">
        <f t="shared" si="33"/>
        <v>44986</v>
      </c>
    </row>
    <row r="1055" spans="1:19" x14ac:dyDescent="0.25">
      <c r="A1055" s="6" t="s">
        <v>2336</v>
      </c>
      <c r="B1055" s="7" t="s">
        <v>440</v>
      </c>
      <c r="C1055" s="15">
        <v>45294</v>
      </c>
      <c r="D1055" s="7" t="s">
        <v>680</v>
      </c>
      <c r="E1055" s="7" t="s">
        <v>708</v>
      </c>
      <c r="F1055" s="7">
        <v>24.99</v>
      </c>
      <c r="G1055" s="7">
        <v>2</v>
      </c>
      <c r="H1055" s="7">
        <v>15</v>
      </c>
      <c r="I1055" s="7">
        <v>21.24</v>
      </c>
      <c r="J1055" s="7">
        <v>42.48</v>
      </c>
      <c r="K1055" s="7" t="s">
        <v>655</v>
      </c>
      <c r="L1055" s="7" t="s">
        <v>656</v>
      </c>
      <c r="M1055" s="8">
        <v>5</v>
      </c>
      <c r="N1055">
        <f>VLOOKUP(B1055,Customers!A:J,7,0)</f>
        <v>39</v>
      </c>
      <c r="O1055" t="str">
        <f>VLOOKUP(B1055,Customers!A:J,5,0)</f>
        <v>Dallas</v>
      </c>
      <c r="P1055" t="str">
        <f>VLOOKUP(B1055,Customers!A:J,10,0)</f>
        <v>Free</v>
      </c>
      <c r="Q1055" t="str">
        <f>VLOOKUP(B1055,Customers!A:J,8,0)</f>
        <v>Female</v>
      </c>
      <c r="R1055" t="b">
        <f t="shared" si="32"/>
        <v>1</v>
      </c>
      <c r="S1055" s="18">
        <f t="shared" si="33"/>
        <v>45292</v>
      </c>
    </row>
    <row r="1056" spans="1:19" x14ac:dyDescent="0.25">
      <c r="A1056" s="3" t="s">
        <v>2337</v>
      </c>
      <c r="B1056" s="4" t="s">
        <v>440</v>
      </c>
      <c r="C1056" s="14">
        <v>45053</v>
      </c>
      <c r="D1056" s="4" t="s">
        <v>684</v>
      </c>
      <c r="E1056" s="4" t="s">
        <v>815</v>
      </c>
      <c r="F1056" s="4">
        <v>34.99</v>
      </c>
      <c r="G1056" s="4">
        <v>1</v>
      </c>
      <c r="H1056" s="4">
        <v>0</v>
      </c>
      <c r="I1056" s="4">
        <v>34.99</v>
      </c>
      <c r="J1056" s="4">
        <v>34.99</v>
      </c>
      <c r="K1056" s="4" t="s">
        <v>669</v>
      </c>
      <c r="L1056" s="4" t="s">
        <v>656</v>
      </c>
      <c r="M1056" s="5">
        <v>4</v>
      </c>
      <c r="N1056">
        <f>VLOOKUP(B1056,Customers!A:J,7,0)</f>
        <v>39</v>
      </c>
      <c r="O1056" t="str">
        <f>VLOOKUP(B1056,Customers!A:J,5,0)</f>
        <v>Dallas</v>
      </c>
      <c r="P1056" t="str">
        <f>VLOOKUP(B1056,Customers!A:J,10,0)</f>
        <v>Free</v>
      </c>
      <c r="Q1056" t="str">
        <f>VLOOKUP(B1056,Customers!A:J,8,0)</f>
        <v>Female</v>
      </c>
      <c r="R1056" t="b">
        <f t="shared" si="32"/>
        <v>1</v>
      </c>
      <c r="S1056" s="18">
        <f t="shared" si="33"/>
        <v>45047</v>
      </c>
    </row>
    <row r="1057" spans="1:19" x14ac:dyDescent="0.25">
      <c r="A1057" s="6" t="s">
        <v>2339</v>
      </c>
      <c r="B1057" s="7" t="s">
        <v>440</v>
      </c>
      <c r="C1057" s="15">
        <v>45337</v>
      </c>
      <c r="D1057" s="7" t="s">
        <v>667</v>
      </c>
      <c r="E1057" s="7" t="s">
        <v>699</v>
      </c>
      <c r="F1057" s="7">
        <v>89.99</v>
      </c>
      <c r="G1057" s="7">
        <v>4</v>
      </c>
      <c r="H1057" s="7">
        <v>20</v>
      </c>
      <c r="I1057" s="7">
        <v>71.989999999999995</v>
      </c>
      <c r="J1057" s="7">
        <v>287.95999999999998</v>
      </c>
      <c r="K1057" s="7" t="s">
        <v>655</v>
      </c>
      <c r="L1057" s="7" t="s">
        <v>656</v>
      </c>
      <c r="M1057" s="8">
        <v>3</v>
      </c>
      <c r="N1057">
        <f>VLOOKUP(B1057,Customers!A:J,7,0)</f>
        <v>39</v>
      </c>
      <c r="O1057" t="str">
        <f>VLOOKUP(B1057,Customers!A:J,5,0)</f>
        <v>Dallas</v>
      </c>
      <c r="P1057" t="str">
        <f>VLOOKUP(B1057,Customers!A:J,10,0)</f>
        <v>Free</v>
      </c>
      <c r="Q1057" t="str">
        <f>VLOOKUP(B1057,Customers!A:J,8,0)</f>
        <v>Female</v>
      </c>
      <c r="R1057" t="b">
        <f t="shared" si="32"/>
        <v>1</v>
      </c>
      <c r="S1057" s="18">
        <f t="shared" si="33"/>
        <v>45323</v>
      </c>
    </row>
    <row r="1058" spans="1:19" x14ac:dyDescent="0.25">
      <c r="A1058" s="3" t="s">
        <v>2340</v>
      </c>
      <c r="B1058" s="4" t="s">
        <v>440</v>
      </c>
      <c r="C1058" s="14">
        <v>45406</v>
      </c>
      <c r="D1058" s="4" t="s">
        <v>659</v>
      </c>
      <c r="E1058" s="4" t="s">
        <v>664</v>
      </c>
      <c r="F1058" s="4">
        <v>24.99</v>
      </c>
      <c r="G1058" s="4">
        <v>1</v>
      </c>
      <c r="H1058" s="4">
        <v>0</v>
      </c>
      <c r="I1058" s="4">
        <v>24.99</v>
      </c>
      <c r="J1058" s="4">
        <v>24.99</v>
      </c>
      <c r="K1058" s="4" t="s">
        <v>675</v>
      </c>
      <c r="L1058" s="4" t="s">
        <v>656</v>
      </c>
      <c r="M1058" s="5"/>
      <c r="N1058">
        <f>VLOOKUP(B1058,Customers!A:J,7,0)</f>
        <v>39</v>
      </c>
      <c r="O1058" t="str">
        <f>VLOOKUP(B1058,Customers!A:J,5,0)</f>
        <v>Dallas</v>
      </c>
      <c r="P1058" t="str">
        <f>VLOOKUP(B1058,Customers!A:J,10,0)</f>
        <v>Free</v>
      </c>
      <c r="Q1058" t="str">
        <f>VLOOKUP(B1058,Customers!A:J,8,0)</f>
        <v>Female</v>
      </c>
      <c r="R1058" t="b">
        <f t="shared" si="32"/>
        <v>1</v>
      </c>
      <c r="S1058" s="18">
        <f t="shared" si="33"/>
        <v>45383</v>
      </c>
    </row>
    <row r="1059" spans="1:19" x14ac:dyDescent="0.25">
      <c r="A1059" s="6" t="s">
        <v>2342</v>
      </c>
      <c r="B1059" s="7" t="s">
        <v>440</v>
      </c>
      <c r="C1059" s="15">
        <v>45072</v>
      </c>
      <c r="D1059" s="7" t="s">
        <v>653</v>
      </c>
      <c r="E1059" s="7" t="s">
        <v>727</v>
      </c>
      <c r="F1059" s="7">
        <v>14.99</v>
      </c>
      <c r="G1059" s="7">
        <v>4</v>
      </c>
      <c r="H1059" s="7">
        <v>15</v>
      </c>
      <c r="I1059" s="7">
        <v>12.74</v>
      </c>
      <c r="J1059" s="7">
        <v>50.96</v>
      </c>
      <c r="K1059" s="7" t="s">
        <v>661</v>
      </c>
      <c r="L1059" s="7" t="s">
        <v>656</v>
      </c>
      <c r="M1059" s="8">
        <v>4</v>
      </c>
      <c r="N1059">
        <f>VLOOKUP(B1059,Customers!A:J,7,0)</f>
        <v>39</v>
      </c>
      <c r="O1059" t="str">
        <f>VLOOKUP(B1059,Customers!A:J,5,0)</f>
        <v>Dallas</v>
      </c>
      <c r="P1059" t="str">
        <f>VLOOKUP(B1059,Customers!A:J,10,0)</f>
        <v>Free</v>
      </c>
      <c r="Q1059" t="str">
        <f>VLOOKUP(B1059,Customers!A:J,8,0)</f>
        <v>Female</v>
      </c>
      <c r="R1059" t="b">
        <f t="shared" si="32"/>
        <v>1</v>
      </c>
      <c r="S1059" s="18">
        <f t="shared" si="33"/>
        <v>45047</v>
      </c>
    </row>
    <row r="1060" spans="1:19" x14ac:dyDescent="0.25">
      <c r="A1060" s="3" t="s">
        <v>2343</v>
      </c>
      <c r="B1060" s="4" t="s">
        <v>440</v>
      </c>
      <c r="C1060" s="14">
        <v>44875</v>
      </c>
      <c r="D1060" s="4" t="s">
        <v>659</v>
      </c>
      <c r="E1060" s="4" t="s">
        <v>664</v>
      </c>
      <c r="F1060" s="4">
        <v>24.99</v>
      </c>
      <c r="G1060" s="4">
        <v>2</v>
      </c>
      <c r="H1060" s="4">
        <v>20</v>
      </c>
      <c r="I1060" s="4">
        <v>19.989999999999998</v>
      </c>
      <c r="J1060" s="4">
        <v>39.979999999999997</v>
      </c>
      <c r="K1060" s="4" t="s">
        <v>655</v>
      </c>
      <c r="L1060" s="4" t="s">
        <v>656</v>
      </c>
      <c r="M1060" s="5"/>
      <c r="N1060">
        <f>VLOOKUP(B1060,Customers!A:J,7,0)</f>
        <v>39</v>
      </c>
      <c r="O1060" t="str">
        <f>VLOOKUP(B1060,Customers!A:J,5,0)</f>
        <v>Dallas</v>
      </c>
      <c r="P1060" t="str">
        <f>VLOOKUP(B1060,Customers!A:J,10,0)</f>
        <v>Free</v>
      </c>
      <c r="Q1060" t="str">
        <f>VLOOKUP(B1060,Customers!A:J,8,0)</f>
        <v>Female</v>
      </c>
      <c r="R1060" t="b">
        <f t="shared" si="32"/>
        <v>1</v>
      </c>
      <c r="S1060" s="18">
        <f t="shared" si="33"/>
        <v>44866</v>
      </c>
    </row>
    <row r="1061" spans="1:19" x14ac:dyDescent="0.25">
      <c r="A1061" s="6" t="s">
        <v>2344</v>
      </c>
      <c r="B1061" s="7" t="s">
        <v>440</v>
      </c>
      <c r="C1061" s="15">
        <v>44668</v>
      </c>
      <c r="D1061" s="7" t="s">
        <v>710</v>
      </c>
      <c r="E1061" s="7" t="s">
        <v>711</v>
      </c>
      <c r="F1061" s="7">
        <v>14.99</v>
      </c>
      <c r="G1061" s="7">
        <v>2</v>
      </c>
      <c r="H1061" s="7">
        <v>0</v>
      </c>
      <c r="I1061" s="7">
        <v>14.99</v>
      </c>
      <c r="J1061" s="7">
        <v>29.98</v>
      </c>
      <c r="K1061" s="7" t="s">
        <v>661</v>
      </c>
      <c r="L1061" s="7" t="s">
        <v>656</v>
      </c>
      <c r="M1061" s="8">
        <v>3</v>
      </c>
      <c r="N1061">
        <f>VLOOKUP(B1061,Customers!A:J,7,0)</f>
        <v>39</v>
      </c>
      <c r="O1061" t="str">
        <f>VLOOKUP(B1061,Customers!A:J,5,0)</f>
        <v>Dallas</v>
      </c>
      <c r="P1061" t="str">
        <f>VLOOKUP(B1061,Customers!A:J,10,0)</f>
        <v>Free</v>
      </c>
      <c r="Q1061" t="str">
        <f>VLOOKUP(B1061,Customers!A:J,8,0)</f>
        <v>Female</v>
      </c>
      <c r="R1061" t="b">
        <f t="shared" si="32"/>
        <v>1</v>
      </c>
      <c r="S1061" s="18">
        <f t="shared" si="33"/>
        <v>44652</v>
      </c>
    </row>
    <row r="1062" spans="1:19" x14ac:dyDescent="0.25">
      <c r="A1062" s="3" t="s">
        <v>2345</v>
      </c>
      <c r="B1062" s="4" t="s">
        <v>440</v>
      </c>
      <c r="C1062" s="14">
        <v>45352</v>
      </c>
      <c r="D1062" s="4" t="s">
        <v>667</v>
      </c>
      <c r="E1062" s="4" t="s">
        <v>699</v>
      </c>
      <c r="F1062" s="4">
        <v>89.99</v>
      </c>
      <c r="G1062" s="4">
        <v>1</v>
      </c>
      <c r="H1062" s="4">
        <v>0</v>
      </c>
      <c r="I1062" s="4">
        <v>89.99</v>
      </c>
      <c r="J1062" s="4">
        <v>89.99</v>
      </c>
      <c r="K1062" s="4" t="s">
        <v>655</v>
      </c>
      <c r="L1062" s="4" t="s">
        <v>693</v>
      </c>
      <c r="M1062" s="5">
        <v>3</v>
      </c>
      <c r="N1062">
        <f>VLOOKUP(B1062,Customers!A:J,7,0)</f>
        <v>39</v>
      </c>
      <c r="O1062" t="str">
        <f>VLOOKUP(B1062,Customers!A:J,5,0)</f>
        <v>Dallas</v>
      </c>
      <c r="P1062" t="str">
        <f>VLOOKUP(B1062,Customers!A:J,10,0)</f>
        <v>Free</v>
      </c>
      <c r="Q1062" t="str">
        <f>VLOOKUP(B1062,Customers!A:J,8,0)</f>
        <v>Female</v>
      </c>
      <c r="R1062" t="b">
        <f t="shared" si="32"/>
        <v>1</v>
      </c>
      <c r="S1062" s="18">
        <f t="shared" si="33"/>
        <v>45352</v>
      </c>
    </row>
    <row r="1063" spans="1:19" x14ac:dyDescent="0.25">
      <c r="A1063" s="6" t="s">
        <v>2347</v>
      </c>
      <c r="B1063" s="7" t="s">
        <v>443</v>
      </c>
      <c r="C1063" s="15">
        <v>45425</v>
      </c>
      <c r="D1063" s="7" t="s">
        <v>710</v>
      </c>
      <c r="E1063" s="7" t="s">
        <v>744</v>
      </c>
      <c r="F1063" s="7">
        <v>29.99</v>
      </c>
      <c r="G1063" s="7">
        <v>1</v>
      </c>
      <c r="H1063" s="7">
        <v>0</v>
      </c>
      <c r="I1063" s="7">
        <v>29.99</v>
      </c>
      <c r="J1063" s="7">
        <v>29.99</v>
      </c>
      <c r="K1063" s="7" t="s">
        <v>682</v>
      </c>
      <c r="L1063" s="7" t="s">
        <v>656</v>
      </c>
      <c r="M1063" s="8">
        <v>3</v>
      </c>
      <c r="N1063">
        <f>VLOOKUP(B1063,Customers!A:J,7,0)</f>
        <v>47</v>
      </c>
      <c r="O1063" t="str">
        <f>VLOOKUP(B1063,Customers!A:J,5,0)</f>
        <v>San Jose</v>
      </c>
      <c r="P1063" t="str">
        <f>VLOOKUP(B1063,Customers!A:J,10,0)</f>
        <v>Silver</v>
      </c>
      <c r="Q1063" t="str">
        <f>VLOOKUP(B1063,Customers!A:J,8,0)</f>
        <v>Male</v>
      </c>
      <c r="R1063" t="b">
        <f t="shared" si="32"/>
        <v>1</v>
      </c>
      <c r="S1063" s="18">
        <f t="shared" si="33"/>
        <v>45413</v>
      </c>
    </row>
    <row r="1064" spans="1:19" x14ac:dyDescent="0.25">
      <c r="A1064" s="3" t="s">
        <v>2349</v>
      </c>
      <c r="B1064" s="4" t="s">
        <v>443</v>
      </c>
      <c r="C1064" s="14">
        <v>45401</v>
      </c>
      <c r="D1064" s="4" t="s">
        <v>653</v>
      </c>
      <c r="E1064" s="4" t="s">
        <v>654</v>
      </c>
      <c r="F1064" s="4">
        <v>39.99</v>
      </c>
      <c r="G1064" s="4">
        <v>2</v>
      </c>
      <c r="H1064" s="4">
        <v>20</v>
      </c>
      <c r="I1064" s="4">
        <v>31.99</v>
      </c>
      <c r="J1064" s="4">
        <v>63.98</v>
      </c>
      <c r="K1064" s="4" t="s">
        <v>669</v>
      </c>
      <c r="L1064" s="4" t="s">
        <v>656</v>
      </c>
      <c r="M1064" s="5">
        <v>5</v>
      </c>
      <c r="N1064">
        <f>VLOOKUP(B1064,Customers!A:J,7,0)</f>
        <v>47</v>
      </c>
      <c r="O1064" t="str">
        <f>VLOOKUP(B1064,Customers!A:J,5,0)</f>
        <v>San Jose</v>
      </c>
      <c r="P1064" t="str">
        <f>VLOOKUP(B1064,Customers!A:J,10,0)</f>
        <v>Silver</v>
      </c>
      <c r="Q1064" t="str">
        <f>VLOOKUP(B1064,Customers!A:J,8,0)</f>
        <v>Male</v>
      </c>
      <c r="R1064" t="b">
        <f t="shared" si="32"/>
        <v>1</v>
      </c>
      <c r="S1064" s="18">
        <f t="shared" si="33"/>
        <v>45383</v>
      </c>
    </row>
    <row r="1065" spans="1:19" x14ac:dyDescent="0.25">
      <c r="A1065" s="6" t="s">
        <v>2351</v>
      </c>
      <c r="B1065" s="7" t="s">
        <v>443</v>
      </c>
      <c r="C1065" s="15">
        <v>45586</v>
      </c>
      <c r="D1065" s="7" t="s">
        <v>672</v>
      </c>
      <c r="E1065" s="7" t="s">
        <v>673</v>
      </c>
      <c r="F1065" s="7">
        <v>24.99</v>
      </c>
      <c r="G1065" s="7">
        <v>3</v>
      </c>
      <c r="H1065" s="7">
        <v>20</v>
      </c>
      <c r="I1065" s="7">
        <v>19.989999999999998</v>
      </c>
      <c r="J1065" s="7">
        <v>59.97</v>
      </c>
      <c r="K1065" s="7" t="s">
        <v>682</v>
      </c>
      <c r="L1065" s="7" t="s">
        <v>656</v>
      </c>
      <c r="M1065" s="8"/>
      <c r="N1065">
        <f>VLOOKUP(B1065,Customers!A:J,7,0)</f>
        <v>47</v>
      </c>
      <c r="O1065" t="str">
        <f>VLOOKUP(B1065,Customers!A:J,5,0)</f>
        <v>San Jose</v>
      </c>
      <c r="P1065" t="str">
        <f>VLOOKUP(B1065,Customers!A:J,10,0)</f>
        <v>Silver</v>
      </c>
      <c r="Q1065" t="str">
        <f>VLOOKUP(B1065,Customers!A:J,8,0)</f>
        <v>Male</v>
      </c>
      <c r="R1065" t="b">
        <f t="shared" si="32"/>
        <v>1</v>
      </c>
      <c r="S1065" s="18">
        <f t="shared" si="33"/>
        <v>45566</v>
      </c>
    </row>
    <row r="1066" spans="1:19" x14ac:dyDescent="0.25">
      <c r="A1066" s="3" t="s">
        <v>2352</v>
      </c>
      <c r="B1066" s="4" t="s">
        <v>443</v>
      </c>
      <c r="C1066" s="14">
        <v>45541</v>
      </c>
      <c r="D1066" s="4" t="s">
        <v>684</v>
      </c>
      <c r="E1066" s="4" t="s">
        <v>705</v>
      </c>
      <c r="F1066" s="4">
        <v>79.989999999999995</v>
      </c>
      <c r="G1066" s="4">
        <v>3</v>
      </c>
      <c r="H1066" s="4">
        <v>20</v>
      </c>
      <c r="I1066" s="4">
        <v>63.99</v>
      </c>
      <c r="J1066" s="4">
        <v>191.97</v>
      </c>
      <c r="K1066" s="4" t="s">
        <v>655</v>
      </c>
      <c r="L1066" s="4" t="s">
        <v>656</v>
      </c>
      <c r="M1066" s="5">
        <v>4</v>
      </c>
      <c r="N1066">
        <f>VLOOKUP(B1066,Customers!A:J,7,0)</f>
        <v>47</v>
      </c>
      <c r="O1066" t="str">
        <f>VLOOKUP(B1066,Customers!A:J,5,0)</f>
        <v>San Jose</v>
      </c>
      <c r="P1066" t="str">
        <f>VLOOKUP(B1066,Customers!A:J,10,0)</f>
        <v>Silver</v>
      </c>
      <c r="Q1066" t="str">
        <f>VLOOKUP(B1066,Customers!A:J,8,0)</f>
        <v>Male</v>
      </c>
      <c r="R1066" t="b">
        <f t="shared" si="32"/>
        <v>1</v>
      </c>
      <c r="S1066" s="18">
        <f t="shared" si="33"/>
        <v>45536</v>
      </c>
    </row>
    <row r="1067" spans="1:19" x14ac:dyDescent="0.25">
      <c r="A1067" s="6" t="s">
        <v>2353</v>
      </c>
      <c r="B1067" s="7" t="s">
        <v>443</v>
      </c>
      <c r="C1067" s="15">
        <v>44762</v>
      </c>
      <c r="D1067" s="7" t="s">
        <v>672</v>
      </c>
      <c r="E1067" s="7" t="s">
        <v>673</v>
      </c>
      <c r="F1067" s="7">
        <v>24.99</v>
      </c>
      <c r="G1067" s="7">
        <v>2</v>
      </c>
      <c r="H1067" s="7">
        <v>0</v>
      </c>
      <c r="I1067" s="7">
        <v>24.99</v>
      </c>
      <c r="J1067" s="7">
        <v>49.98</v>
      </c>
      <c r="K1067" s="7" t="s">
        <v>669</v>
      </c>
      <c r="L1067" s="7" t="s">
        <v>656</v>
      </c>
      <c r="M1067" s="8">
        <v>4</v>
      </c>
      <c r="N1067">
        <f>VLOOKUP(B1067,Customers!A:J,7,0)</f>
        <v>47</v>
      </c>
      <c r="O1067" t="str">
        <f>VLOOKUP(B1067,Customers!A:J,5,0)</f>
        <v>San Jose</v>
      </c>
      <c r="P1067" t="str">
        <f>VLOOKUP(B1067,Customers!A:J,10,0)</f>
        <v>Silver</v>
      </c>
      <c r="Q1067" t="str">
        <f>VLOOKUP(B1067,Customers!A:J,8,0)</f>
        <v>Male</v>
      </c>
      <c r="R1067" t="b">
        <f t="shared" si="32"/>
        <v>1</v>
      </c>
      <c r="S1067" s="18">
        <f t="shared" si="33"/>
        <v>44743</v>
      </c>
    </row>
    <row r="1068" spans="1:19" x14ac:dyDescent="0.25">
      <c r="A1068" s="3" t="s">
        <v>2354</v>
      </c>
      <c r="B1068" s="4" t="s">
        <v>446</v>
      </c>
      <c r="C1068" s="14">
        <v>45196</v>
      </c>
      <c r="D1068" s="4" t="s">
        <v>667</v>
      </c>
      <c r="E1068" s="4" t="s">
        <v>696</v>
      </c>
      <c r="F1068" s="4">
        <v>59.99</v>
      </c>
      <c r="G1068" s="4">
        <v>4</v>
      </c>
      <c r="H1068" s="4">
        <v>10</v>
      </c>
      <c r="I1068" s="4">
        <v>53.99</v>
      </c>
      <c r="J1068" s="4">
        <v>215.96</v>
      </c>
      <c r="K1068" s="4" t="s">
        <v>682</v>
      </c>
      <c r="L1068" s="4" t="s">
        <v>656</v>
      </c>
      <c r="M1068" s="5">
        <v>4</v>
      </c>
      <c r="N1068">
        <f>VLOOKUP(B1068,Customers!A:J,7,0)</f>
        <v>41</v>
      </c>
      <c r="O1068" t="str">
        <f>VLOOKUP(B1068,Customers!A:J,5,0)</f>
        <v>San Antonio</v>
      </c>
      <c r="P1068" t="str">
        <f>VLOOKUP(B1068,Customers!A:J,10,0)</f>
        <v>Silver</v>
      </c>
      <c r="Q1068" t="str">
        <f>VLOOKUP(B1068,Customers!A:J,8,0)</f>
        <v>Female</v>
      </c>
      <c r="R1068" t="b">
        <f t="shared" si="32"/>
        <v>1</v>
      </c>
      <c r="S1068" s="18">
        <f t="shared" si="33"/>
        <v>45170</v>
      </c>
    </row>
    <row r="1069" spans="1:19" x14ac:dyDescent="0.25">
      <c r="A1069" s="6" t="s">
        <v>2355</v>
      </c>
      <c r="B1069" s="7" t="s">
        <v>446</v>
      </c>
      <c r="C1069" s="15">
        <v>45618</v>
      </c>
      <c r="D1069" s="7" t="s">
        <v>684</v>
      </c>
      <c r="E1069" s="7" t="s">
        <v>815</v>
      </c>
      <c r="F1069" s="7">
        <v>34.99</v>
      </c>
      <c r="G1069" s="7">
        <v>4</v>
      </c>
      <c r="H1069" s="7">
        <v>20</v>
      </c>
      <c r="I1069" s="7">
        <v>27.99</v>
      </c>
      <c r="J1069" s="7">
        <v>111.96</v>
      </c>
      <c r="K1069" s="7" t="s">
        <v>661</v>
      </c>
      <c r="L1069" s="7" t="s">
        <v>656</v>
      </c>
      <c r="M1069" s="8">
        <v>4</v>
      </c>
      <c r="N1069">
        <f>VLOOKUP(B1069,Customers!A:J,7,0)</f>
        <v>41</v>
      </c>
      <c r="O1069" t="str">
        <f>VLOOKUP(B1069,Customers!A:J,5,0)</f>
        <v>San Antonio</v>
      </c>
      <c r="P1069" t="str">
        <f>VLOOKUP(B1069,Customers!A:J,10,0)</f>
        <v>Silver</v>
      </c>
      <c r="Q1069" t="str">
        <f>VLOOKUP(B1069,Customers!A:J,8,0)</f>
        <v>Female</v>
      </c>
      <c r="R1069" t="b">
        <f t="shared" si="32"/>
        <v>1</v>
      </c>
      <c r="S1069" s="18">
        <f t="shared" si="33"/>
        <v>45597</v>
      </c>
    </row>
    <row r="1070" spans="1:19" x14ac:dyDescent="0.25">
      <c r="A1070" s="3" t="s">
        <v>2356</v>
      </c>
      <c r="B1070" s="4" t="s">
        <v>446</v>
      </c>
      <c r="C1070" s="14">
        <v>45600</v>
      </c>
      <c r="D1070" s="4" t="s">
        <v>710</v>
      </c>
      <c r="E1070" s="4" t="s">
        <v>711</v>
      </c>
      <c r="F1070" s="4">
        <v>14.99</v>
      </c>
      <c r="G1070" s="4">
        <v>3</v>
      </c>
      <c r="H1070" s="4">
        <v>20</v>
      </c>
      <c r="I1070" s="4">
        <v>11.99</v>
      </c>
      <c r="J1070" s="4">
        <v>35.97</v>
      </c>
      <c r="K1070" s="4" t="s">
        <v>675</v>
      </c>
      <c r="L1070" s="4" t="s">
        <v>656</v>
      </c>
      <c r="M1070" s="5">
        <v>5</v>
      </c>
      <c r="N1070">
        <f>VLOOKUP(B1070,Customers!A:J,7,0)</f>
        <v>41</v>
      </c>
      <c r="O1070" t="str">
        <f>VLOOKUP(B1070,Customers!A:J,5,0)</f>
        <v>San Antonio</v>
      </c>
      <c r="P1070" t="str">
        <f>VLOOKUP(B1070,Customers!A:J,10,0)</f>
        <v>Silver</v>
      </c>
      <c r="Q1070" t="str">
        <f>VLOOKUP(B1070,Customers!A:J,8,0)</f>
        <v>Female</v>
      </c>
      <c r="R1070" t="b">
        <f t="shared" si="32"/>
        <v>1</v>
      </c>
      <c r="S1070" s="18">
        <f t="shared" si="33"/>
        <v>45597</v>
      </c>
    </row>
    <row r="1071" spans="1:19" x14ac:dyDescent="0.25">
      <c r="A1071" s="6" t="s">
        <v>2357</v>
      </c>
      <c r="B1071" s="7" t="s">
        <v>446</v>
      </c>
      <c r="C1071" s="15">
        <v>45367</v>
      </c>
      <c r="D1071" s="7" t="s">
        <v>672</v>
      </c>
      <c r="E1071" s="7" t="s">
        <v>735</v>
      </c>
      <c r="F1071" s="7">
        <v>44.99</v>
      </c>
      <c r="G1071" s="7">
        <v>2</v>
      </c>
      <c r="H1071" s="7">
        <v>10</v>
      </c>
      <c r="I1071" s="7">
        <v>40.49</v>
      </c>
      <c r="J1071" s="7">
        <v>80.98</v>
      </c>
      <c r="K1071" s="7" t="s">
        <v>655</v>
      </c>
      <c r="L1071" s="7" t="s">
        <v>656</v>
      </c>
      <c r="M1071" s="8">
        <v>4</v>
      </c>
      <c r="N1071">
        <f>VLOOKUP(B1071,Customers!A:J,7,0)</f>
        <v>41</v>
      </c>
      <c r="O1071" t="str">
        <f>VLOOKUP(B1071,Customers!A:J,5,0)</f>
        <v>San Antonio</v>
      </c>
      <c r="P1071" t="str">
        <f>VLOOKUP(B1071,Customers!A:J,10,0)</f>
        <v>Silver</v>
      </c>
      <c r="Q1071" t="str">
        <f>VLOOKUP(B1071,Customers!A:J,8,0)</f>
        <v>Female</v>
      </c>
      <c r="R1071" t="b">
        <f t="shared" si="32"/>
        <v>1</v>
      </c>
      <c r="S1071" s="18">
        <f t="shared" si="33"/>
        <v>45352</v>
      </c>
    </row>
    <row r="1072" spans="1:19" x14ac:dyDescent="0.25">
      <c r="A1072" s="3" t="s">
        <v>2358</v>
      </c>
      <c r="B1072" s="4" t="s">
        <v>446</v>
      </c>
      <c r="C1072" s="14">
        <v>45357</v>
      </c>
      <c r="D1072" s="4" t="s">
        <v>667</v>
      </c>
      <c r="E1072" s="4" t="s">
        <v>699</v>
      </c>
      <c r="F1072" s="4">
        <v>89.99</v>
      </c>
      <c r="G1072" s="4">
        <v>3</v>
      </c>
      <c r="H1072" s="4">
        <v>0</v>
      </c>
      <c r="I1072" s="4">
        <v>89.99</v>
      </c>
      <c r="J1072" s="4">
        <v>269.97000000000003</v>
      </c>
      <c r="K1072" s="4" t="s">
        <v>675</v>
      </c>
      <c r="L1072" s="4" t="s">
        <v>656</v>
      </c>
      <c r="M1072" s="5">
        <v>5</v>
      </c>
      <c r="N1072">
        <f>VLOOKUP(B1072,Customers!A:J,7,0)</f>
        <v>41</v>
      </c>
      <c r="O1072" t="str">
        <f>VLOOKUP(B1072,Customers!A:J,5,0)</f>
        <v>San Antonio</v>
      </c>
      <c r="P1072" t="str">
        <f>VLOOKUP(B1072,Customers!A:J,10,0)</f>
        <v>Silver</v>
      </c>
      <c r="Q1072" t="str">
        <f>VLOOKUP(B1072,Customers!A:J,8,0)</f>
        <v>Female</v>
      </c>
      <c r="R1072" t="b">
        <f t="shared" si="32"/>
        <v>1</v>
      </c>
      <c r="S1072" s="18">
        <f t="shared" si="33"/>
        <v>45352</v>
      </c>
    </row>
    <row r="1073" spans="1:19" x14ac:dyDescent="0.25">
      <c r="A1073" s="6" t="s">
        <v>2360</v>
      </c>
      <c r="B1073" s="7" t="s">
        <v>446</v>
      </c>
      <c r="C1073" s="15">
        <v>45126</v>
      </c>
      <c r="D1073" s="7" t="s">
        <v>667</v>
      </c>
      <c r="E1073" s="7" t="s">
        <v>714</v>
      </c>
      <c r="F1073" s="7">
        <v>44.99</v>
      </c>
      <c r="G1073" s="7">
        <v>1</v>
      </c>
      <c r="H1073" s="7">
        <v>0</v>
      </c>
      <c r="I1073" s="7">
        <v>44.99</v>
      </c>
      <c r="J1073" s="7">
        <v>44.99</v>
      </c>
      <c r="K1073" s="7" t="s">
        <v>661</v>
      </c>
      <c r="L1073" s="7" t="s">
        <v>788</v>
      </c>
      <c r="M1073" s="8"/>
      <c r="N1073">
        <f>VLOOKUP(B1073,Customers!A:J,7,0)</f>
        <v>41</v>
      </c>
      <c r="O1073" t="str">
        <f>VLOOKUP(B1073,Customers!A:J,5,0)</f>
        <v>San Antonio</v>
      </c>
      <c r="P1073" t="str">
        <f>VLOOKUP(B1073,Customers!A:J,10,0)</f>
        <v>Silver</v>
      </c>
      <c r="Q1073" t="str">
        <f>VLOOKUP(B1073,Customers!A:J,8,0)</f>
        <v>Female</v>
      </c>
      <c r="R1073" t="b">
        <f t="shared" si="32"/>
        <v>1</v>
      </c>
      <c r="S1073" s="18">
        <f t="shared" si="33"/>
        <v>45108</v>
      </c>
    </row>
    <row r="1074" spans="1:19" x14ac:dyDescent="0.25">
      <c r="A1074" s="3" t="s">
        <v>2362</v>
      </c>
      <c r="B1074" s="4" t="s">
        <v>446</v>
      </c>
      <c r="C1074" s="14">
        <v>44735</v>
      </c>
      <c r="D1074" s="4" t="s">
        <v>710</v>
      </c>
      <c r="E1074" s="4" t="s">
        <v>721</v>
      </c>
      <c r="F1074" s="4">
        <v>24.99</v>
      </c>
      <c r="G1074" s="4">
        <v>3</v>
      </c>
      <c r="H1074" s="4">
        <v>0</v>
      </c>
      <c r="I1074" s="4">
        <v>24.99</v>
      </c>
      <c r="J1074" s="4">
        <v>74.97</v>
      </c>
      <c r="K1074" s="4" t="s">
        <v>675</v>
      </c>
      <c r="L1074" s="4" t="s">
        <v>656</v>
      </c>
      <c r="M1074" s="5"/>
      <c r="N1074">
        <f>VLOOKUP(B1074,Customers!A:J,7,0)</f>
        <v>41</v>
      </c>
      <c r="O1074" t="str">
        <f>VLOOKUP(B1074,Customers!A:J,5,0)</f>
        <v>San Antonio</v>
      </c>
      <c r="P1074" t="str">
        <f>VLOOKUP(B1074,Customers!A:J,10,0)</f>
        <v>Silver</v>
      </c>
      <c r="Q1074" t="str">
        <f>VLOOKUP(B1074,Customers!A:J,8,0)</f>
        <v>Female</v>
      </c>
      <c r="R1074" t="b">
        <f t="shared" si="32"/>
        <v>1</v>
      </c>
      <c r="S1074" s="18">
        <f t="shared" si="33"/>
        <v>44713</v>
      </c>
    </row>
    <row r="1075" spans="1:19" x14ac:dyDescent="0.25">
      <c r="A1075" s="6" t="s">
        <v>2363</v>
      </c>
      <c r="B1075" s="7" t="s">
        <v>446</v>
      </c>
      <c r="C1075" s="15">
        <v>44817</v>
      </c>
      <c r="D1075" s="7" t="s">
        <v>684</v>
      </c>
      <c r="E1075" s="7" t="s">
        <v>702</v>
      </c>
      <c r="F1075" s="7">
        <v>199.99</v>
      </c>
      <c r="G1075" s="7">
        <v>1</v>
      </c>
      <c r="H1075" s="7">
        <v>0</v>
      </c>
      <c r="I1075" s="7">
        <v>199.99</v>
      </c>
      <c r="J1075" s="7">
        <v>199.99</v>
      </c>
      <c r="K1075" s="7" t="s">
        <v>661</v>
      </c>
      <c r="L1075" s="7" t="s">
        <v>656</v>
      </c>
      <c r="M1075" s="8"/>
      <c r="N1075">
        <f>VLOOKUP(B1075,Customers!A:J,7,0)</f>
        <v>41</v>
      </c>
      <c r="O1075" t="str">
        <f>VLOOKUP(B1075,Customers!A:J,5,0)</f>
        <v>San Antonio</v>
      </c>
      <c r="P1075" t="str">
        <f>VLOOKUP(B1075,Customers!A:J,10,0)</f>
        <v>Silver</v>
      </c>
      <c r="Q1075" t="str">
        <f>VLOOKUP(B1075,Customers!A:J,8,0)</f>
        <v>Female</v>
      </c>
      <c r="R1075" t="b">
        <f t="shared" si="32"/>
        <v>1</v>
      </c>
      <c r="S1075" s="18">
        <f t="shared" si="33"/>
        <v>44805</v>
      </c>
    </row>
    <row r="1076" spans="1:19" x14ac:dyDescent="0.25">
      <c r="A1076" s="3" t="s">
        <v>2364</v>
      </c>
      <c r="B1076" s="4" t="s">
        <v>446</v>
      </c>
      <c r="C1076" s="14">
        <v>45393</v>
      </c>
      <c r="D1076" s="4" t="s">
        <v>680</v>
      </c>
      <c r="E1076" s="4" t="s">
        <v>688</v>
      </c>
      <c r="F1076" s="4">
        <v>29.99</v>
      </c>
      <c r="G1076" s="4">
        <v>2</v>
      </c>
      <c r="H1076" s="4">
        <v>20</v>
      </c>
      <c r="I1076" s="4">
        <v>23.99</v>
      </c>
      <c r="J1076" s="4">
        <v>47.98</v>
      </c>
      <c r="K1076" s="4" t="s">
        <v>675</v>
      </c>
      <c r="L1076" s="4" t="s">
        <v>656</v>
      </c>
      <c r="M1076" s="5">
        <v>4</v>
      </c>
      <c r="N1076">
        <f>VLOOKUP(B1076,Customers!A:J,7,0)</f>
        <v>41</v>
      </c>
      <c r="O1076" t="str">
        <f>VLOOKUP(B1076,Customers!A:J,5,0)</f>
        <v>San Antonio</v>
      </c>
      <c r="P1076" t="str">
        <f>VLOOKUP(B1076,Customers!A:J,10,0)</f>
        <v>Silver</v>
      </c>
      <c r="Q1076" t="str">
        <f>VLOOKUP(B1076,Customers!A:J,8,0)</f>
        <v>Female</v>
      </c>
      <c r="R1076" t="b">
        <f t="shared" si="32"/>
        <v>1</v>
      </c>
      <c r="S1076" s="18">
        <f t="shared" si="33"/>
        <v>45383</v>
      </c>
    </row>
    <row r="1077" spans="1:19" x14ac:dyDescent="0.25">
      <c r="A1077" s="6" t="s">
        <v>2365</v>
      </c>
      <c r="B1077" s="7" t="s">
        <v>446</v>
      </c>
      <c r="C1077" s="15">
        <v>44798</v>
      </c>
      <c r="D1077" s="7" t="s">
        <v>659</v>
      </c>
      <c r="E1077" s="7" t="s">
        <v>762</v>
      </c>
      <c r="F1077" s="7">
        <v>49.99</v>
      </c>
      <c r="G1077" s="7">
        <v>1</v>
      </c>
      <c r="H1077" s="7">
        <v>0</v>
      </c>
      <c r="I1077" s="7">
        <v>49.99</v>
      </c>
      <c r="J1077" s="7">
        <v>49.99</v>
      </c>
      <c r="K1077" s="7" t="s">
        <v>661</v>
      </c>
      <c r="L1077" s="7" t="s">
        <v>656</v>
      </c>
      <c r="M1077" s="8">
        <v>3</v>
      </c>
      <c r="N1077">
        <f>VLOOKUP(B1077,Customers!A:J,7,0)</f>
        <v>41</v>
      </c>
      <c r="O1077" t="str">
        <f>VLOOKUP(B1077,Customers!A:J,5,0)</f>
        <v>San Antonio</v>
      </c>
      <c r="P1077" t="str">
        <f>VLOOKUP(B1077,Customers!A:J,10,0)</f>
        <v>Silver</v>
      </c>
      <c r="Q1077" t="str">
        <f>VLOOKUP(B1077,Customers!A:J,8,0)</f>
        <v>Female</v>
      </c>
      <c r="R1077" t="b">
        <f t="shared" si="32"/>
        <v>1</v>
      </c>
      <c r="S1077" s="18">
        <f t="shared" si="33"/>
        <v>44774</v>
      </c>
    </row>
    <row r="1078" spans="1:19" x14ac:dyDescent="0.25">
      <c r="A1078" s="3" t="s">
        <v>2367</v>
      </c>
      <c r="B1078" s="4" t="s">
        <v>446</v>
      </c>
      <c r="C1078" s="14">
        <v>45482</v>
      </c>
      <c r="D1078" s="4" t="s">
        <v>684</v>
      </c>
      <c r="E1078" s="4" t="s">
        <v>702</v>
      </c>
      <c r="F1078" s="4">
        <v>199.99</v>
      </c>
      <c r="G1078" s="4">
        <v>1</v>
      </c>
      <c r="H1078" s="4">
        <v>0</v>
      </c>
      <c r="I1078" s="4">
        <v>199.99</v>
      </c>
      <c r="J1078" s="4">
        <v>199.99</v>
      </c>
      <c r="K1078" s="4" t="s">
        <v>669</v>
      </c>
      <c r="L1078" s="4" t="s">
        <v>656</v>
      </c>
      <c r="M1078" s="5">
        <v>5</v>
      </c>
      <c r="N1078">
        <f>VLOOKUP(B1078,Customers!A:J,7,0)</f>
        <v>41</v>
      </c>
      <c r="O1078" t="str">
        <f>VLOOKUP(B1078,Customers!A:J,5,0)</f>
        <v>San Antonio</v>
      </c>
      <c r="P1078" t="str">
        <f>VLOOKUP(B1078,Customers!A:J,10,0)</f>
        <v>Silver</v>
      </c>
      <c r="Q1078" t="str">
        <f>VLOOKUP(B1078,Customers!A:J,8,0)</f>
        <v>Female</v>
      </c>
      <c r="R1078" t="b">
        <f t="shared" si="32"/>
        <v>1</v>
      </c>
      <c r="S1078" s="18">
        <f t="shared" si="33"/>
        <v>45474</v>
      </c>
    </row>
    <row r="1079" spans="1:19" x14ac:dyDescent="0.25">
      <c r="A1079" s="6" t="s">
        <v>2369</v>
      </c>
      <c r="B1079" s="7" t="s">
        <v>449</v>
      </c>
      <c r="C1079" s="15">
        <v>45585</v>
      </c>
      <c r="D1079" s="7" t="s">
        <v>672</v>
      </c>
      <c r="E1079" s="7" t="s">
        <v>673</v>
      </c>
      <c r="F1079" s="7">
        <v>24.99</v>
      </c>
      <c r="G1079" s="7">
        <v>1</v>
      </c>
      <c r="H1079" s="7">
        <v>20</v>
      </c>
      <c r="I1079" s="7">
        <v>19.989999999999998</v>
      </c>
      <c r="J1079" s="7">
        <v>19.989999999999998</v>
      </c>
      <c r="K1079" s="7" t="s">
        <v>675</v>
      </c>
      <c r="L1079" s="7" t="s">
        <v>656</v>
      </c>
      <c r="M1079" s="8">
        <v>4</v>
      </c>
      <c r="N1079">
        <f>VLOOKUP(B1079,Customers!A:J,7,0)</f>
        <v>57</v>
      </c>
      <c r="O1079" t="str">
        <f>VLOOKUP(B1079,Customers!A:J,5,0)</f>
        <v>Phoenix</v>
      </c>
      <c r="P1079" t="str">
        <f>VLOOKUP(B1079,Customers!A:J,10,0)</f>
        <v>Silver</v>
      </c>
      <c r="Q1079" t="str">
        <f>VLOOKUP(B1079,Customers!A:J,8,0)</f>
        <v>Male</v>
      </c>
      <c r="R1079" t="b">
        <f t="shared" si="32"/>
        <v>1</v>
      </c>
      <c r="S1079" s="18">
        <f t="shared" si="33"/>
        <v>45566</v>
      </c>
    </row>
    <row r="1080" spans="1:19" x14ac:dyDescent="0.25">
      <c r="A1080" s="3" t="s">
        <v>2371</v>
      </c>
      <c r="B1080" s="4" t="s">
        <v>449</v>
      </c>
      <c r="C1080" s="14">
        <v>45267</v>
      </c>
      <c r="D1080" s="4" t="s">
        <v>684</v>
      </c>
      <c r="E1080" s="4" t="s">
        <v>702</v>
      </c>
      <c r="F1080" s="4">
        <v>199.99</v>
      </c>
      <c r="G1080" s="4">
        <v>3</v>
      </c>
      <c r="H1080" s="4">
        <v>15</v>
      </c>
      <c r="I1080" s="4">
        <v>169.99</v>
      </c>
      <c r="J1080" s="4">
        <v>509.97</v>
      </c>
      <c r="K1080" s="4" t="s">
        <v>669</v>
      </c>
      <c r="L1080" s="4" t="s">
        <v>656</v>
      </c>
      <c r="M1080" s="5"/>
      <c r="N1080">
        <f>VLOOKUP(B1080,Customers!A:J,7,0)</f>
        <v>57</v>
      </c>
      <c r="O1080" t="str">
        <f>VLOOKUP(B1080,Customers!A:J,5,0)</f>
        <v>Phoenix</v>
      </c>
      <c r="P1080" t="str">
        <f>VLOOKUP(B1080,Customers!A:J,10,0)</f>
        <v>Silver</v>
      </c>
      <c r="Q1080" t="str">
        <f>VLOOKUP(B1080,Customers!A:J,8,0)</f>
        <v>Male</v>
      </c>
      <c r="R1080" t="b">
        <f t="shared" si="32"/>
        <v>1</v>
      </c>
      <c r="S1080" s="18">
        <f t="shared" si="33"/>
        <v>45261</v>
      </c>
    </row>
    <row r="1081" spans="1:19" x14ac:dyDescent="0.25">
      <c r="A1081" s="6" t="s">
        <v>2373</v>
      </c>
      <c r="B1081" s="7" t="s">
        <v>449</v>
      </c>
      <c r="C1081" s="15">
        <v>44837</v>
      </c>
      <c r="D1081" s="7" t="s">
        <v>672</v>
      </c>
      <c r="E1081" s="7" t="s">
        <v>803</v>
      </c>
      <c r="F1081" s="7">
        <v>69.989999999999995</v>
      </c>
      <c r="G1081" s="7">
        <v>2</v>
      </c>
      <c r="H1081" s="7">
        <v>20</v>
      </c>
      <c r="I1081" s="7">
        <v>55.99</v>
      </c>
      <c r="J1081" s="7">
        <v>111.98</v>
      </c>
      <c r="K1081" s="7" t="s">
        <v>675</v>
      </c>
      <c r="L1081" s="7" t="s">
        <v>656</v>
      </c>
      <c r="M1081" s="8"/>
      <c r="N1081">
        <f>VLOOKUP(B1081,Customers!A:J,7,0)</f>
        <v>57</v>
      </c>
      <c r="O1081" t="str">
        <f>VLOOKUP(B1081,Customers!A:J,5,0)</f>
        <v>Phoenix</v>
      </c>
      <c r="P1081" t="str">
        <f>VLOOKUP(B1081,Customers!A:J,10,0)</f>
        <v>Silver</v>
      </c>
      <c r="Q1081" t="str">
        <f>VLOOKUP(B1081,Customers!A:J,8,0)</f>
        <v>Male</v>
      </c>
      <c r="R1081" t="b">
        <f t="shared" si="32"/>
        <v>1</v>
      </c>
      <c r="S1081" s="18">
        <f t="shared" si="33"/>
        <v>44835</v>
      </c>
    </row>
    <row r="1082" spans="1:19" x14ac:dyDescent="0.25">
      <c r="A1082" s="3" t="s">
        <v>2375</v>
      </c>
      <c r="B1082" s="4" t="s">
        <v>449</v>
      </c>
      <c r="C1082" s="14">
        <v>45527</v>
      </c>
      <c r="D1082" s="4" t="s">
        <v>667</v>
      </c>
      <c r="E1082" s="4" t="s">
        <v>714</v>
      </c>
      <c r="F1082" s="4">
        <v>44.99</v>
      </c>
      <c r="G1082" s="4">
        <v>3</v>
      </c>
      <c r="H1082" s="4">
        <v>0</v>
      </c>
      <c r="I1082" s="4">
        <v>44.99</v>
      </c>
      <c r="J1082" s="4">
        <v>134.97</v>
      </c>
      <c r="K1082" s="4" t="s">
        <v>682</v>
      </c>
      <c r="L1082" s="4" t="s">
        <v>656</v>
      </c>
      <c r="M1082" s="5">
        <v>3</v>
      </c>
      <c r="N1082">
        <f>VLOOKUP(B1082,Customers!A:J,7,0)</f>
        <v>57</v>
      </c>
      <c r="O1082" t="str">
        <f>VLOOKUP(B1082,Customers!A:J,5,0)</f>
        <v>Phoenix</v>
      </c>
      <c r="P1082" t="str">
        <f>VLOOKUP(B1082,Customers!A:J,10,0)</f>
        <v>Silver</v>
      </c>
      <c r="Q1082" t="str">
        <f>VLOOKUP(B1082,Customers!A:J,8,0)</f>
        <v>Male</v>
      </c>
      <c r="R1082" t="b">
        <f t="shared" si="32"/>
        <v>1</v>
      </c>
      <c r="S1082" s="18">
        <f t="shared" si="33"/>
        <v>45505</v>
      </c>
    </row>
    <row r="1083" spans="1:19" x14ac:dyDescent="0.25">
      <c r="A1083" s="6" t="s">
        <v>2377</v>
      </c>
      <c r="B1083" s="7" t="s">
        <v>449</v>
      </c>
      <c r="C1083" s="15">
        <v>44706</v>
      </c>
      <c r="D1083" s="7" t="s">
        <v>653</v>
      </c>
      <c r="E1083" s="7" t="s">
        <v>654</v>
      </c>
      <c r="F1083" s="7">
        <v>39.99</v>
      </c>
      <c r="G1083" s="7">
        <v>2</v>
      </c>
      <c r="H1083" s="7">
        <v>10</v>
      </c>
      <c r="I1083" s="7">
        <v>35.99</v>
      </c>
      <c r="J1083" s="7">
        <v>71.98</v>
      </c>
      <c r="K1083" s="7" t="s">
        <v>661</v>
      </c>
      <c r="L1083" s="7" t="s">
        <v>656</v>
      </c>
      <c r="M1083" s="8">
        <v>5</v>
      </c>
      <c r="N1083">
        <f>VLOOKUP(B1083,Customers!A:J,7,0)</f>
        <v>57</v>
      </c>
      <c r="O1083" t="str">
        <f>VLOOKUP(B1083,Customers!A:J,5,0)</f>
        <v>Phoenix</v>
      </c>
      <c r="P1083" t="str">
        <f>VLOOKUP(B1083,Customers!A:J,10,0)</f>
        <v>Silver</v>
      </c>
      <c r="Q1083" t="str">
        <f>VLOOKUP(B1083,Customers!A:J,8,0)</f>
        <v>Male</v>
      </c>
      <c r="R1083" t="b">
        <f t="shared" si="32"/>
        <v>1</v>
      </c>
      <c r="S1083" s="18">
        <f t="shared" si="33"/>
        <v>44682</v>
      </c>
    </row>
    <row r="1084" spans="1:19" x14ac:dyDescent="0.25">
      <c r="A1084" s="3" t="s">
        <v>2378</v>
      </c>
      <c r="B1084" s="4" t="s">
        <v>449</v>
      </c>
      <c r="C1084" s="14">
        <v>45616</v>
      </c>
      <c r="D1084" s="4" t="s">
        <v>659</v>
      </c>
      <c r="E1084" s="4" t="s">
        <v>664</v>
      </c>
      <c r="F1084" s="4">
        <v>24.99</v>
      </c>
      <c r="G1084" s="4">
        <v>1</v>
      </c>
      <c r="H1084" s="4">
        <v>20</v>
      </c>
      <c r="I1084" s="4">
        <v>19.989999999999998</v>
      </c>
      <c r="J1084" s="4">
        <v>19.989999999999998</v>
      </c>
      <c r="K1084" s="4" t="s">
        <v>669</v>
      </c>
      <c r="L1084" s="4" t="s">
        <v>656</v>
      </c>
      <c r="M1084" s="5">
        <v>3</v>
      </c>
      <c r="N1084">
        <f>VLOOKUP(B1084,Customers!A:J,7,0)</f>
        <v>57</v>
      </c>
      <c r="O1084" t="str">
        <f>VLOOKUP(B1084,Customers!A:J,5,0)</f>
        <v>Phoenix</v>
      </c>
      <c r="P1084" t="str">
        <f>VLOOKUP(B1084,Customers!A:J,10,0)</f>
        <v>Silver</v>
      </c>
      <c r="Q1084" t="str">
        <f>VLOOKUP(B1084,Customers!A:J,8,0)</f>
        <v>Male</v>
      </c>
      <c r="R1084" t="b">
        <f t="shared" si="32"/>
        <v>1</v>
      </c>
      <c r="S1084" s="18">
        <f t="shared" si="33"/>
        <v>45597</v>
      </c>
    </row>
    <row r="1085" spans="1:19" x14ac:dyDescent="0.25">
      <c r="A1085" s="6" t="s">
        <v>2379</v>
      </c>
      <c r="B1085" s="7" t="s">
        <v>449</v>
      </c>
      <c r="C1085" s="15">
        <v>45011</v>
      </c>
      <c r="D1085" s="7" t="s">
        <v>659</v>
      </c>
      <c r="E1085" s="7" t="s">
        <v>660</v>
      </c>
      <c r="F1085" s="7">
        <v>19.989999999999998</v>
      </c>
      <c r="G1085" s="7">
        <v>2</v>
      </c>
      <c r="H1085" s="7">
        <v>0</v>
      </c>
      <c r="I1085" s="7">
        <v>19.989999999999998</v>
      </c>
      <c r="J1085" s="7">
        <v>39.979999999999997</v>
      </c>
      <c r="K1085" s="7" t="s">
        <v>675</v>
      </c>
      <c r="L1085" s="7" t="s">
        <v>656</v>
      </c>
      <c r="M1085" s="8">
        <v>5</v>
      </c>
      <c r="N1085">
        <f>VLOOKUP(B1085,Customers!A:J,7,0)</f>
        <v>57</v>
      </c>
      <c r="O1085" t="str">
        <f>VLOOKUP(B1085,Customers!A:J,5,0)</f>
        <v>Phoenix</v>
      </c>
      <c r="P1085" t="str">
        <f>VLOOKUP(B1085,Customers!A:J,10,0)</f>
        <v>Silver</v>
      </c>
      <c r="Q1085" t="str">
        <f>VLOOKUP(B1085,Customers!A:J,8,0)</f>
        <v>Male</v>
      </c>
      <c r="R1085" t="b">
        <f t="shared" si="32"/>
        <v>1</v>
      </c>
      <c r="S1085" s="18">
        <f t="shared" si="33"/>
        <v>44986</v>
      </c>
    </row>
    <row r="1086" spans="1:19" x14ac:dyDescent="0.25">
      <c r="A1086" s="3" t="s">
        <v>2380</v>
      </c>
      <c r="B1086" s="4" t="s">
        <v>449</v>
      </c>
      <c r="C1086" s="14">
        <v>44931</v>
      </c>
      <c r="D1086" s="4" t="s">
        <v>653</v>
      </c>
      <c r="E1086" s="4" t="s">
        <v>769</v>
      </c>
      <c r="F1086" s="4">
        <v>49.99</v>
      </c>
      <c r="G1086" s="4">
        <v>4</v>
      </c>
      <c r="H1086" s="4">
        <v>5</v>
      </c>
      <c r="I1086" s="4">
        <v>47.49</v>
      </c>
      <c r="J1086" s="4">
        <v>189.96</v>
      </c>
      <c r="K1086" s="4" t="s">
        <v>669</v>
      </c>
      <c r="L1086" s="4" t="s">
        <v>656</v>
      </c>
      <c r="M1086" s="5">
        <v>4</v>
      </c>
      <c r="N1086">
        <f>VLOOKUP(B1086,Customers!A:J,7,0)</f>
        <v>57</v>
      </c>
      <c r="O1086" t="str">
        <f>VLOOKUP(B1086,Customers!A:J,5,0)</f>
        <v>Phoenix</v>
      </c>
      <c r="P1086" t="str">
        <f>VLOOKUP(B1086,Customers!A:J,10,0)</f>
        <v>Silver</v>
      </c>
      <c r="Q1086" t="str">
        <f>VLOOKUP(B1086,Customers!A:J,8,0)</f>
        <v>Male</v>
      </c>
      <c r="R1086" t="b">
        <f t="shared" si="32"/>
        <v>1</v>
      </c>
      <c r="S1086" s="18">
        <f t="shared" si="33"/>
        <v>44927</v>
      </c>
    </row>
    <row r="1087" spans="1:19" x14ac:dyDescent="0.25">
      <c r="A1087" s="6" t="s">
        <v>2381</v>
      </c>
      <c r="B1087" s="7" t="s">
        <v>449</v>
      </c>
      <c r="C1087" s="15">
        <v>44789</v>
      </c>
      <c r="D1087" s="7" t="s">
        <v>653</v>
      </c>
      <c r="E1087" s="7" t="s">
        <v>654</v>
      </c>
      <c r="F1087" s="7">
        <v>39.99</v>
      </c>
      <c r="G1087" s="7">
        <v>3</v>
      </c>
      <c r="H1087" s="7">
        <v>0</v>
      </c>
      <c r="I1087" s="7">
        <v>39.99</v>
      </c>
      <c r="J1087" s="7">
        <v>119.97</v>
      </c>
      <c r="K1087" s="7" t="s">
        <v>682</v>
      </c>
      <c r="L1087" s="7" t="s">
        <v>656</v>
      </c>
      <c r="M1087" s="8">
        <v>5</v>
      </c>
      <c r="N1087">
        <f>VLOOKUP(B1087,Customers!A:J,7,0)</f>
        <v>57</v>
      </c>
      <c r="O1087" t="str">
        <f>VLOOKUP(B1087,Customers!A:J,5,0)</f>
        <v>Phoenix</v>
      </c>
      <c r="P1087" t="str">
        <f>VLOOKUP(B1087,Customers!A:J,10,0)</f>
        <v>Silver</v>
      </c>
      <c r="Q1087" t="str">
        <f>VLOOKUP(B1087,Customers!A:J,8,0)</f>
        <v>Male</v>
      </c>
      <c r="R1087" t="b">
        <f t="shared" si="32"/>
        <v>1</v>
      </c>
      <c r="S1087" s="18">
        <f t="shared" si="33"/>
        <v>44774</v>
      </c>
    </row>
    <row r="1088" spans="1:19" x14ac:dyDescent="0.25">
      <c r="A1088" s="3" t="s">
        <v>2382</v>
      </c>
      <c r="B1088" s="4" t="s">
        <v>449</v>
      </c>
      <c r="C1088" s="14">
        <v>44879</v>
      </c>
      <c r="D1088" s="4" t="s">
        <v>672</v>
      </c>
      <c r="E1088" s="4" t="s">
        <v>724</v>
      </c>
      <c r="F1088" s="4">
        <v>89.99</v>
      </c>
      <c r="G1088" s="4">
        <v>3</v>
      </c>
      <c r="H1088" s="4">
        <v>20</v>
      </c>
      <c r="I1088" s="4">
        <v>71.989999999999995</v>
      </c>
      <c r="J1088" s="4">
        <v>215.97</v>
      </c>
      <c r="K1088" s="4" t="s">
        <v>682</v>
      </c>
      <c r="L1088" s="4" t="s">
        <v>656</v>
      </c>
      <c r="M1088" s="5">
        <v>4</v>
      </c>
      <c r="N1088">
        <f>VLOOKUP(B1088,Customers!A:J,7,0)</f>
        <v>57</v>
      </c>
      <c r="O1088" t="str">
        <f>VLOOKUP(B1088,Customers!A:J,5,0)</f>
        <v>Phoenix</v>
      </c>
      <c r="P1088" t="str">
        <f>VLOOKUP(B1088,Customers!A:J,10,0)</f>
        <v>Silver</v>
      </c>
      <c r="Q1088" t="str">
        <f>VLOOKUP(B1088,Customers!A:J,8,0)</f>
        <v>Male</v>
      </c>
      <c r="R1088" t="b">
        <f t="shared" si="32"/>
        <v>1</v>
      </c>
      <c r="S1088" s="18">
        <f t="shared" si="33"/>
        <v>44866</v>
      </c>
    </row>
    <row r="1089" spans="1:19" x14ac:dyDescent="0.25">
      <c r="A1089" s="6" t="s">
        <v>2383</v>
      </c>
      <c r="B1089" s="7" t="s">
        <v>449</v>
      </c>
      <c r="C1089" s="15">
        <v>44785</v>
      </c>
      <c r="D1089" s="7" t="s">
        <v>684</v>
      </c>
      <c r="E1089" s="7" t="s">
        <v>815</v>
      </c>
      <c r="F1089" s="7">
        <v>34.99</v>
      </c>
      <c r="G1089" s="7">
        <v>4</v>
      </c>
      <c r="H1089" s="7">
        <v>10</v>
      </c>
      <c r="I1089" s="7">
        <v>31.49</v>
      </c>
      <c r="J1089" s="7">
        <v>125.96</v>
      </c>
      <c r="K1089" s="7" t="s">
        <v>655</v>
      </c>
      <c r="L1089" s="7" t="s">
        <v>656</v>
      </c>
      <c r="M1089" s="8">
        <v>4</v>
      </c>
      <c r="N1089">
        <f>VLOOKUP(B1089,Customers!A:J,7,0)</f>
        <v>57</v>
      </c>
      <c r="O1089" t="str">
        <f>VLOOKUP(B1089,Customers!A:J,5,0)</f>
        <v>Phoenix</v>
      </c>
      <c r="P1089" t="str">
        <f>VLOOKUP(B1089,Customers!A:J,10,0)</f>
        <v>Silver</v>
      </c>
      <c r="Q1089" t="str">
        <f>VLOOKUP(B1089,Customers!A:J,8,0)</f>
        <v>Male</v>
      </c>
      <c r="R1089" t="b">
        <f t="shared" si="32"/>
        <v>1</v>
      </c>
      <c r="S1089" s="18">
        <f t="shared" si="33"/>
        <v>44774</v>
      </c>
    </row>
    <row r="1090" spans="1:19" x14ac:dyDescent="0.25">
      <c r="A1090" s="3" t="s">
        <v>2385</v>
      </c>
      <c r="B1090" s="4" t="s">
        <v>449</v>
      </c>
      <c r="C1090" s="14">
        <v>45101</v>
      </c>
      <c r="D1090" s="4" t="s">
        <v>672</v>
      </c>
      <c r="E1090" s="4" t="s">
        <v>673</v>
      </c>
      <c r="F1090" s="4">
        <v>24.99</v>
      </c>
      <c r="G1090" s="4">
        <v>1</v>
      </c>
      <c r="H1090" s="4">
        <v>0</v>
      </c>
      <c r="I1090" s="4">
        <v>24.99</v>
      </c>
      <c r="J1090" s="4">
        <v>24.99</v>
      </c>
      <c r="K1090" s="4" t="s">
        <v>655</v>
      </c>
      <c r="L1090" s="4" t="s">
        <v>656</v>
      </c>
      <c r="M1090" s="5">
        <v>5</v>
      </c>
      <c r="N1090">
        <f>VLOOKUP(B1090,Customers!A:J,7,0)</f>
        <v>57</v>
      </c>
      <c r="O1090" t="str">
        <f>VLOOKUP(B1090,Customers!A:J,5,0)</f>
        <v>Phoenix</v>
      </c>
      <c r="P1090" t="str">
        <f>VLOOKUP(B1090,Customers!A:J,10,0)</f>
        <v>Silver</v>
      </c>
      <c r="Q1090" t="str">
        <f>VLOOKUP(B1090,Customers!A:J,8,0)</f>
        <v>Male</v>
      </c>
      <c r="R1090" t="b">
        <f t="shared" si="32"/>
        <v>1</v>
      </c>
      <c r="S1090" s="18">
        <f t="shared" si="33"/>
        <v>45078</v>
      </c>
    </row>
    <row r="1091" spans="1:19" x14ac:dyDescent="0.25">
      <c r="A1091" s="6" t="s">
        <v>2387</v>
      </c>
      <c r="B1091" s="7" t="s">
        <v>449</v>
      </c>
      <c r="C1091" s="15">
        <v>45263</v>
      </c>
      <c r="D1091" s="7" t="s">
        <v>680</v>
      </c>
      <c r="E1091" s="7" t="s">
        <v>749</v>
      </c>
      <c r="F1091" s="7">
        <v>14.99</v>
      </c>
      <c r="G1091" s="7">
        <v>1</v>
      </c>
      <c r="H1091" s="7">
        <v>10</v>
      </c>
      <c r="I1091" s="7">
        <v>13.49</v>
      </c>
      <c r="J1091" s="7">
        <v>13.49</v>
      </c>
      <c r="K1091" s="7" t="s">
        <v>675</v>
      </c>
      <c r="L1091" s="7" t="s">
        <v>656</v>
      </c>
      <c r="M1091" s="8">
        <v>5</v>
      </c>
      <c r="N1091">
        <f>VLOOKUP(B1091,Customers!A:J,7,0)</f>
        <v>57</v>
      </c>
      <c r="O1091" t="str">
        <f>VLOOKUP(B1091,Customers!A:J,5,0)</f>
        <v>Phoenix</v>
      </c>
      <c r="P1091" t="str">
        <f>VLOOKUP(B1091,Customers!A:J,10,0)</f>
        <v>Silver</v>
      </c>
      <c r="Q1091" t="str">
        <f>VLOOKUP(B1091,Customers!A:J,8,0)</f>
        <v>Male</v>
      </c>
      <c r="R1091" t="b">
        <f t="shared" ref="R1091:R1154" si="34">ISNUMBER(C1091)</f>
        <v>1</v>
      </c>
      <c r="S1091" s="18">
        <f t="shared" ref="S1091:S1154" si="35">DATE(YEAR(C1091),MONTH(C1091),1)</f>
        <v>45261</v>
      </c>
    </row>
    <row r="1092" spans="1:19" x14ac:dyDescent="0.25">
      <c r="A1092" s="3" t="s">
        <v>2388</v>
      </c>
      <c r="B1092" s="4" t="s">
        <v>452</v>
      </c>
      <c r="C1092" s="14">
        <v>45041</v>
      </c>
      <c r="D1092" s="4" t="s">
        <v>653</v>
      </c>
      <c r="E1092" s="4" t="s">
        <v>769</v>
      </c>
      <c r="F1092" s="4">
        <v>49.99</v>
      </c>
      <c r="G1092" s="4">
        <v>1</v>
      </c>
      <c r="H1092" s="4">
        <v>0</v>
      </c>
      <c r="I1092" s="4">
        <v>49.99</v>
      </c>
      <c r="J1092" s="4">
        <v>49.99</v>
      </c>
      <c r="K1092" s="4" t="s">
        <v>661</v>
      </c>
      <c r="L1092" s="4" t="s">
        <v>739</v>
      </c>
      <c r="M1092" s="5">
        <v>4</v>
      </c>
      <c r="N1092">
        <f>VLOOKUP(B1092,Customers!A:J,7,0)</f>
        <v>43</v>
      </c>
      <c r="O1092" t="str">
        <f>VLOOKUP(B1092,Customers!A:J,5,0)</f>
        <v>San Diego</v>
      </c>
      <c r="P1092" t="str">
        <f>VLOOKUP(B1092,Customers!A:J,10,0)</f>
        <v>Free</v>
      </c>
      <c r="Q1092" t="str">
        <f>VLOOKUP(B1092,Customers!A:J,8,0)</f>
        <v>Female</v>
      </c>
      <c r="R1092" t="b">
        <f t="shared" si="34"/>
        <v>1</v>
      </c>
      <c r="S1092" s="18">
        <f t="shared" si="35"/>
        <v>45017</v>
      </c>
    </row>
    <row r="1093" spans="1:19" x14ac:dyDescent="0.25">
      <c r="A1093" s="6" t="s">
        <v>2389</v>
      </c>
      <c r="B1093" s="7" t="s">
        <v>452</v>
      </c>
      <c r="C1093" s="15">
        <v>45599</v>
      </c>
      <c r="D1093" s="7" t="s">
        <v>667</v>
      </c>
      <c r="E1093" s="7" t="s">
        <v>699</v>
      </c>
      <c r="F1093" s="7">
        <v>89.99</v>
      </c>
      <c r="G1093" s="7">
        <v>4</v>
      </c>
      <c r="H1093" s="7">
        <v>20</v>
      </c>
      <c r="I1093" s="7">
        <v>71.989999999999995</v>
      </c>
      <c r="J1093" s="7">
        <v>287.95999999999998</v>
      </c>
      <c r="K1093" s="7" t="s">
        <v>669</v>
      </c>
      <c r="L1093" s="7" t="s">
        <v>656</v>
      </c>
      <c r="M1093" s="8">
        <v>4</v>
      </c>
      <c r="N1093">
        <f>VLOOKUP(B1093,Customers!A:J,7,0)</f>
        <v>43</v>
      </c>
      <c r="O1093" t="str">
        <f>VLOOKUP(B1093,Customers!A:J,5,0)</f>
        <v>San Diego</v>
      </c>
      <c r="P1093" t="str">
        <f>VLOOKUP(B1093,Customers!A:J,10,0)</f>
        <v>Free</v>
      </c>
      <c r="Q1093" t="str">
        <f>VLOOKUP(B1093,Customers!A:J,8,0)</f>
        <v>Female</v>
      </c>
      <c r="R1093" t="b">
        <f t="shared" si="34"/>
        <v>1</v>
      </c>
      <c r="S1093" s="18">
        <f t="shared" si="35"/>
        <v>45597</v>
      </c>
    </row>
    <row r="1094" spans="1:19" x14ac:dyDescent="0.25">
      <c r="A1094" s="3" t="s">
        <v>2391</v>
      </c>
      <c r="B1094" s="4" t="s">
        <v>452</v>
      </c>
      <c r="C1094" s="14">
        <v>45508</v>
      </c>
      <c r="D1094" s="4" t="s">
        <v>672</v>
      </c>
      <c r="E1094" s="4" t="s">
        <v>735</v>
      </c>
      <c r="F1094" s="4">
        <v>44.99</v>
      </c>
      <c r="G1094" s="4">
        <v>2</v>
      </c>
      <c r="H1094" s="4">
        <v>20</v>
      </c>
      <c r="I1094" s="4">
        <v>35.99</v>
      </c>
      <c r="J1094" s="4">
        <v>71.98</v>
      </c>
      <c r="K1094" s="4" t="s">
        <v>655</v>
      </c>
      <c r="L1094" s="4" t="s">
        <v>656</v>
      </c>
      <c r="M1094" s="5">
        <v>4</v>
      </c>
      <c r="N1094">
        <f>VLOOKUP(B1094,Customers!A:J,7,0)</f>
        <v>43</v>
      </c>
      <c r="O1094" t="str">
        <f>VLOOKUP(B1094,Customers!A:J,5,0)</f>
        <v>San Diego</v>
      </c>
      <c r="P1094" t="str">
        <f>VLOOKUP(B1094,Customers!A:J,10,0)</f>
        <v>Free</v>
      </c>
      <c r="Q1094" t="str">
        <f>VLOOKUP(B1094,Customers!A:J,8,0)</f>
        <v>Female</v>
      </c>
      <c r="R1094" t="b">
        <f t="shared" si="34"/>
        <v>1</v>
      </c>
      <c r="S1094" s="18">
        <f t="shared" si="35"/>
        <v>45505</v>
      </c>
    </row>
    <row r="1095" spans="1:19" x14ac:dyDescent="0.25">
      <c r="A1095" s="6" t="s">
        <v>2392</v>
      </c>
      <c r="B1095" s="7" t="s">
        <v>452</v>
      </c>
      <c r="C1095" s="15">
        <v>45414</v>
      </c>
      <c r="D1095" s="7" t="s">
        <v>659</v>
      </c>
      <c r="E1095" s="7" t="s">
        <v>660</v>
      </c>
      <c r="F1095" s="7">
        <v>19.989999999999998</v>
      </c>
      <c r="G1095" s="7">
        <v>2</v>
      </c>
      <c r="H1095" s="7">
        <v>5</v>
      </c>
      <c r="I1095" s="7">
        <v>18.989999999999998</v>
      </c>
      <c r="J1095" s="7">
        <v>37.979999999999997</v>
      </c>
      <c r="K1095" s="7" t="s">
        <v>669</v>
      </c>
      <c r="L1095" s="7" t="s">
        <v>739</v>
      </c>
      <c r="M1095" s="8">
        <v>4</v>
      </c>
      <c r="N1095">
        <f>VLOOKUP(B1095,Customers!A:J,7,0)</f>
        <v>43</v>
      </c>
      <c r="O1095" t="str">
        <f>VLOOKUP(B1095,Customers!A:J,5,0)</f>
        <v>San Diego</v>
      </c>
      <c r="P1095" t="str">
        <f>VLOOKUP(B1095,Customers!A:J,10,0)</f>
        <v>Free</v>
      </c>
      <c r="Q1095" t="str">
        <f>VLOOKUP(B1095,Customers!A:J,8,0)</f>
        <v>Female</v>
      </c>
      <c r="R1095" t="b">
        <f t="shared" si="34"/>
        <v>1</v>
      </c>
      <c r="S1095" s="18">
        <f t="shared" si="35"/>
        <v>45413</v>
      </c>
    </row>
    <row r="1096" spans="1:19" x14ac:dyDescent="0.25">
      <c r="A1096" s="3" t="s">
        <v>2393</v>
      </c>
      <c r="B1096" s="4" t="s">
        <v>452</v>
      </c>
      <c r="C1096" s="14">
        <v>45025</v>
      </c>
      <c r="D1096" s="4" t="s">
        <v>680</v>
      </c>
      <c r="E1096" s="4" t="s">
        <v>688</v>
      </c>
      <c r="F1096" s="4">
        <v>29.99</v>
      </c>
      <c r="G1096" s="4">
        <v>1</v>
      </c>
      <c r="H1096" s="4">
        <v>20</v>
      </c>
      <c r="I1096" s="4">
        <v>23.99</v>
      </c>
      <c r="J1096" s="4">
        <v>23.99</v>
      </c>
      <c r="K1096" s="4" t="s">
        <v>675</v>
      </c>
      <c r="L1096" s="4" t="s">
        <v>656</v>
      </c>
      <c r="M1096" s="5">
        <v>4</v>
      </c>
      <c r="N1096">
        <f>VLOOKUP(B1096,Customers!A:J,7,0)</f>
        <v>43</v>
      </c>
      <c r="O1096" t="str">
        <f>VLOOKUP(B1096,Customers!A:J,5,0)</f>
        <v>San Diego</v>
      </c>
      <c r="P1096" t="str">
        <f>VLOOKUP(B1096,Customers!A:J,10,0)</f>
        <v>Free</v>
      </c>
      <c r="Q1096" t="str">
        <f>VLOOKUP(B1096,Customers!A:J,8,0)</f>
        <v>Female</v>
      </c>
      <c r="R1096" t="b">
        <f t="shared" si="34"/>
        <v>1</v>
      </c>
      <c r="S1096" s="18">
        <f t="shared" si="35"/>
        <v>45017</v>
      </c>
    </row>
    <row r="1097" spans="1:19" x14ac:dyDescent="0.25">
      <c r="A1097" s="6" t="s">
        <v>2394</v>
      </c>
      <c r="B1097" s="7" t="s">
        <v>452</v>
      </c>
      <c r="C1097" s="15">
        <v>45265</v>
      </c>
      <c r="D1097" s="7" t="s">
        <v>667</v>
      </c>
      <c r="E1097" s="7" t="s">
        <v>714</v>
      </c>
      <c r="F1097" s="7">
        <v>44.99</v>
      </c>
      <c r="G1097" s="7">
        <v>3</v>
      </c>
      <c r="H1097" s="7">
        <v>20</v>
      </c>
      <c r="I1097" s="7">
        <v>35.99</v>
      </c>
      <c r="J1097" s="7">
        <v>107.97</v>
      </c>
      <c r="K1097" s="7" t="s">
        <v>675</v>
      </c>
      <c r="L1097" s="7" t="s">
        <v>656</v>
      </c>
      <c r="M1097" s="8">
        <v>1</v>
      </c>
      <c r="N1097">
        <f>VLOOKUP(B1097,Customers!A:J,7,0)</f>
        <v>43</v>
      </c>
      <c r="O1097" t="str">
        <f>VLOOKUP(B1097,Customers!A:J,5,0)</f>
        <v>San Diego</v>
      </c>
      <c r="P1097" t="str">
        <f>VLOOKUP(B1097,Customers!A:J,10,0)</f>
        <v>Free</v>
      </c>
      <c r="Q1097" t="str">
        <f>VLOOKUP(B1097,Customers!A:J,8,0)</f>
        <v>Female</v>
      </c>
      <c r="R1097" t="b">
        <f t="shared" si="34"/>
        <v>1</v>
      </c>
      <c r="S1097" s="18">
        <f t="shared" si="35"/>
        <v>45261</v>
      </c>
    </row>
    <row r="1098" spans="1:19" x14ac:dyDescent="0.25">
      <c r="A1098" s="3" t="s">
        <v>2395</v>
      </c>
      <c r="B1098" s="4" t="s">
        <v>452</v>
      </c>
      <c r="C1098" s="14">
        <v>45114</v>
      </c>
      <c r="D1098" s="4" t="s">
        <v>659</v>
      </c>
      <c r="E1098" s="4" t="s">
        <v>762</v>
      </c>
      <c r="F1098" s="4">
        <v>49.99</v>
      </c>
      <c r="G1098" s="4">
        <v>4</v>
      </c>
      <c r="H1098" s="4">
        <v>15</v>
      </c>
      <c r="I1098" s="4">
        <v>42.49</v>
      </c>
      <c r="J1098" s="4">
        <v>169.96</v>
      </c>
      <c r="K1098" s="4" t="s">
        <v>655</v>
      </c>
      <c r="L1098" s="4" t="s">
        <v>656</v>
      </c>
      <c r="M1098" s="5"/>
      <c r="N1098">
        <f>VLOOKUP(B1098,Customers!A:J,7,0)</f>
        <v>43</v>
      </c>
      <c r="O1098" t="str">
        <f>VLOOKUP(B1098,Customers!A:J,5,0)</f>
        <v>San Diego</v>
      </c>
      <c r="P1098" t="str">
        <f>VLOOKUP(B1098,Customers!A:J,10,0)</f>
        <v>Free</v>
      </c>
      <c r="Q1098" t="str">
        <f>VLOOKUP(B1098,Customers!A:J,8,0)</f>
        <v>Female</v>
      </c>
      <c r="R1098" t="b">
        <f t="shared" si="34"/>
        <v>1</v>
      </c>
      <c r="S1098" s="18">
        <f t="shared" si="35"/>
        <v>45108</v>
      </c>
    </row>
    <row r="1099" spans="1:19" x14ac:dyDescent="0.25">
      <c r="A1099" s="6" t="s">
        <v>2396</v>
      </c>
      <c r="B1099" s="7" t="s">
        <v>452</v>
      </c>
      <c r="C1099" s="15">
        <v>44713</v>
      </c>
      <c r="D1099" s="7" t="s">
        <v>710</v>
      </c>
      <c r="E1099" s="7" t="s">
        <v>721</v>
      </c>
      <c r="F1099" s="7">
        <v>24.99</v>
      </c>
      <c r="G1099" s="7">
        <v>3</v>
      </c>
      <c r="H1099" s="7">
        <v>5</v>
      </c>
      <c r="I1099" s="7">
        <v>23.74</v>
      </c>
      <c r="J1099" s="7">
        <v>71.22</v>
      </c>
      <c r="K1099" s="7" t="s">
        <v>655</v>
      </c>
      <c r="L1099" s="7" t="s">
        <v>656</v>
      </c>
      <c r="M1099" s="8">
        <v>4</v>
      </c>
      <c r="N1099">
        <f>VLOOKUP(B1099,Customers!A:J,7,0)</f>
        <v>43</v>
      </c>
      <c r="O1099" t="str">
        <f>VLOOKUP(B1099,Customers!A:J,5,0)</f>
        <v>San Diego</v>
      </c>
      <c r="P1099" t="str">
        <f>VLOOKUP(B1099,Customers!A:J,10,0)</f>
        <v>Free</v>
      </c>
      <c r="Q1099" t="str">
        <f>VLOOKUP(B1099,Customers!A:J,8,0)</f>
        <v>Female</v>
      </c>
      <c r="R1099" t="b">
        <f t="shared" si="34"/>
        <v>1</v>
      </c>
      <c r="S1099" s="18">
        <f t="shared" si="35"/>
        <v>44713</v>
      </c>
    </row>
    <row r="1100" spans="1:19" x14ac:dyDescent="0.25">
      <c r="A1100" s="3" t="s">
        <v>2397</v>
      </c>
      <c r="B1100" s="4" t="s">
        <v>452</v>
      </c>
      <c r="C1100" s="14">
        <v>44889</v>
      </c>
      <c r="D1100" s="4" t="s">
        <v>680</v>
      </c>
      <c r="E1100" s="4" t="s">
        <v>681</v>
      </c>
      <c r="F1100" s="4">
        <v>19.989999999999998</v>
      </c>
      <c r="G1100" s="4">
        <v>1</v>
      </c>
      <c r="H1100" s="4">
        <v>10</v>
      </c>
      <c r="I1100" s="4">
        <v>17.989999999999998</v>
      </c>
      <c r="J1100" s="4">
        <v>17.989999999999998</v>
      </c>
      <c r="K1100" s="4" t="s">
        <v>669</v>
      </c>
      <c r="L1100" s="4" t="s">
        <v>656</v>
      </c>
      <c r="M1100" s="5">
        <v>5</v>
      </c>
      <c r="N1100">
        <f>VLOOKUP(B1100,Customers!A:J,7,0)</f>
        <v>43</v>
      </c>
      <c r="O1100" t="str">
        <f>VLOOKUP(B1100,Customers!A:J,5,0)</f>
        <v>San Diego</v>
      </c>
      <c r="P1100" t="str">
        <f>VLOOKUP(B1100,Customers!A:J,10,0)</f>
        <v>Free</v>
      </c>
      <c r="Q1100" t="str">
        <f>VLOOKUP(B1100,Customers!A:J,8,0)</f>
        <v>Female</v>
      </c>
      <c r="R1100" t="b">
        <f t="shared" si="34"/>
        <v>1</v>
      </c>
      <c r="S1100" s="18">
        <f t="shared" si="35"/>
        <v>44866</v>
      </c>
    </row>
    <row r="1101" spans="1:19" x14ac:dyDescent="0.25">
      <c r="A1101" s="6" t="s">
        <v>2399</v>
      </c>
      <c r="B1101" s="7" t="s">
        <v>452</v>
      </c>
      <c r="C1101" s="15">
        <v>45468</v>
      </c>
      <c r="D1101" s="7" t="s">
        <v>684</v>
      </c>
      <c r="E1101" s="7" t="s">
        <v>705</v>
      </c>
      <c r="F1101" s="7">
        <v>79.989999999999995</v>
      </c>
      <c r="G1101" s="7">
        <v>3</v>
      </c>
      <c r="H1101" s="7">
        <v>15</v>
      </c>
      <c r="I1101" s="7">
        <v>67.989999999999995</v>
      </c>
      <c r="J1101" s="7">
        <v>203.97</v>
      </c>
      <c r="K1101" s="7" t="s">
        <v>675</v>
      </c>
      <c r="L1101" s="7" t="s">
        <v>739</v>
      </c>
      <c r="M1101" s="8">
        <v>3</v>
      </c>
      <c r="N1101">
        <f>VLOOKUP(B1101,Customers!A:J,7,0)</f>
        <v>43</v>
      </c>
      <c r="O1101" t="str">
        <f>VLOOKUP(B1101,Customers!A:J,5,0)</f>
        <v>San Diego</v>
      </c>
      <c r="P1101" t="str">
        <f>VLOOKUP(B1101,Customers!A:J,10,0)</f>
        <v>Free</v>
      </c>
      <c r="Q1101" t="str">
        <f>VLOOKUP(B1101,Customers!A:J,8,0)</f>
        <v>Female</v>
      </c>
      <c r="R1101" t="b">
        <f t="shared" si="34"/>
        <v>1</v>
      </c>
      <c r="S1101" s="18">
        <f t="shared" si="35"/>
        <v>45444</v>
      </c>
    </row>
    <row r="1102" spans="1:19" x14ac:dyDescent="0.25">
      <c r="A1102" s="3" t="s">
        <v>2400</v>
      </c>
      <c r="B1102" s="4" t="s">
        <v>452</v>
      </c>
      <c r="C1102" s="14">
        <v>44688</v>
      </c>
      <c r="D1102" s="4" t="s">
        <v>680</v>
      </c>
      <c r="E1102" s="4" t="s">
        <v>708</v>
      </c>
      <c r="F1102" s="4">
        <v>24.99</v>
      </c>
      <c r="G1102" s="4">
        <v>3</v>
      </c>
      <c r="H1102" s="4">
        <v>10</v>
      </c>
      <c r="I1102" s="4">
        <v>22.49</v>
      </c>
      <c r="J1102" s="4">
        <v>67.47</v>
      </c>
      <c r="K1102" s="4" t="s">
        <v>675</v>
      </c>
      <c r="L1102" s="4" t="s">
        <v>656</v>
      </c>
      <c r="M1102" s="5">
        <v>5</v>
      </c>
      <c r="N1102">
        <f>VLOOKUP(B1102,Customers!A:J,7,0)</f>
        <v>43</v>
      </c>
      <c r="O1102" t="str">
        <f>VLOOKUP(B1102,Customers!A:J,5,0)</f>
        <v>San Diego</v>
      </c>
      <c r="P1102" t="str">
        <f>VLOOKUP(B1102,Customers!A:J,10,0)</f>
        <v>Free</v>
      </c>
      <c r="Q1102" t="str">
        <f>VLOOKUP(B1102,Customers!A:J,8,0)</f>
        <v>Female</v>
      </c>
      <c r="R1102" t="b">
        <f t="shared" si="34"/>
        <v>1</v>
      </c>
      <c r="S1102" s="18">
        <f t="shared" si="35"/>
        <v>44682</v>
      </c>
    </row>
    <row r="1103" spans="1:19" x14ac:dyDescent="0.25">
      <c r="A1103" s="6" t="s">
        <v>2401</v>
      </c>
      <c r="B1103" s="7" t="s">
        <v>452</v>
      </c>
      <c r="C1103" s="15">
        <v>45017</v>
      </c>
      <c r="D1103" s="7" t="s">
        <v>680</v>
      </c>
      <c r="E1103" s="7" t="s">
        <v>749</v>
      </c>
      <c r="F1103" s="7">
        <v>14.99</v>
      </c>
      <c r="G1103" s="7">
        <v>2</v>
      </c>
      <c r="H1103" s="7">
        <v>15</v>
      </c>
      <c r="I1103" s="7">
        <v>12.74</v>
      </c>
      <c r="J1103" s="7">
        <v>25.48</v>
      </c>
      <c r="K1103" s="7" t="s">
        <v>675</v>
      </c>
      <c r="L1103" s="7" t="s">
        <v>656</v>
      </c>
      <c r="M1103" s="8"/>
      <c r="N1103">
        <f>VLOOKUP(B1103,Customers!A:J,7,0)</f>
        <v>43</v>
      </c>
      <c r="O1103" t="str">
        <f>VLOOKUP(B1103,Customers!A:J,5,0)</f>
        <v>San Diego</v>
      </c>
      <c r="P1103" t="str">
        <f>VLOOKUP(B1103,Customers!A:J,10,0)</f>
        <v>Free</v>
      </c>
      <c r="Q1103" t="str">
        <f>VLOOKUP(B1103,Customers!A:J,8,0)</f>
        <v>Female</v>
      </c>
      <c r="R1103" t="b">
        <f t="shared" si="34"/>
        <v>1</v>
      </c>
      <c r="S1103" s="18">
        <f t="shared" si="35"/>
        <v>45017</v>
      </c>
    </row>
    <row r="1104" spans="1:19" x14ac:dyDescent="0.25">
      <c r="A1104" s="3" t="s">
        <v>2403</v>
      </c>
      <c r="B1104" s="4" t="s">
        <v>452</v>
      </c>
      <c r="C1104" s="14">
        <v>45572</v>
      </c>
      <c r="D1104" s="4" t="s">
        <v>667</v>
      </c>
      <c r="E1104" s="4" t="s">
        <v>699</v>
      </c>
      <c r="F1104" s="4">
        <v>89.99</v>
      </c>
      <c r="G1104" s="4">
        <v>2</v>
      </c>
      <c r="H1104" s="4">
        <v>0</v>
      </c>
      <c r="I1104" s="4">
        <v>89.99</v>
      </c>
      <c r="J1104" s="4">
        <v>179.98</v>
      </c>
      <c r="K1104" s="4" t="s">
        <v>655</v>
      </c>
      <c r="L1104" s="4" t="s">
        <v>656</v>
      </c>
      <c r="M1104" s="5"/>
      <c r="N1104">
        <f>VLOOKUP(B1104,Customers!A:J,7,0)</f>
        <v>43</v>
      </c>
      <c r="O1104" t="str">
        <f>VLOOKUP(B1104,Customers!A:J,5,0)</f>
        <v>San Diego</v>
      </c>
      <c r="P1104" t="str">
        <f>VLOOKUP(B1104,Customers!A:J,10,0)</f>
        <v>Free</v>
      </c>
      <c r="Q1104" t="str">
        <f>VLOOKUP(B1104,Customers!A:J,8,0)</f>
        <v>Female</v>
      </c>
      <c r="R1104" t="b">
        <f t="shared" si="34"/>
        <v>1</v>
      </c>
      <c r="S1104" s="18">
        <f t="shared" si="35"/>
        <v>45566</v>
      </c>
    </row>
    <row r="1105" spans="1:19" x14ac:dyDescent="0.25">
      <c r="A1105" s="6" t="s">
        <v>2404</v>
      </c>
      <c r="B1105" s="7" t="s">
        <v>455</v>
      </c>
      <c r="C1105" s="15">
        <v>45527</v>
      </c>
      <c r="D1105" s="7" t="s">
        <v>710</v>
      </c>
      <c r="E1105" s="7" t="s">
        <v>730</v>
      </c>
      <c r="F1105" s="7">
        <v>39.99</v>
      </c>
      <c r="G1105" s="7">
        <v>4</v>
      </c>
      <c r="H1105" s="7">
        <v>20</v>
      </c>
      <c r="I1105" s="7">
        <v>31.99</v>
      </c>
      <c r="J1105" s="7">
        <v>127.96</v>
      </c>
      <c r="K1105" s="7" t="s">
        <v>682</v>
      </c>
      <c r="L1105" s="7" t="s">
        <v>656</v>
      </c>
      <c r="M1105" s="8"/>
      <c r="N1105">
        <f>VLOOKUP(B1105,Customers!A:J,7,0)</f>
        <v>36</v>
      </c>
      <c r="O1105" t="str">
        <f>VLOOKUP(B1105,Customers!A:J,5,0)</f>
        <v>Dallas</v>
      </c>
      <c r="P1105" t="str">
        <f>VLOOKUP(B1105,Customers!A:J,10,0)</f>
        <v>Free</v>
      </c>
      <c r="Q1105" t="str">
        <f>VLOOKUP(B1105,Customers!A:J,8,0)</f>
        <v>Male</v>
      </c>
      <c r="R1105" t="b">
        <f t="shared" si="34"/>
        <v>1</v>
      </c>
      <c r="S1105" s="18">
        <f t="shared" si="35"/>
        <v>45505</v>
      </c>
    </row>
    <row r="1106" spans="1:19" x14ac:dyDescent="0.25">
      <c r="A1106" s="3" t="s">
        <v>2405</v>
      </c>
      <c r="B1106" s="4" t="s">
        <v>455</v>
      </c>
      <c r="C1106" s="14">
        <v>45242</v>
      </c>
      <c r="D1106" s="4" t="s">
        <v>710</v>
      </c>
      <c r="E1106" s="4" t="s">
        <v>711</v>
      </c>
      <c r="F1106" s="4">
        <v>14.99</v>
      </c>
      <c r="G1106" s="4">
        <v>4</v>
      </c>
      <c r="H1106" s="4">
        <v>10</v>
      </c>
      <c r="I1106" s="4">
        <v>13.49</v>
      </c>
      <c r="J1106" s="4">
        <v>53.96</v>
      </c>
      <c r="K1106" s="4" t="s">
        <v>655</v>
      </c>
      <c r="L1106" s="4" t="s">
        <v>739</v>
      </c>
      <c r="M1106" s="5">
        <v>4</v>
      </c>
      <c r="N1106">
        <f>VLOOKUP(B1106,Customers!A:J,7,0)</f>
        <v>36</v>
      </c>
      <c r="O1106" t="str">
        <f>VLOOKUP(B1106,Customers!A:J,5,0)</f>
        <v>Dallas</v>
      </c>
      <c r="P1106" t="str">
        <f>VLOOKUP(B1106,Customers!A:J,10,0)</f>
        <v>Free</v>
      </c>
      <c r="Q1106" t="str">
        <f>VLOOKUP(B1106,Customers!A:J,8,0)</f>
        <v>Male</v>
      </c>
      <c r="R1106" t="b">
        <f t="shared" si="34"/>
        <v>1</v>
      </c>
      <c r="S1106" s="18">
        <f t="shared" si="35"/>
        <v>45231</v>
      </c>
    </row>
    <row r="1107" spans="1:19" x14ac:dyDescent="0.25">
      <c r="A1107" s="6" t="s">
        <v>2407</v>
      </c>
      <c r="B1107" s="7" t="s">
        <v>455</v>
      </c>
      <c r="C1107" s="15">
        <v>45651</v>
      </c>
      <c r="D1107" s="7" t="s">
        <v>667</v>
      </c>
      <c r="E1107" s="7" t="s">
        <v>699</v>
      </c>
      <c r="F1107" s="7">
        <v>89.99</v>
      </c>
      <c r="G1107" s="7">
        <v>3</v>
      </c>
      <c r="H1107" s="7">
        <v>15</v>
      </c>
      <c r="I1107" s="7">
        <v>76.489999999999995</v>
      </c>
      <c r="J1107" s="7">
        <v>229.47</v>
      </c>
      <c r="K1107" s="7" t="s">
        <v>669</v>
      </c>
      <c r="L1107" s="7" t="s">
        <v>739</v>
      </c>
      <c r="M1107" s="8"/>
      <c r="N1107">
        <f>VLOOKUP(B1107,Customers!A:J,7,0)</f>
        <v>36</v>
      </c>
      <c r="O1107" t="str">
        <f>VLOOKUP(B1107,Customers!A:J,5,0)</f>
        <v>Dallas</v>
      </c>
      <c r="P1107" t="str">
        <f>VLOOKUP(B1107,Customers!A:J,10,0)</f>
        <v>Free</v>
      </c>
      <c r="Q1107" t="str">
        <f>VLOOKUP(B1107,Customers!A:J,8,0)</f>
        <v>Male</v>
      </c>
      <c r="R1107" t="b">
        <f t="shared" si="34"/>
        <v>1</v>
      </c>
      <c r="S1107" s="18">
        <f t="shared" si="35"/>
        <v>45627</v>
      </c>
    </row>
    <row r="1108" spans="1:19" x14ac:dyDescent="0.25">
      <c r="A1108" s="3" t="s">
        <v>2408</v>
      </c>
      <c r="B1108" s="4" t="s">
        <v>455</v>
      </c>
      <c r="C1108" s="14">
        <v>44646</v>
      </c>
      <c r="D1108" s="4" t="s">
        <v>667</v>
      </c>
      <c r="E1108" s="4" t="s">
        <v>668</v>
      </c>
      <c r="F1108" s="4">
        <v>64.989999999999995</v>
      </c>
      <c r="G1108" s="4">
        <v>2</v>
      </c>
      <c r="H1108" s="4">
        <v>15</v>
      </c>
      <c r="I1108" s="4">
        <v>55.24</v>
      </c>
      <c r="J1108" s="4">
        <v>110.48</v>
      </c>
      <c r="K1108" s="4" t="s">
        <v>661</v>
      </c>
      <c r="L1108" s="4" t="s">
        <v>656</v>
      </c>
      <c r="M1108" s="5">
        <v>4</v>
      </c>
      <c r="N1108">
        <f>VLOOKUP(B1108,Customers!A:J,7,0)</f>
        <v>36</v>
      </c>
      <c r="O1108" t="str">
        <f>VLOOKUP(B1108,Customers!A:J,5,0)</f>
        <v>Dallas</v>
      </c>
      <c r="P1108" t="str">
        <f>VLOOKUP(B1108,Customers!A:J,10,0)</f>
        <v>Free</v>
      </c>
      <c r="Q1108" t="str">
        <f>VLOOKUP(B1108,Customers!A:J,8,0)</f>
        <v>Male</v>
      </c>
      <c r="R1108" t="b">
        <f t="shared" si="34"/>
        <v>1</v>
      </c>
      <c r="S1108" s="18">
        <f t="shared" si="35"/>
        <v>44621</v>
      </c>
    </row>
    <row r="1109" spans="1:19" x14ac:dyDescent="0.25">
      <c r="A1109" s="6" t="s">
        <v>2410</v>
      </c>
      <c r="B1109" s="7" t="s">
        <v>455</v>
      </c>
      <c r="C1109" s="15">
        <v>44994</v>
      </c>
      <c r="D1109" s="7" t="s">
        <v>684</v>
      </c>
      <c r="E1109" s="7" t="s">
        <v>705</v>
      </c>
      <c r="F1109" s="7">
        <v>79.989999999999995</v>
      </c>
      <c r="G1109" s="7">
        <v>1</v>
      </c>
      <c r="H1109" s="7">
        <v>5</v>
      </c>
      <c r="I1109" s="7">
        <v>75.989999999999995</v>
      </c>
      <c r="J1109" s="7">
        <v>75.989999999999995</v>
      </c>
      <c r="K1109" s="7" t="s">
        <v>682</v>
      </c>
      <c r="L1109" s="7" t="s">
        <v>656</v>
      </c>
      <c r="M1109" s="8">
        <v>1</v>
      </c>
      <c r="N1109">
        <f>VLOOKUP(B1109,Customers!A:J,7,0)</f>
        <v>36</v>
      </c>
      <c r="O1109" t="str">
        <f>VLOOKUP(B1109,Customers!A:J,5,0)</f>
        <v>Dallas</v>
      </c>
      <c r="P1109" t="str">
        <f>VLOOKUP(B1109,Customers!A:J,10,0)</f>
        <v>Free</v>
      </c>
      <c r="Q1109" t="str">
        <f>VLOOKUP(B1109,Customers!A:J,8,0)</f>
        <v>Male</v>
      </c>
      <c r="R1109" t="b">
        <f t="shared" si="34"/>
        <v>1</v>
      </c>
      <c r="S1109" s="18">
        <f t="shared" si="35"/>
        <v>44986</v>
      </c>
    </row>
    <row r="1110" spans="1:19" x14ac:dyDescent="0.25">
      <c r="A1110" s="3" t="s">
        <v>2411</v>
      </c>
      <c r="B1110" s="4" t="s">
        <v>458</v>
      </c>
      <c r="C1110" s="14">
        <v>45400</v>
      </c>
      <c r="D1110" s="4" t="s">
        <v>672</v>
      </c>
      <c r="E1110" s="4" t="s">
        <v>803</v>
      </c>
      <c r="F1110" s="4">
        <v>69.989999999999995</v>
      </c>
      <c r="G1110" s="4">
        <v>2</v>
      </c>
      <c r="H1110" s="4">
        <v>10</v>
      </c>
      <c r="I1110" s="4">
        <v>62.99</v>
      </c>
      <c r="J1110" s="4">
        <v>125.98</v>
      </c>
      <c r="K1110" s="4" t="s">
        <v>682</v>
      </c>
      <c r="L1110" s="4" t="s">
        <v>656</v>
      </c>
      <c r="M1110" s="5">
        <v>4</v>
      </c>
      <c r="N1110">
        <f>VLOOKUP(B1110,Customers!A:J,7,0)</f>
        <v>25</v>
      </c>
      <c r="O1110" t="str">
        <f>VLOOKUP(B1110,Customers!A:J,5,0)</f>
        <v>Phoenix</v>
      </c>
      <c r="P1110" t="str">
        <f>VLOOKUP(B1110,Customers!A:J,10,0)</f>
        <v>Gold</v>
      </c>
      <c r="Q1110" t="str">
        <f>VLOOKUP(B1110,Customers!A:J,8,0)</f>
        <v>Male</v>
      </c>
      <c r="R1110" t="b">
        <f t="shared" si="34"/>
        <v>1</v>
      </c>
      <c r="S1110" s="18">
        <f t="shared" si="35"/>
        <v>45383</v>
      </c>
    </row>
    <row r="1111" spans="1:19" x14ac:dyDescent="0.25">
      <c r="A1111" s="6" t="s">
        <v>2413</v>
      </c>
      <c r="B1111" s="7" t="s">
        <v>458</v>
      </c>
      <c r="C1111" s="15">
        <v>45475</v>
      </c>
      <c r="D1111" s="7" t="s">
        <v>653</v>
      </c>
      <c r="E1111" s="7" t="s">
        <v>827</v>
      </c>
      <c r="F1111" s="7">
        <v>29.99</v>
      </c>
      <c r="G1111" s="7">
        <v>3</v>
      </c>
      <c r="H1111" s="7">
        <v>0</v>
      </c>
      <c r="I1111" s="7">
        <v>29.99</v>
      </c>
      <c r="J1111" s="7">
        <v>89.97</v>
      </c>
      <c r="K1111" s="7" t="s">
        <v>669</v>
      </c>
      <c r="L1111" s="7" t="s">
        <v>656</v>
      </c>
      <c r="M1111" s="8"/>
      <c r="N1111">
        <f>VLOOKUP(B1111,Customers!A:J,7,0)</f>
        <v>25</v>
      </c>
      <c r="O1111" t="str">
        <f>VLOOKUP(B1111,Customers!A:J,5,0)</f>
        <v>Phoenix</v>
      </c>
      <c r="P1111" t="str">
        <f>VLOOKUP(B1111,Customers!A:J,10,0)</f>
        <v>Gold</v>
      </c>
      <c r="Q1111" t="str">
        <f>VLOOKUP(B1111,Customers!A:J,8,0)</f>
        <v>Male</v>
      </c>
      <c r="R1111" t="b">
        <f t="shared" si="34"/>
        <v>1</v>
      </c>
      <c r="S1111" s="18">
        <f t="shared" si="35"/>
        <v>45474</v>
      </c>
    </row>
    <row r="1112" spans="1:19" x14ac:dyDescent="0.25">
      <c r="A1112" s="3" t="s">
        <v>2414</v>
      </c>
      <c r="B1112" s="4" t="s">
        <v>458</v>
      </c>
      <c r="C1112" s="14">
        <v>45165</v>
      </c>
      <c r="D1112" s="4" t="s">
        <v>680</v>
      </c>
      <c r="E1112" s="4" t="s">
        <v>688</v>
      </c>
      <c r="F1112" s="4">
        <v>29.99</v>
      </c>
      <c r="G1112" s="4">
        <v>1</v>
      </c>
      <c r="H1112" s="4">
        <v>0</v>
      </c>
      <c r="I1112" s="4">
        <v>29.99</v>
      </c>
      <c r="J1112" s="4">
        <v>29.99</v>
      </c>
      <c r="K1112" s="4" t="s">
        <v>675</v>
      </c>
      <c r="L1112" s="4" t="s">
        <v>656</v>
      </c>
      <c r="M1112" s="5">
        <v>5</v>
      </c>
      <c r="N1112">
        <f>VLOOKUP(B1112,Customers!A:J,7,0)</f>
        <v>25</v>
      </c>
      <c r="O1112" t="str">
        <f>VLOOKUP(B1112,Customers!A:J,5,0)</f>
        <v>Phoenix</v>
      </c>
      <c r="P1112" t="str">
        <f>VLOOKUP(B1112,Customers!A:J,10,0)</f>
        <v>Gold</v>
      </c>
      <c r="Q1112" t="str">
        <f>VLOOKUP(B1112,Customers!A:J,8,0)</f>
        <v>Male</v>
      </c>
      <c r="R1112" t="b">
        <f t="shared" si="34"/>
        <v>1</v>
      </c>
      <c r="S1112" s="18">
        <f t="shared" si="35"/>
        <v>45139</v>
      </c>
    </row>
    <row r="1113" spans="1:19" x14ac:dyDescent="0.25">
      <c r="A1113" s="6" t="s">
        <v>2415</v>
      </c>
      <c r="B1113" s="7" t="s">
        <v>458</v>
      </c>
      <c r="C1113" s="15">
        <v>44938</v>
      </c>
      <c r="D1113" s="7" t="s">
        <v>672</v>
      </c>
      <c r="E1113" s="7" t="s">
        <v>724</v>
      </c>
      <c r="F1113" s="7">
        <v>89.99</v>
      </c>
      <c r="G1113" s="7">
        <v>4</v>
      </c>
      <c r="H1113" s="7">
        <v>20</v>
      </c>
      <c r="I1113" s="7">
        <v>71.989999999999995</v>
      </c>
      <c r="J1113" s="7">
        <v>287.95999999999998</v>
      </c>
      <c r="K1113" s="7" t="s">
        <v>661</v>
      </c>
      <c r="L1113" s="7" t="s">
        <v>656</v>
      </c>
      <c r="M1113" s="8">
        <v>5</v>
      </c>
      <c r="N1113">
        <f>VLOOKUP(B1113,Customers!A:J,7,0)</f>
        <v>25</v>
      </c>
      <c r="O1113" t="str">
        <f>VLOOKUP(B1113,Customers!A:J,5,0)</f>
        <v>Phoenix</v>
      </c>
      <c r="P1113" t="str">
        <f>VLOOKUP(B1113,Customers!A:J,10,0)</f>
        <v>Gold</v>
      </c>
      <c r="Q1113" t="str">
        <f>VLOOKUP(B1113,Customers!A:J,8,0)</f>
        <v>Male</v>
      </c>
      <c r="R1113" t="b">
        <f t="shared" si="34"/>
        <v>1</v>
      </c>
      <c r="S1113" s="18">
        <f t="shared" si="35"/>
        <v>44927</v>
      </c>
    </row>
    <row r="1114" spans="1:19" x14ac:dyDescent="0.25">
      <c r="A1114" s="3" t="s">
        <v>2416</v>
      </c>
      <c r="B1114" s="4" t="s">
        <v>458</v>
      </c>
      <c r="C1114" s="14">
        <v>45408</v>
      </c>
      <c r="D1114" s="4" t="s">
        <v>659</v>
      </c>
      <c r="E1114" s="4" t="s">
        <v>762</v>
      </c>
      <c r="F1114" s="4">
        <v>49.99</v>
      </c>
      <c r="G1114" s="4">
        <v>2</v>
      </c>
      <c r="H1114" s="4">
        <v>10</v>
      </c>
      <c r="I1114" s="4">
        <v>44.99</v>
      </c>
      <c r="J1114" s="4">
        <v>89.98</v>
      </c>
      <c r="K1114" s="4" t="s">
        <v>661</v>
      </c>
      <c r="L1114" s="4" t="s">
        <v>656</v>
      </c>
      <c r="M1114" s="5"/>
      <c r="N1114">
        <f>VLOOKUP(B1114,Customers!A:J,7,0)</f>
        <v>25</v>
      </c>
      <c r="O1114" t="str">
        <f>VLOOKUP(B1114,Customers!A:J,5,0)</f>
        <v>Phoenix</v>
      </c>
      <c r="P1114" t="str">
        <f>VLOOKUP(B1114,Customers!A:J,10,0)</f>
        <v>Gold</v>
      </c>
      <c r="Q1114" t="str">
        <f>VLOOKUP(B1114,Customers!A:J,8,0)</f>
        <v>Male</v>
      </c>
      <c r="R1114" t="b">
        <f t="shared" si="34"/>
        <v>1</v>
      </c>
      <c r="S1114" s="18">
        <f t="shared" si="35"/>
        <v>45383</v>
      </c>
    </row>
    <row r="1115" spans="1:19" x14ac:dyDescent="0.25">
      <c r="A1115" s="6" t="s">
        <v>2417</v>
      </c>
      <c r="B1115" s="7" t="s">
        <v>458</v>
      </c>
      <c r="C1115" s="15">
        <v>45489</v>
      </c>
      <c r="D1115" s="7" t="s">
        <v>653</v>
      </c>
      <c r="E1115" s="7" t="s">
        <v>827</v>
      </c>
      <c r="F1115" s="7">
        <v>29.99</v>
      </c>
      <c r="G1115" s="7">
        <v>2</v>
      </c>
      <c r="H1115" s="7">
        <v>15</v>
      </c>
      <c r="I1115" s="7">
        <v>25.49</v>
      </c>
      <c r="J1115" s="7">
        <v>50.98</v>
      </c>
      <c r="K1115" s="7" t="s">
        <v>675</v>
      </c>
      <c r="L1115" s="7" t="s">
        <v>656</v>
      </c>
      <c r="M1115" s="8"/>
      <c r="N1115">
        <f>VLOOKUP(B1115,Customers!A:J,7,0)</f>
        <v>25</v>
      </c>
      <c r="O1115" t="str">
        <f>VLOOKUP(B1115,Customers!A:J,5,0)</f>
        <v>Phoenix</v>
      </c>
      <c r="P1115" t="str">
        <f>VLOOKUP(B1115,Customers!A:J,10,0)</f>
        <v>Gold</v>
      </c>
      <c r="Q1115" t="str">
        <f>VLOOKUP(B1115,Customers!A:J,8,0)</f>
        <v>Male</v>
      </c>
      <c r="R1115" t="b">
        <f t="shared" si="34"/>
        <v>1</v>
      </c>
      <c r="S1115" s="18">
        <f t="shared" si="35"/>
        <v>45474</v>
      </c>
    </row>
    <row r="1116" spans="1:19" x14ac:dyDescent="0.25">
      <c r="A1116" s="3" t="s">
        <v>2419</v>
      </c>
      <c r="B1116" s="4" t="s">
        <v>458</v>
      </c>
      <c r="C1116" s="14">
        <v>44900</v>
      </c>
      <c r="D1116" s="4" t="s">
        <v>680</v>
      </c>
      <c r="E1116" s="4" t="s">
        <v>688</v>
      </c>
      <c r="F1116" s="4">
        <v>29.99</v>
      </c>
      <c r="G1116" s="4">
        <v>2</v>
      </c>
      <c r="H1116" s="4">
        <v>15</v>
      </c>
      <c r="I1116" s="4">
        <v>25.49</v>
      </c>
      <c r="J1116" s="4">
        <v>50.98</v>
      </c>
      <c r="K1116" s="4" t="s">
        <v>669</v>
      </c>
      <c r="L1116" s="4" t="s">
        <v>656</v>
      </c>
      <c r="M1116" s="5"/>
      <c r="N1116">
        <f>VLOOKUP(B1116,Customers!A:J,7,0)</f>
        <v>25</v>
      </c>
      <c r="O1116" t="str">
        <f>VLOOKUP(B1116,Customers!A:J,5,0)</f>
        <v>Phoenix</v>
      </c>
      <c r="P1116" t="str">
        <f>VLOOKUP(B1116,Customers!A:J,10,0)</f>
        <v>Gold</v>
      </c>
      <c r="Q1116" t="str">
        <f>VLOOKUP(B1116,Customers!A:J,8,0)</f>
        <v>Male</v>
      </c>
      <c r="R1116" t="b">
        <f t="shared" si="34"/>
        <v>1</v>
      </c>
      <c r="S1116" s="18">
        <f t="shared" si="35"/>
        <v>44896</v>
      </c>
    </row>
    <row r="1117" spans="1:19" x14ac:dyDescent="0.25">
      <c r="A1117" s="6" t="s">
        <v>2421</v>
      </c>
      <c r="B1117" s="7" t="s">
        <v>458</v>
      </c>
      <c r="C1117" s="15">
        <v>44700</v>
      </c>
      <c r="D1117" s="7" t="s">
        <v>659</v>
      </c>
      <c r="E1117" s="7" t="s">
        <v>664</v>
      </c>
      <c r="F1117" s="7">
        <v>24.99</v>
      </c>
      <c r="G1117" s="7">
        <v>2</v>
      </c>
      <c r="H1117" s="7">
        <v>20</v>
      </c>
      <c r="I1117" s="7">
        <v>19.989999999999998</v>
      </c>
      <c r="J1117" s="7">
        <v>39.979999999999997</v>
      </c>
      <c r="K1117" s="7" t="s">
        <v>675</v>
      </c>
      <c r="L1117" s="7" t="s">
        <v>656</v>
      </c>
      <c r="M1117" s="8">
        <v>5</v>
      </c>
      <c r="N1117">
        <f>VLOOKUP(B1117,Customers!A:J,7,0)</f>
        <v>25</v>
      </c>
      <c r="O1117" t="str">
        <f>VLOOKUP(B1117,Customers!A:J,5,0)</f>
        <v>Phoenix</v>
      </c>
      <c r="P1117" t="str">
        <f>VLOOKUP(B1117,Customers!A:J,10,0)</f>
        <v>Gold</v>
      </c>
      <c r="Q1117" t="str">
        <f>VLOOKUP(B1117,Customers!A:J,8,0)</f>
        <v>Male</v>
      </c>
      <c r="R1117" t="b">
        <f t="shared" si="34"/>
        <v>1</v>
      </c>
      <c r="S1117" s="18">
        <f t="shared" si="35"/>
        <v>44682</v>
      </c>
    </row>
    <row r="1118" spans="1:19" x14ac:dyDescent="0.25">
      <c r="A1118" s="3" t="s">
        <v>2422</v>
      </c>
      <c r="B1118" s="4" t="s">
        <v>458</v>
      </c>
      <c r="C1118" s="14">
        <v>45272</v>
      </c>
      <c r="D1118" s="4" t="s">
        <v>667</v>
      </c>
      <c r="E1118" s="4" t="s">
        <v>699</v>
      </c>
      <c r="F1118" s="4">
        <v>89.99</v>
      </c>
      <c r="G1118" s="4">
        <v>1</v>
      </c>
      <c r="H1118" s="4">
        <v>0</v>
      </c>
      <c r="I1118" s="4">
        <v>89.99</v>
      </c>
      <c r="J1118" s="4">
        <v>89.99</v>
      </c>
      <c r="K1118" s="4" t="s">
        <v>682</v>
      </c>
      <c r="L1118" s="4" t="s">
        <v>656</v>
      </c>
      <c r="M1118" s="5">
        <v>5</v>
      </c>
      <c r="N1118">
        <f>VLOOKUP(B1118,Customers!A:J,7,0)</f>
        <v>25</v>
      </c>
      <c r="O1118" t="str">
        <f>VLOOKUP(B1118,Customers!A:J,5,0)</f>
        <v>Phoenix</v>
      </c>
      <c r="P1118" t="str">
        <f>VLOOKUP(B1118,Customers!A:J,10,0)</f>
        <v>Gold</v>
      </c>
      <c r="Q1118" t="str">
        <f>VLOOKUP(B1118,Customers!A:J,8,0)</f>
        <v>Male</v>
      </c>
      <c r="R1118" t="b">
        <f t="shared" si="34"/>
        <v>1</v>
      </c>
      <c r="S1118" s="18">
        <f t="shared" si="35"/>
        <v>45261</v>
      </c>
    </row>
    <row r="1119" spans="1:19" x14ac:dyDescent="0.25">
      <c r="A1119" s="6" t="s">
        <v>2423</v>
      </c>
      <c r="B1119" s="7" t="s">
        <v>458</v>
      </c>
      <c r="C1119" s="15">
        <v>44986</v>
      </c>
      <c r="D1119" s="7" t="s">
        <v>684</v>
      </c>
      <c r="E1119" s="7" t="s">
        <v>705</v>
      </c>
      <c r="F1119" s="7">
        <v>79.989999999999995</v>
      </c>
      <c r="G1119" s="7">
        <v>3</v>
      </c>
      <c r="H1119" s="7">
        <v>0</v>
      </c>
      <c r="I1119" s="7">
        <v>79.989999999999995</v>
      </c>
      <c r="J1119" s="7">
        <v>239.97</v>
      </c>
      <c r="K1119" s="7" t="s">
        <v>675</v>
      </c>
      <c r="L1119" s="7" t="s">
        <v>656</v>
      </c>
      <c r="M1119" s="8">
        <v>4</v>
      </c>
      <c r="N1119">
        <f>VLOOKUP(B1119,Customers!A:J,7,0)</f>
        <v>25</v>
      </c>
      <c r="O1119" t="str">
        <f>VLOOKUP(B1119,Customers!A:J,5,0)</f>
        <v>Phoenix</v>
      </c>
      <c r="P1119" t="str">
        <f>VLOOKUP(B1119,Customers!A:J,10,0)</f>
        <v>Gold</v>
      </c>
      <c r="Q1119" t="str">
        <f>VLOOKUP(B1119,Customers!A:J,8,0)</f>
        <v>Male</v>
      </c>
      <c r="R1119" t="b">
        <f t="shared" si="34"/>
        <v>1</v>
      </c>
      <c r="S1119" s="18">
        <f t="shared" si="35"/>
        <v>44986</v>
      </c>
    </row>
    <row r="1120" spans="1:19" x14ac:dyDescent="0.25">
      <c r="A1120" s="3" t="s">
        <v>2425</v>
      </c>
      <c r="B1120" s="4" t="s">
        <v>461</v>
      </c>
      <c r="C1120" s="14">
        <v>45498</v>
      </c>
      <c r="D1120" s="4" t="s">
        <v>710</v>
      </c>
      <c r="E1120" s="4" t="s">
        <v>721</v>
      </c>
      <c r="F1120" s="4">
        <v>24.99</v>
      </c>
      <c r="G1120" s="4">
        <v>1</v>
      </c>
      <c r="H1120" s="4">
        <v>0</v>
      </c>
      <c r="I1120" s="4">
        <v>24.99</v>
      </c>
      <c r="J1120" s="4">
        <v>24.99</v>
      </c>
      <c r="K1120" s="4" t="s">
        <v>669</v>
      </c>
      <c r="L1120" s="4" t="s">
        <v>656</v>
      </c>
      <c r="M1120" s="5">
        <v>5</v>
      </c>
      <c r="N1120">
        <f>VLOOKUP(B1120,Customers!A:J,7,0)</f>
        <v>34</v>
      </c>
      <c r="O1120" t="str">
        <f>VLOOKUP(B1120,Customers!A:J,5,0)</f>
        <v>Philadelphia</v>
      </c>
      <c r="P1120" t="str">
        <f>VLOOKUP(B1120,Customers!A:J,10,0)</f>
        <v>Silver</v>
      </c>
      <c r="Q1120" t="str">
        <f>VLOOKUP(B1120,Customers!A:J,8,0)</f>
        <v>Male</v>
      </c>
      <c r="R1120" t="b">
        <f t="shared" si="34"/>
        <v>1</v>
      </c>
      <c r="S1120" s="18">
        <f t="shared" si="35"/>
        <v>45474</v>
      </c>
    </row>
    <row r="1121" spans="1:19" x14ac:dyDescent="0.25">
      <c r="A1121" s="6" t="s">
        <v>2427</v>
      </c>
      <c r="B1121" s="7" t="s">
        <v>463</v>
      </c>
      <c r="C1121" s="15">
        <v>45395</v>
      </c>
      <c r="D1121" s="7" t="s">
        <v>659</v>
      </c>
      <c r="E1121" s="7" t="s">
        <v>762</v>
      </c>
      <c r="F1121" s="7">
        <v>49.99</v>
      </c>
      <c r="G1121" s="7">
        <v>1</v>
      </c>
      <c r="H1121" s="7">
        <v>0</v>
      </c>
      <c r="I1121" s="7">
        <v>49.99</v>
      </c>
      <c r="J1121" s="7">
        <v>49.99</v>
      </c>
      <c r="K1121" s="7" t="s">
        <v>682</v>
      </c>
      <c r="L1121" s="7" t="s">
        <v>739</v>
      </c>
      <c r="M1121" s="8">
        <v>2</v>
      </c>
      <c r="N1121">
        <f>VLOOKUP(B1121,Customers!A:J,7,0)</f>
        <v>64</v>
      </c>
      <c r="O1121" t="str">
        <f>VLOOKUP(B1121,Customers!A:J,5,0)</f>
        <v>Chicago</v>
      </c>
      <c r="P1121" t="str">
        <f>VLOOKUP(B1121,Customers!A:J,10,0)</f>
        <v>Gold</v>
      </c>
      <c r="Q1121" t="str">
        <f>VLOOKUP(B1121,Customers!A:J,8,0)</f>
        <v>Female</v>
      </c>
      <c r="R1121" t="b">
        <f t="shared" si="34"/>
        <v>1</v>
      </c>
      <c r="S1121" s="18">
        <f t="shared" si="35"/>
        <v>45383</v>
      </c>
    </row>
    <row r="1122" spans="1:19" x14ac:dyDescent="0.25">
      <c r="A1122" s="3" t="s">
        <v>2428</v>
      </c>
      <c r="B1122" s="4" t="s">
        <v>463</v>
      </c>
      <c r="C1122" s="14">
        <v>44882</v>
      </c>
      <c r="D1122" s="4" t="s">
        <v>653</v>
      </c>
      <c r="E1122" s="4" t="s">
        <v>727</v>
      </c>
      <c r="F1122" s="4">
        <v>14.99</v>
      </c>
      <c r="G1122" s="4">
        <v>3</v>
      </c>
      <c r="H1122" s="4">
        <v>0</v>
      </c>
      <c r="I1122" s="4">
        <v>14.99</v>
      </c>
      <c r="J1122" s="4">
        <v>44.97</v>
      </c>
      <c r="K1122" s="4" t="s">
        <v>655</v>
      </c>
      <c r="L1122" s="4" t="s">
        <v>656</v>
      </c>
      <c r="M1122" s="5"/>
      <c r="N1122">
        <f>VLOOKUP(B1122,Customers!A:J,7,0)</f>
        <v>64</v>
      </c>
      <c r="O1122" t="str">
        <f>VLOOKUP(B1122,Customers!A:J,5,0)</f>
        <v>Chicago</v>
      </c>
      <c r="P1122" t="str">
        <f>VLOOKUP(B1122,Customers!A:J,10,0)</f>
        <v>Gold</v>
      </c>
      <c r="Q1122" t="str">
        <f>VLOOKUP(B1122,Customers!A:J,8,0)</f>
        <v>Female</v>
      </c>
      <c r="R1122" t="b">
        <f t="shared" si="34"/>
        <v>1</v>
      </c>
      <c r="S1122" s="18">
        <f t="shared" si="35"/>
        <v>44866</v>
      </c>
    </row>
    <row r="1123" spans="1:19" x14ac:dyDescent="0.25">
      <c r="A1123" s="6" t="s">
        <v>2429</v>
      </c>
      <c r="B1123" s="7" t="s">
        <v>463</v>
      </c>
      <c r="C1123" s="15">
        <v>45379</v>
      </c>
      <c r="D1123" s="7" t="s">
        <v>684</v>
      </c>
      <c r="E1123" s="7" t="s">
        <v>815</v>
      </c>
      <c r="F1123" s="7">
        <v>34.99</v>
      </c>
      <c r="G1123" s="7">
        <v>3</v>
      </c>
      <c r="H1123" s="7">
        <v>0</v>
      </c>
      <c r="I1123" s="7">
        <v>34.99</v>
      </c>
      <c r="J1123" s="7">
        <v>104.97</v>
      </c>
      <c r="K1123" s="7" t="s">
        <v>661</v>
      </c>
      <c r="L1123" s="7" t="s">
        <v>656</v>
      </c>
      <c r="M1123" s="8"/>
      <c r="N1123">
        <f>VLOOKUP(B1123,Customers!A:J,7,0)</f>
        <v>64</v>
      </c>
      <c r="O1123" t="str">
        <f>VLOOKUP(B1123,Customers!A:J,5,0)</f>
        <v>Chicago</v>
      </c>
      <c r="P1123" t="str">
        <f>VLOOKUP(B1123,Customers!A:J,10,0)</f>
        <v>Gold</v>
      </c>
      <c r="Q1123" t="str">
        <f>VLOOKUP(B1123,Customers!A:J,8,0)</f>
        <v>Female</v>
      </c>
      <c r="R1123" t="b">
        <f t="shared" si="34"/>
        <v>1</v>
      </c>
      <c r="S1123" s="18">
        <f t="shared" si="35"/>
        <v>45352</v>
      </c>
    </row>
    <row r="1124" spans="1:19" x14ac:dyDescent="0.25">
      <c r="A1124" s="3" t="s">
        <v>2430</v>
      </c>
      <c r="B1124" s="4" t="s">
        <v>463</v>
      </c>
      <c r="C1124" s="14">
        <v>44739</v>
      </c>
      <c r="D1124" s="4" t="s">
        <v>680</v>
      </c>
      <c r="E1124" s="4" t="s">
        <v>681</v>
      </c>
      <c r="F1124" s="4">
        <v>19.989999999999998</v>
      </c>
      <c r="G1124" s="4">
        <v>3</v>
      </c>
      <c r="H1124" s="4">
        <v>0</v>
      </c>
      <c r="I1124" s="4">
        <v>19.989999999999998</v>
      </c>
      <c r="J1124" s="4">
        <v>59.97</v>
      </c>
      <c r="K1124" s="4" t="s">
        <v>661</v>
      </c>
      <c r="L1124" s="4" t="s">
        <v>656</v>
      </c>
      <c r="M1124" s="5">
        <v>3</v>
      </c>
      <c r="N1124">
        <f>VLOOKUP(B1124,Customers!A:J,7,0)</f>
        <v>64</v>
      </c>
      <c r="O1124" t="str">
        <f>VLOOKUP(B1124,Customers!A:J,5,0)</f>
        <v>Chicago</v>
      </c>
      <c r="P1124" t="str">
        <f>VLOOKUP(B1124,Customers!A:J,10,0)</f>
        <v>Gold</v>
      </c>
      <c r="Q1124" t="str">
        <f>VLOOKUP(B1124,Customers!A:J,8,0)</f>
        <v>Female</v>
      </c>
      <c r="R1124" t="b">
        <f t="shared" si="34"/>
        <v>1</v>
      </c>
      <c r="S1124" s="18">
        <f t="shared" si="35"/>
        <v>44713</v>
      </c>
    </row>
    <row r="1125" spans="1:19" x14ac:dyDescent="0.25">
      <c r="A1125" s="6" t="s">
        <v>2431</v>
      </c>
      <c r="B1125" s="7" t="s">
        <v>463</v>
      </c>
      <c r="C1125" s="15">
        <v>44861</v>
      </c>
      <c r="D1125" s="7" t="s">
        <v>684</v>
      </c>
      <c r="E1125" s="7" t="s">
        <v>705</v>
      </c>
      <c r="F1125" s="7">
        <v>79.989999999999995</v>
      </c>
      <c r="G1125" s="7">
        <v>3</v>
      </c>
      <c r="H1125" s="7">
        <v>5</v>
      </c>
      <c r="I1125" s="7">
        <v>75.989999999999995</v>
      </c>
      <c r="J1125" s="7">
        <v>227.97</v>
      </c>
      <c r="K1125" s="7" t="s">
        <v>675</v>
      </c>
      <c r="L1125" s="7" t="s">
        <v>656</v>
      </c>
      <c r="M1125" s="8">
        <v>5</v>
      </c>
      <c r="N1125">
        <f>VLOOKUP(B1125,Customers!A:J,7,0)</f>
        <v>64</v>
      </c>
      <c r="O1125" t="str">
        <f>VLOOKUP(B1125,Customers!A:J,5,0)</f>
        <v>Chicago</v>
      </c>
      <c r="P1125" t="str">
        <f>VLOOKUP(B1125,Customers!A:J,10,0)</f>
        <v>Gold</v>
      </c>
      <c r="Q1125" t="str">
        <f>VLOOKUP(B1125,Customers!A:J,8,0)</f>
        <v>Female</v>
      </c>
      <c r="R1125" t="b">
        <f t="shared" si="34"/>
        <v>1</v>
      </c>
      <c r="S1125" s="18">
        <f t="shared" si="35"/>
        <v>44835</v>
      </c>
    </row>
    <row r="1126" spans="1:19" x14ac:dyDescent="0.25">
      <c r="A1126" s="3" t="s">
        <v>2432</v>
      </c>
      <c r="B1126" s="4" t="s">
        <v>463</v>
      </c>
      <c r="C1126" s="14">
        <v>45122</v>
      </c>
      <c r="D1126" s="4" t="s">
        <v>659</v>
      </c>
      <c r="E1126" s="4" t="s">
        <v>762</v>
      </c>
      <c r="F1126" s="4">
        <v>49.99</v>
      </c>
      <c r="G1126" s="4">
        <v>4</v>
      </c>
      <c r="H1126" s="4">
        <v>0</v>
      </c>
      <c r="I1126" s="4">
        <v>49.99</v>
      </c>
      <c r="J1126" s="4">
        <v>199.96</v>
      </c>
      <c r="K1126" s="4" t="s">
        <v>661</v>
      </c>
      <c r="L1126" s="4" t="s">
        <v>656</v>
      </c>
      <c r="M1126" s="5">
        <v>4</v>
      </c>
      <c r="N1126">
        <f>VLOOKUP(B1126,Customers!A:J,7,0)</f>
        <v>64</v>
      </c>
      <c r="O1126" t="str">
        <f>VLOOKUP(B1126,Customers!A:J,5,0)</f>
        <v>Chicago</v>
      </c>
      <c r="P1126" t="str">
        <f>VLOOKUP(B1126,Customers!A:J,10,0)</f>
        <v>Gold</v>
      </c>
      <c r="Q1126" t="str">
        <f>VLOOKUP(B1126,Customers!A:J,8,0)</f>
        <v>Female</v>
      </c>
      <c r="R1126" t="b">
        <f t="shared" si="34"/>
        <v>1</v>
      </c>
      <c r="S1126" s="18">
        <f t="shared" si="35"/>
        <v>45108</v>
      </c>
    </row>
    <row r="1127" spans="1:19" x14ac:dyDescent="0.25">
      <c r="A1127" s="6" t="s">
        <v>2433</v>
      </c>
      <c r="B1127" s="7" t="s">
        <v>465</v>
      </c>
      <c r="C1127" s="15">
        <v>45645</v>
      </c>
      <c r="D1127" s="7" t="s">
        <v>680</v>
      </c>
      <c r="E1127" s="7" t="s">
        <v>749</v>
      </c>
      <c r="F1127" s="7">
        <v>14.99</v>
      </c>
      <c r="G1127" s="7">
        <v>1</v>
      </c>
      <c r="H1127" s="7">
        <v>10</v>
      </c>
      <c r="I1127" s="7">
        <v>13.49</v>
      </c>
      <c r="J1127" s="7">
        <v>13.49</v>
      </c>
      <c r="K1127" s="7" t="s">
        <v>675</v>
      </c>
      <c r="L1127" s="7" t="s">
        <v>656</v>
      </c>
      <c r="M1127" s="8">
        <v>5</v>
      </c>
      <c r="N1127">
        <f>VLOOKUP(B1127,Customers!A:J,7,0)</f>
        <v>35</v>
      </c>
      <c r="O1127" t="str">
        <f>VLOOKUP(B1127,Customers!A:J,5,0)</f>
        <v>Chicago</v>
      </c>
      <c r="P1127" t="str">
        <f>VLOOKUP(B1127,Customers!A:J,10,0)</f>
        <v>Free</v>
      </c>
      <c r="Q1127" t="str">
        <f>VLOOKUP(B1127,Customers!A:J,8,0)</f>
        <v>Female</v>
      </c>
      <c r="R1127" t="b">
        <f t="shared" si="34"/>
        <v>1</v>
      </c>
      <c r="S1127" s="18">
        <f t="shared" si="35"/>
        <v>45627</v>
      </c>
    </row>
    <row r="1128" spans="1:19" x14ac:dyDescent="0.25">
      <c r="A1128" s="3" t="s">
        <v>2434</v>
      </c>
      <c r="B1128" s="4" t="s">
        <v>465</v>
      </c>
      <c r="C1128" s="14">
        <v>44985</v>
      </c>
      <c r="D1128" s="4" t="s">
        <v>659</v>
      </c>
      <c r="E1128" s="4" t="s">
        <v>660</v>
      </c>
      <c r="F1128" s="4">
        <v>19.989999999999998</v>
      </c>
      <c r="G1128" s="4">
        <v>3</v>
      </c>
      <c r="H1128" s="4">
        <v>0</v>
      </c>
      <c r="I1128" s="4">
        <v>19.989999999999998</v>
      </c>
      <c r="J1128" s="4">
        <v>59.97</v>
      </c>
      <c r="K1128" s="4" t="s">
        <v>655</v>
      </c>
      <c r="L1128" s="4" t="s">
        <v>656</v>
      </c>
      <c r="M1128" s="5">
        <v>5</v>
      </c>
      <c r="N1128">
        <f>VLOOKUP(B1128,Customers!A:J,7,0)</f>
        <v>35</v>
      </c>
      <c r="O1128" t="str">
        <f>VLOOKUP(B1128,Customers!A:J,5,0)</f>
        <v>Chicago</v>
      </c>
      <c r="P1128" t="str">
        <f>VLOOKUP(B1128,Customers!A:J,10,0)</f>
        <v>Free</v>
      </c>
      <c r="Q1128" t="str">
        <f>VLOOKUP(B1128,Customers!A:J,8,0)</f>
        <v>Female</v>
      </c>
      <c r="R1128" t="b">
        <f t="shared" si="34"/>
        <v>1</v>
      </c>
      <c r="S1128" s="18">
        <f t="shared" si="35"/>
        <v>44958</v>
      </c>
    </row>
    <row r="1129" spans="1:19" x14ac:dyDescent="0.25">
      <c r="A1129" s="6" t="s">
        <v>2435</v>
      </c>
      <c r="B1129" s="7" t="s">
        <v>465</v>
      </c>
      <c r="C1129" s="15">
        <v>45043</v>
      </c>
      <c r="D1129" s="7" t="s">
        <v>659</v>
      </c>
      <c r="E1129" s="7" t="s">
        <v>762</v>
      </c>
      <c r="F1129" s="7">
        <v>49.99</v>
      </c>
      <c r="G1129" s="7">
        <v>2</v>
      </c>
      <c r="H1129" s="7">
        <v>15</v>
      </c>
      <c r="I1129" s="7">
        <v>42.49</v>
      </c>
      <c r="J1129" s="7">
        <v>84.98</v>
      </c>
      <c r="K1129" s="7" t="s">
        <v>682</v>
      </c>
      <c r="L1129" s="7" t="s">
        <v>656</v>
      </c>
      <c r="M1129" s="8">
        <v>5</v>
      </c>
      <c r="N1129">
        <f>VLOOKUP(B1129,Customers!A:J,7,0)</f>
        <v>35</v>
      </c>
      <c r="O1129" t="str">
        <f>VLOOKUP(B1129,Customers!A:J,5,0)</f>
        <v>Chicago</v>
      </c>
      <c r="P1129" t="str">
        <f>VLOOKUP(B1129,Customers!A:J,10,0)</f>
        <v>Free</v>
      </c>
      <c r="Q1129" t="str">
        <f>VLOOKUP(B1129,Customers!A:J,8,0)</f>
        <v>Female</v>
      </c>
      <c r="R1129" t="b">
        <f t="shared" si="34"/>
        <v>1</v>
      </c>
      <c r="S1129" s="18">
        <f t="shared" si="35"/>
        <v>45017</v>
      </c>
    </row>
    <row r="1130" spans="1:19" x14ac:dyDescent="0.25">
      <c r="A1130" s="3" t="s">
        <v>2437</v>
      </c>
      <c r="B1130" s="4" t="s">
        <v>465</v>
      </c>
      <c r="C1130" s="14">
        <v>45105</v>
      </c>
      <c r="D1130" s="4" t="s">
        <v>680</v>
      </c>
      <c r="E1130" s="4" t="s">
        <v>749</v>
      </c>
      <c r="F1130" s="4">
        <v>14.99</v>
      </c>
      <c r="G1130" s="4">
        <v>4</v>
      </c>
      <c r="H1130" s="4">
        <v>0</v>
      </c>
      <c r="I1130" s="4">
        <v>14.99</v>
      </c>
      <c r="J1130" s="4">
        <v>59.96</v>
      </c>
      <c r="K1130" s="4" t="s">
        <v>655</v>
      </c>
      <c r="L1130" s="4" t="s">
        <v>788</v>
      </c>
      <c r="M1130" s="5"/>
      <c r="N1130">
        <f>VLOOKUP(B1130,Customers!A:J,7,0)</f>
        <v>35</v>
      </c>
      <c r="O1130" t="str">
        <f>VLOOKUP(B1130,Customers!A:J,5,0)</f>
        <v>Chicago</v>
      </c>
      <c r="P1130" t="str">
        <f>VLOOKUP(B1130,Customers!A:J,10,0)</f>
        <v>Free</v>
      </c>
      <c r="Q1130" t="str">
        <f>VLOOKUP(B1130,Customers!A:J,8,0)</f>
        <v>Female</v>
      </c>
      <c r="R1130" t="b">
        <f t="shared" si="34"/>
        <v>1</v>
      </c>
      <c r="S1130" s="18">
        <f t="shared" si="35"/>
        <v>45078</v>
      </c>
    </row>
    <row r="1131" spans="1:19" x14ac:dyDescent="0.25">
      <c r="A1131" s="6" t="s">
        <v>2439</v>
      </c>
      <c r="B1131" s="7" t="s">
        <v>465</v>
      </c>
      <c r="C1131" s="15">
        <v>45435</v>
      </c>
      <c r="D1131" s="7" t="s">
        <v>710</v>
      </c>
      <c r="E1131" s="7" t="s">
        <v>730</v>
      </c>
      <c r="F1131" s="7">
        <v>39.99</v>
      </c>
      <c r="G1131" s="7">
        <v>1</v>
      </c>
      <c r="H1131" s="7">
        <v>10</v>
      </c>
      <c r="I1131" s="7">
        <v>35.99</v>
      </c>
      <c r="J1131" s="7">
        <v>35.99</v>
      </c>
      <c r="K1131" s="7" t="s">
        <v>675</v>
      </c>
      <c r="L1131" s="7" t="s">
        <v>656</v>
      </c>
      <c r="M1131" s="8">
        <v>5</v>
      </c>
      <c r="N1131">
        <f>VLOOKUP(B1131,Customers!A:J,7,0)</f>
        <v>35</v>
      </c>
      <c r="O1131" t="str">
        <f>VLOOKUP(B1131,Customers!A:J,5,0)</f>
        <v>Chicago</v>
      </c>
      <c r="P1131" t="str">
        <f>VLOOKUP(B1131,Customers!A:J,10,0)</f>
        <v>Free</v>
      </c>
      <c r="Q1131" t="str">
        <f>VLOOKUP(B1131,Customers!A:J,8,0)</f>
        <v>Female</v>
      </c>
      <c r="R1131" t="b">
        <f t="shared" si="34"/>
        <v>1</v>
      </c>
      <c r="S1131" s="18">
        <f t="shared" si="35"/>
        <v>45413</v>
      </c>
    </row>
    <row r="1132" spans="1:19" x14ac:dyDescent="0.25">
      <c r="A1132" s="3" t="s">
        <v>2441</v>
      </c>
      <c r="B1132" s="4" t="s">
        <v>468</v>
      </c>
      <c r="C1132" s="14">
        <v>44688</v>
      </c>
      <c r="D1132" s="4" t="s">
        <v>684</v>
      </c>
      <c r="E1132" s="4" t="s">
        <v>705</v>
      </c>
      <c r="F1132" s="4">
        <v>79.989999999999995</v>
      </c>
      <c r="G1132" s="4">
        <v>3</v>
      </c>
      <c r="H1132" s="4">
        <v>0</v>
      </c>
      <c r="I1132" s="4">
        <v>79.989999999999995</v>
      </c>
      <c r="J1132" s="4">
        <v>239.97</v>
      </c>
      <c r="K1132" s="4" t="s">
        <v>661</v>
      </c>
      <c r="L1132" s="4" t="s">
        <v>656</v>
      </c>
      <c r="M1132" s="5">
        <v>4</v>
      </c>
      <c r="N1132">
        <f>VLOOKUP(B1132,Customers!A:J,7,0)</f>
        <v>62</v>
      </c>
      <c r="O1132" t="str">
        <f>VLOOKUP(B1132,Customers!A:J,5,0)</f>
        <v>Austin</v>
      </c>
      <c r="P1132" t="str">
        <f>VLOOKUP(B1132,Customers!A:J,10,0)</f>
        <v>Free</v>
      </c>
      <c r="Q1132" t="str">
        <f>VLOOKUP(B1132,Customers!A:J,8,0)</f>
        <v>Male</v>
      </c>
      <c r="R1132" t="b">
        <f t="shared" si="34"/>
        <v>1</v>
      </c>
      <c r="S1132" s="18">
        <f t="shared" si="35"/>
        <v>44682</v>
      </c>
    </row>
    <row r="1133" spans="1:19" x14ac:dyDescent="0.25">
      <c r="A1133" s="6" t="s">
        <v>2442</v>
      </c>
      <c r="B1133" s="7" t="s">
        <v>468</v>
      </c>
      <c r="C1133" s="15">
        <v>44888</v>
      </c>
      <c r="D1133" s="7" t="s">
        <v>659</v>
      </c>
      <c r="E1133" s="7" t="s">
        <v>664</v>
      </c>
      <c r="F1133" s="7">
        <v>24.99</v>
      </c>
      <c r="G1133" s="7">
        <v>1</v>
      </c>
      <c r="H1133" s="7">
        <v>10</v>
      </c>
      <c r="I1133" s="7">
        <v>22.49</v>
      </c>
      <c r="J1133" s="7">
        <v>22.49</v>
      </c>
      <c r="K1133" s="7" t="s">
        <v>682</v>
      </c>
      <c r="L1133" s="7" t="s">
        <v>656</v>
      </c>
      <c r="M1133" s="8">
        <v>5</v>
      </c>
      <c r="N1133">
        <f>VLOOKUP(B1133,Customers!A:J,7,0)</f>
        <v>62</v>
      </c>
      <c r="O1133" t="str">
        <f>VLOOKUP(B1133,Customers!A:J,5,0)</f>
        <v>Austin</v>
      </c>
      <c r="P1133" t="str">
        <f>VLOOKUP(B1133,Customers!A:J,10,0)</f>
        <v>Free</v>
      </c>
      <c r="Q1133" t="str">
        <f>VLOOKUP(B1133,Customers!A:J,8,0)</f>
        <v>Male</v>
      </c>
      <c r="R1133" t="b">
        <f t="shared" si="34"/>
        <v>1</v>
      </c>
      <c r="S1133" s="18">
        <f t="shared" si="35"/>
        <v>44866</v>
      </c>
    </row>
    <row r="1134" spans="1:19" x14ac:dyDescent="0.25">
      <c r="A1134" s="3" t="s">
        <v>2443</v>
      </c>
      <c r="B1134" s="4" t="s">
        <v>468</v>
      </c>
      <c r="C1134" s="14">
        <v>44768</v>
      </c>
      <c r="D1134" s="4" t="s">
        <v>680</v>
      </c>
      <c r="E1134" s="4" t="s">
        <v>681</v>
      </c>
      <c r="F1134" s="4">
        <v>19.989999999999998</v>
      </c>
      <c r="G1134" s="4">
        <v>3</v>
      </c>
      <c r="H1134" s="4">
        <v>0</v>
      </c>
      <c r="I1134" s="4">
        <v>19.989999999999998</v>
      </c>
      <c r="J1134" s="4">
        <v>59.97</v>
      </c>
      <c r="K1134" s="4" t="s">
        <v>655</v>
      </c>
      <c r="L1134" s="4" t="s">
        <v>693</v>
      </c>
      <c r="M1134" s="5">
        <v>3</v>
      </c>
      <c r="N1134">
        <f>VLOOKUP(B1134,Customers!A:J,7,0)</f>
        <v>62</v>
      </c>
      <c r="O1134" t="str">
        <f>VLOOKUP(B1134,Customers!A:J,5,0)</f>
        <v>Austin</v>
      </c>
      <c r="P1134" t="str">
        <f>VLOOKUP(B1134,Customers!A:J,10,0)</f>
        <v>Free</v>
      </c>
      <c r="Q1134" t="str">
        <f>VLOOKUP(B1134,Customers!A:J,8,0)</f>
        <v>Male</v>
      </c>
      <c r="R1134" t="b">
        <f t="shared" si="34"/>
        <v>1</v>
      </c>
      <c r="S1134" s="18">
        <f t="shared" si="35"/>
        <v>44743</v>
      </c>
    </row>
    <row r="1135" spans="1:19" x14ac:dyDescent="0.25">
      <c r="A1135" s="6" t="s">
        <v>2445</v>
      </c>
      <c r="B1135" s="7" t="s">
        <v>468</v>
      </c>
      <c r="C1135" s="15">
        <v>45400</v>
      </c>
      <c r="D1135" s="7" t="s">
        <v>672</v>
      </c>
      <c r="E1135" s="7" t="s">
        <v>724</v>
      </c>
      <c r="F1135" s="7">
        <v>89.99</v>
      </c>
      <c r="G1135" s="7">
        <v>4</v>
      </c>
      <c r="H1135" s="7">
        <v>0</v>
      </c>
      <c r="I1135" s="7">
        <v>89.99</v>
      </c>
      <c r="J1135" s="7">
        <v>359.96</v>
      </c>
      <c r="K1135" s="7" t="s">
        <v>682</v>
      </c>
      <c r="L1135" s="7" t="s">
        <v>656</v>
      </c>
      <c r="M1135" s="8">
        <v>3</v>
      </c>
      <c r="N1135">
        <f>VLOOKUP(B1135,Customers!A:J,7,0)</f>
        <v>62</v>
      </c>
      <c r="O1135" t="str">
        <f>VLOOKUP(B1135,Customers!A:J,5,0)</f>
        <v>Austin</v>
      </c>
      <c r="P1135" t="str">
        <f>VLOOKUP(B1135,Customers!A:J,10,0)</f>
        <v>Free</v>
      </c>
      <c r="Q1135" t="str">
        <f>VLOOKUP(B1135,Customers!A:J,8,0)</f>
        <v>Male</v>
      </c>
      <c r="R1135" t="b">
        <f t="shared" si="34"/>
        <v>1</v>
      </c>
      <c r="S1135" s="18">
        <f t="shared" si="35"/>
        <v>45383</v>
      </c>
    </row>
    <row r="1136" spans="1:19" x14ac:dyDescent="0.25">
      <c r="A1136" s="3" t="s">
        <v>2446</v>
      </c>
      <c r="B1136" s="4" t="s">
        <v>468</v>
      </c>
      <c r="C1136" s="14">
        <v>44675</v>
      </c>
      <c r="D1136" s="4" t="s">
        <v>653</v>
      </c>
      <c r="E1136" s="4" t="s">
        <v>827</v>
      </c>
      <c r="F1136" s="4">
        <v>29.99</v>
      </c>
      <c r="G1136" s="4">
        <v>2</v>
      </c>
      <c r="H1136" s="4">
        <v>15</v>
      </c>
      <c r="I1136" s="4">
        <v>25.49</v>
      </c>
      <c r="J1136" s="4">
        <v>50.98</v>
      </c>
      <c r="K1136" s="4" t="s">
        <v>655</v>
      </c>
      <c r="L1136" s="4" t="s">
        <v>656</v>
      </c>
      <c r="M1136" s="5">
        <v>4</v>
      </c>
      <c r="N1136">
        <f>VLOOKUP(B1136,Customers!A:J,7,0)</f>
        <v>62</v>
      </c>
      <c r="O1136" t="str">
        <f>VLOOKUP(B1136,Customers!A:J,5,0)</f>
        <v>Austin</v>
      </c>
      <c r="P1136" t="str">
        <f>VLOOKUP(B1136,Customers!A:J,10,0)</f>
        <v>Free</v>
      </c>
      <c r="Q1136" t="str">
        <f>VLOOKUP(B1136,Customers!A:J,8,0)</f>
        <v>Male</v>
      </c>
      <c r="R1136" t="b">
        <f t="shared" si="34"/>
        <v>1</v>
      </c>
      <c r="S1136" s="18">
        <f t="shared" si="35"/>
        <v>44652</v>
      </c>
    </row>
    <row r="1137" spans="1:19" x14ac:dyDescent="0.25">
      <c r="A1137" s="6" t="s">
        <v>2447</v>
      </c>
      <c r="B1137" s="7" t="s">
        <v>468</v>
      </c>
      <c r="C1137" s="15">
        <v>44607</v>
      </c>
      <c r="D1137" s="7" t="s">
        <v>667</v>
      </c>
      <c r="E1137" s="7" t="s">
        <v>696</v>
      </c>
      <c r="F1137" s="7">
        <v>59.99</v>
      </c>
      <c r="G1137" s="7">
        <v>4</v>
      </c>
      <c r="H1137" s="7">
        <v>0</v>
      </c>
      <c r="I1137" s="7">
        <v>59.99</v>
      </c>
      <c r="J1137" s="7">
        <v>239.96</v>
      </c>
      <c r="K1137" s="7" t="s">
        <v>669</v>
      </c>
      <c r="L1137" s="7" t="s">
        <v>656</v>
      </c>
      <c r="M1137" s="8"/>
      <c r="N1137">
        <f>VLOOKUP(B1137,Customers!A:J,7,0)</f>
        <v>62</v>
      </c>
      <c r="O1137" t="str">
        <f>VLOOKUP(B1137,Customers!A:J,5,0)</f>
        <v>Austin</v>
      </c>
      <c r="P1137" t="str">
        <f>VLOOKUP(B1137,Customers!A:J,10,0)</f>
        <v>Free</v>
      </c>
      <c r="Q1137" t="str">
        <f>VLOOKUP(B1137,Customers!A:J,8,0)</f>
        <v>Male</v>
      </c>
      <c r="R1137" t="b">
        <f t="shared" si="34"/>
        <v>1</v>
      </c>
      <c r="S1137" s="18">
        <f t="shared" si="35"/>
        <v>44593</v>
      </c>
    </row>
    <row r="1138" spans="1:19" x14ac:dyDescent="0.25">
      <c r="A1138" s="3" t="s">
        <v>2448</v>
      </c>
      <c r="B1138" s="4" t="s">
        <v>468</v>
      </c>
      <c r="C1138" s="14">
        <v>45484</v>
      </c>
      <c r="D1138" s="4" t="s">
        <v>659</v>
      </c>
      <c r="E1138" s="4" t="s">
        <v>762</v>
      </c>
      <c r="F1138" s="4">
        <v>49.99</v>
      </c>
      <c r="G1138" s="4">
        <v>2</v>
      </c>
      <c r="H1138" s="4">
        <v>20</v>
      </c>
      <c r="I1138" s="4">
        <v>39.99</v>
      </c>
      <c r="J1138" s="4">
        <v>79.98</v>
      </c>
      <c r="K1138" s="4" t="s">
        <v>661</v>
      </c>
      <c r="L1138" s="4" t="s">
        <v>788</v>
      </c>
      <c r="M1138" s="5"/>
      <c r="N1138">
        <f>VLOOKUP(B1138,Customers!A:J,7,0)</f>
        <v>62</v>
      </c>
      <c r="O1138" t="str">
        <f>VLOOKUP(B1138,Customers!A:J,5,0)</f>
        <v>Austin</v>
      </c>
      <c r="P1138" t="str">
        <f>VLOOKUP(B1138,Customers!A:J,10,0)</f>
        <v>Free</v>
      </c>
      <c r="Q1138" t="str">
        <f>VLOOKUP(B1138,Customers!A:J,8,0)</f>
        <v>Male</v>
      </c>
      <c r="R1138" t="b">
        <f t="shared" si="34"/>
        <v>1</v>
      </c>
      <c r="S1138" s="18">
        <f t="shared" si="35"/>
        <v>45474</v>
      </c>
    </row>
    <row r="1139" spans="1:19" x14ac:dyDescent="0.25">
      <c r="A1139" s="6" t="s">
        <v>2449</v>
      </c>
      <c r="B1139" s="7" t="s">
        <v>468</v>
      </c>
      <c r="C1139" s="15">
        <v>45432</v>
      </c>
      <c r="D1139" s="7" t="s">
        <v>667</v>
      </c>
      <c r="E1139" s="7" t="s">
        <v>696</v>
      </c>
      <c r="F1139" s="7">
        <v>59.99</v>
      </c>
      <c r="G1139" s="7">
        <v>4</v>
      </c>
      <c r="H1139" s="7">
        <v>5</v>
      </c>
      <c r="I1139" s="7">
        <v>56.99</v>
      </c>
      <c r="J1139" s="7">
        <v>227.96</v>
      </c>
      <c r="K1139" s="7" t="s">
        <v>675</v>
      </c>
      <c r="L1139" s="7" t="s">
        <v>656</v>
      </c>
      <c r="M1139" s="8">
        <v>4</v>
      </c>
      <c r="N1139">
        <f>VLOOKUP(B1139,Customers!A:J,7,0)</f>
        <v>62</v>
      </c>
      <c r="O1139" t="str">
        <f>VLOOKUP(B1139,Customers!A:J,5,0)</f>
        <v>Austin</v>
      </c>
      <c r="P1139" t="str">
        <f>VLOOKUP(B1139,Customers!A:J,10,0)</f>
        <v>Free</v>
      </c>
      <c r="Q1139" t="str">
        <f>VLOOKUP(B1139,Customers!A:J,8,0)</f>
        <v>Male</v>
      </c>
      <c r="R1139" t="b">
        <f t="shared" si="34"/>
        <v>1</v>
      </c>
      <c r="S1139" s="18">
        <f t="shared" si="35"/>
        <v>45413</v>
      </c>
    </row>
    <row r="1140" spans="1:19" x14ac:dyDescent="0.25">
      <c r="A1140" s="3" t="s">
        <v>2451</v>
      </c>
      <c r="B1140" s="4" t="s">
        <v>468</v>
      </c>
      <c r="C1140" s="14">
        <v>45219</v>
      </c>
      <c r="D1140" s="4" t="s">
        <v>653</v>
      </c>
      <c r="E1140" s="4" t="s">
        <v>654</v>
      </c>
      <c r="F1140" s="4">
        <v>39.99</v>
      </c>
      <c r="G1140" s="4">
        <v>2</v>
      </c>
      <c r="H1140" s="4">
        <v>5</v>
      </c>
      <c r="I1140" s="4">
        <v>37.99</v>
      </c>
      <c r="J1140" s="4">
        <v>75.98</v>
      </c>
      <c r="K1140" s="4" t="s">
        <v>669</v>
      </c>
      <c r="L1140" s="4" t="s">
        <v>656</v>
      </c>
      <c r="M1140" s="5"/>
      <c r="N1140">
        <f>VLOOKUP(B1140,Customers!A:J,7,0)</f>
        <v>62</v>
      </c>
      <c r="O1140" t="str">
        <f>VLOOKUP(B1140,Customers!A:J,5,0)</f>
        <v>Austin</v>
      </c>
      <c r="P1140" t="str">
        <f>VLOOKUP(B1140,Customers!A:J,10,0)</f>
        <v>Free</v>
      </c>
      <c r="Q1140" t="str">
        <f>VLOOKUP(B1140,Customers!A:J,8,0)</f>
        <v>Male</v>
      </c>
      <c r="R1140" t="b">
        <f t="shared" si="34"/>
        <v>1</v>
      </c>
      <c r="S1140" s="18">
        <f t="shared" si="35"/>
        <v>45200</v>
      </c>
    </row>
    <row r="1141" spans="1:19" x14ac:dyDescent="0.25">
      <c r="A1141" s="6" t="s">
        <v>2452</v>
      </c>
      <c r="B1141" s="7" t="s">
        <v>468</v>
      </c>
      <c r="C1141" s="15">
        <v>45401</v>
      </c>
      <c r="D1141" s="7" t="s">
        <v>710</v>
      </c>
      <c r="E1141" s="7" t="s">
        <v>721</v>
      </c>
      <c r="F1141" s="7">
        <v>24.99</v>
      </c>
      <c r="G1141" s="7">
        <v>1</v>
      </c>
      <c r="H1141" s="7">
        <v>5</v>
      </c>
      <c r="I1141" s="7">
        <v>23.74</v>
      </c>
      <c r="J1141" s="7">
        <v>23.74</v>
      </c>
      <c r="K1141" s="7" t="s">
        <v>675</v>
      </c>
      <c r="L1141" s="7" t="s">
        <v>656</v>
      </c>
      <c r="M1141" s="8">
        <v>4</v>
      </c>
      <c r="N1141">
        <f>VLOOKUP(B1141,Customers!A:J,7,0)</f>
        <v>62</v>
      </c>
      <c r="O1141" t="str">
        <f>VLOOKUP(B1141,Customers!A:J,5,0)</f>
        <v>Austin</v>
      </c>
      <c r="P1141" t="str">
        <f>VLOOKUP(B1141,Customers!A:J,10,0)</f>
        <v>Free</v>
      </c>
      <c r="Q1141" t="str">
        <f>VLOOKUP(B1141,Customers!A:J,8,0)</f>
        <v>Male</v>
      </c>
      <c r="R1141" t="b">
        <f t="shared" si="34"/>
        <v>1</v>
      </c>
      <c r="S1141" s="18">
        <f t="shared" si="35"/>
        <v>45383</v>
      </c>
    </row>
    <row r="1142" spans="1:19" x14ac:dyDescent="0.25">
      <c r="A1142" s="3" t="s">
        <v>2453</v>
      </c>
      <c r="B1142" s="4" t="s">
        <v>468</v>
      </c>
      <c r="C1142" s="14">
        <v>44745</v>
      </c>
      <c r="D1142" s="4" t="s">
        <v>667</v>
      </c>
      <c r="E1142" s="4" t="s">
        <v>668</v>
      </c>
      <c r="F1142" s="4">
        <v>64.989999999999995</v>
      </c>
      <c r="G1142" s="4">
        <v>3</v>
      </c>
      <c r="H1142" s="4">
        <v>5</v>
      </c>
      <c r="I1142" s="4">
        <v>61.74</v>
      </c>
      <c r="J1142" s="4">
        <v>185.22</v>
      </c>
      <c r="K1142" s="4" t="s">
        <v>675</v>
      </c>
      <c r="L1142" s="4" t="s">
        <v>788</v>
      </c>
      <c r="M1142" s="5">
        <v>4</v>
      </c>
      <c r="N1142">
        <f>VLOOKUP(B1142,Customers!A:J,7,0)</f>
        <v>62</v>
      </c>
      <c r="O1142" t="str">
        <f>VLOOKUP(B1142,Customers!A:J,5,0)</f>
        <v>Austin</v>
      </c>
      <c r="P1142" t="str">
        <f>VLOOKUP(B1142,Customers!A:J,10,0)</f>
        <v>Free</v>
      </c>
      <c r="Q1142" t="str">
        <f>VLOOKUP(B1142,Customers!A:J,8,0)</f>
        <v>Male</v>
      </c>
      <c r="R1142" t="b">
        <f t="shared" si="34"/>
        <v>1</v>
      </c>
      <c r="S1142" s="18">
        <f t="shared" si="35"/>
        <v>44743</v>
      </c>
    </row>
    <row r="1143" spans="1:19" x14ac:dyDescent="0.25">
      <c r="A1143" s="6" t="s">
        <v>2454</v>
      </c>
      <c r="B1143" s="7" t="s">
        <v>468</v>
      </c>
      <c r="C1143" s="15">
        <v>44693</v>
      </c>
      <c r="D1143" s="7" t="s">
        <v>710</v>
      </c>
      <c r="E1143" s="7" t="s">
        <v>744</v>
      </c>
      <c r="F1143" s="7">
        <v>29.99</v>
      </c>
      <c r="G1143" s="7">
        <v>2</v>
      </c>
      <c r="H1143" s="7">
        <v>5</v>
      </c>
      <c r="I1143" s="7">
        <v>28.49</v>
      </c>
      <c r="J1143" s="7">
        <v>56.98</v>
      </c>
      <c r="K1143" s="7" t="s">
        <v>655</v>
      </c>
      <c r="L1143" s="7" t="s">
        <v>656</v>
      </c>
      <c r="M1143" s="8">
        <v>5</v>
      </c>
      <c r="N1143">
        <f>VLOOKUP(B1143,Customers!A:J,7,0)</f>
        <v>62</v>
      </c>
      <c r="O1143" t="str">
        <f>VLOOKUP(B1143,Customers!A:J,5,0)</f>
        <v>Austin</v>
      </c>
      <c r="P1143" t="str">
        <f>VLOOKUP(B1143,Customers!A:J,10,0)</f>
        <v>Free</v>
      </c>
      <c r="Q1143" t="str">
        <f>VLOOKUP(B1143,Customers!A:J,8,0)</f>
        <v>Male</v>
      </c>
      <c r="R1143" t="b">
        <f t="shared" si="34"/>
        <v>1</v>
      </c>
      <c r="S1143" s="18">
        <f t="shared" si="35"/>
        <v>44682</v>
      </c>
    </row>
    <row r="1144" spans="1:19" x14ac:dyDescent="0.25">
      <c r="A1144" s="3" t="s">
        <v>2455</v>
      </c>
      <c r="B1144" s="4" t="s">
        <v>468</v>
      </c>
      <c r="C1144" s="14">
        <v>44775</v>
      </c>
      <c r="D1144" s="4" t="s">
        <v>672</v>
      </c>
      <c r="E1144" s="4" t="s">
        <v>803</v>
      </c>
      <c r="F1144" s="4">
        <v>69.989999999999995</v>
      </c>
      <c r="G1144" s="4">
        <v>4</v>
      </c>
      <c r="H1144" s="4">
        <v>0</v>
      </c>
      <c r="I1144" s="4">
        <v>69.989999999999995</v>
      </c>
      <c r="J1144" s="4">
        <v>279.95999999999998</v>
      </c>
      <c r="K1144" s="4" t="s">
        <v>669</v>
      </c>
      <c r="L1144" s="4" t="s">
        <v>788</v>
      </c>
      <c r="M1144" s="5">
        <v>4</v>
      </c>
      <c r="N1144">
        <f>VLOOKUP(B1144,Customers!A:J,7,0)</f>
        <v>62</v>
      </c>
      <c r="O1144" t="str">
        <f>VLOOKUP(B1144,Customers!A:J,5,0)</f>
        <v>Austin</v>
      </c>
      <c r="P1144" t="str">
        <f>VLOOKUP(B1144,Customers!A:J,10,0)</f>
        <v>Free</v>
      </c>
      <c r="Q1144" t="str">
        <f>VLOOKUP(B1144,Customers!A:J,8,0)</f>
        <v>Male</v>
      </c>
      <c r="R1144" t="b">
        <f t="shared" si="34"/>
        <v>1</v>
      </c>
      <c r="S1144" s="18">
        <f t="shared" si="35"/>
        <v>44774</v>
      </c>
    </row>
    <row r="1145" spans="1:19" x14ac:dyDescent="0.25">
      <c r="A1145" s="6" t="s">
        <v>2456</v>
      </c>
      <c r="B1145" s="7" t="s">
        <v>468</v>
      </c>
      <c r="C1145" s="15">
        <v>45092</v>
      </c>
      <c r="D1145" s="7" t="s">
        <v>659</v>
      </c>
      <c r="E1145" s="7" t="s">
        <v>762</v>
      </c>
      <c r="F1145" s="7">
        <v>49.99</v>
      </c>
      <c r="G1145" s="7">
        <v>4</v>
      </c>
      <c r="H1145" s="7">
        <v>10</v>
      </c>
      <c r="I1145" s="7">
        <v>44.99</v>
      </c>
      <c r="J1145" s="7">
        <v>179.96</v>
      </c>
      <c r="K1145" s="7" t="s">
        <v>669</v>
      </c>
      <c r="L1145" s="7" t="s">
        <v>656</v>
      </c>
      <c r="M1145" s="8">
        <v>4</v>
      </c>
      <c r="N1145">
        <f>VLOOKUP(B1145,Customers!A:J,7,0)</f>
        <v>62</v>
      </c>
      <c r="O1145" t="str">
        <f>VLOOKUP(B1145,Customers!A:J,5,0)</f>
        <v>Austin</v>
      </c>
      <c r="P1145" t="str">
        <f>VLOOKUP(B1145,Customers!A:J,10,0)</f>
        <v>Free</v>
      </c>
      <c r="Q1145" t="str">
        <f>VLOOKUP(B1145,Customers!A:J,8,0)</f>
        <v>Male</v>
      </c>
      <c r="R1145" t="b">
        <f t="shared" si="34"/>
        <v>1</v>
      </c>
      <c r="S1145" s="18">
        <f t="shared" si="35"/>
        <v>45078</v>
      </c>
    </row>
    <row r="1146" spans="1:19" x14ac:dyDescent="0.25">
      <c r="A1146" s="3" t="s">
        <v>2457</v>
      </c>
      <c r="B1146" s="4" t="s">
        <v>471</v>
      </c>
      <c r="C1146" s="14">
        <v>45435</v>
      </c>
      <c r="D1146" s="4" t="s">
        <v>667</v>
      </c>
      <c r="E1146" s="4" t="s">
        <v>714</v>
      </c>
      <c r="F1146" s="4">
        <v>44.99</v>
      </c>
      <c r="G1146" s="4">
        <v>2</v>
      </c>
      <c r="H1146" s="4">
        <v>15</v>
      </c>
      <c r="I1146" s="4">
        <v>38.24</v>
      </c>
      <c r="J1146" s="4">
        <v>76.48</v>
      </c>
      <c r="K1146" s="4" t="s">
        <v>682</v>
      </c>
      <c r="L1146" s="4" t="s">
        <v>656</v>
      </c>
      <c r="M1146" s="5">
        <v>4</v>
      </c>
      <c r="N1146">
        <f>VLOOKUP(B1146,Customers!A:J,7,0)</f>
        <v>24</v>
      </c>
      <c r="O1146" t="str">
        <f>VLOOKUP(B1146,Customers!A:J,5,0)</f>
        <v>San Diego</v>
      </c>
      <c r="P1146" t="str">
        <f>VLOOKUP(B1146,Customers!A:J,10,0)</f>
        <v>Silver</v>
      </c>
      <c r="Q1146" t="str">
        <f>VLOOKUP(B1146,Customers!A:J,8,0)</f>
        <v>Female</v>
      </c>
      <c r="R1146" t="b">
        <f t="shared" si="34"/>
        <v>1</v>
      </c>
      <c r="S1146" s="18">
        <f t="shared" si="35"/>
        <v>45413</v>
      </c>
    </row>
    <row r="1147" spans="1:19" x14ac:dyDescent="0.25">
      <c r="A1147" s="6" t="s">
        <v>2458</v>
      </c>
      <c r="B1147" s="7" t="s">
        <v>474</v>
      </c>
      <c r="C1147" s="15">
        <v>45552</v>
      </c>
      <c r="D1147" s="7" t="s">
        <v>680</v>
      </c>
      <c r="E1147" s="7" t="s">
        <v>708</v>
      </c>
      <c r="F1147" s="7">
        <v>24.99</v>
      </c>
      <c r="G1147" s="7">
        <v>4</v>
      </c>
      <c r="H1147" s="7">
        <v>20</v>
      </c>
      <c r="I1147" s="7">
        <v>19.989999999999998</v>
      </c>
      <c r="J1147" s="7">
        <v>79.959999999999994</v>
      </c>
      <c r="K1147" s="7" t="s">
        <v>655</v>
      </c>
      <c r="L1147" s="7" t="s">
        <v>656</v>
      </c>
      <c r="M1147" s="8"/>
      <c r="N1147">
        <f>VLOOKUP(B1147,Customers!A:J,7,0)</f>
        <v>56</v>
      </c>
      <c r="O1147" t="str">
        <f>VLOOKUP(B1147,Customers!A:J,5,0)</f>
        <v>San Jose</v>
      </c>
      <c r="P1147" t="str">
        <f>VLOOKUP(B1147,Customers!A:J,10,0)</f>
        <v>Silver</v>
      </c>
      <c r="Q1147" t="str">
        <f>VLOOKUP(B1147,Customers!A:J,8,0)</f>
        <v>Female</v>
      </c>
      <c r="R1147" t="b">
        <f t="shared" si="34"/>
        <v>1</v>
      </c>
      <c r="S1147" s="18">
        <f t="shared" si="35"/>
        <v>45536</v>
      </c>
    </row>
    <row r="1148" spans="1:19" x14ac:dyDescent="0.25">
      <c r="A1148" s="3" t="s">
        <v>2460</v>
      </c>
      <c r="B1148" s="4" t="s">
        <v>474</v>
      </c>
      <c r="C1148" s="14">
        <v>44932</v>
      </c>
      <c r="D1148" s="4" t="s">
        <v>672</v>
      </c>
      <c r="E1148" s="4" t="s">
        <v>735</v>
      </c>
      <c r="F1148" s="4">
        <v>44.99</v>
      </c>
      <c r="G1148" s="4">
        <v>2</v>
      </c>
      <c r="H1148" s="4">
        <v>0</v>
      </c>
      <c r="I1148" s="4">
        <v>44.99</v>
      </c>
      <c r="J1148" s="4">
        <v>89.98</v>
      </c>
      <c r="K1148" s="4" t="s">
        <v>682</v>
      </c>
      <c r="L1148" s="4" t="s">
        <v>656</v>
      </c>
      <c r="M1148" s="5"/>
      <c r="N1148">
        <f>VLOOKUP(B1148,Customers!A:J,7,0)</f>
        <v>56</v>
      </c>
      <c r="O1148" t="str">
        <f>VLOOKUP(B1148,Customers!A:J,5,0)</f>
        <v>San Jose</v>
      </c>
      <c r="P1148" t="str">
        <f>VLOOKUP(B1148,Customers!A:J,10,0)</f>
        <v>Silver</v>
      </c>
      <c r="Q1148" t="str">
        <f>VLOOKUP(B1148,Customers!A:J,8,0)</f>
        <v>Female</v>
      </c>
      <c r="R1148" t="b">
        <f t="shared" si="34"/>
        <v>1</v>
      </c>
      <c r="S1148" s="18">
        <f t="shared" si="35"/>
        <v>44927</v>
      </c>
    </row>
    <row r="1149" spans="1:19" x14ac:dyDescent="0.25">
      <c r="A1149" s="6" t="s">
        <v>2461</v>
      </c>
      <c r="B1149" s="7" t="s">
        <v>474</v>
      </c>
      <c r="C1149" s="15">
        <v>44906</v>
      </c>
      <c r="D1149" s="7" t="s">
        <v>659</v>
      </c>
      <c r="E1149" s="7" t="s">
        <v>664</v>
      </c>
      <c r="F1149" s="7">
        <v>24.99</v>
      </c>
      <c r="G1149" s="7">
        <v>3</v>
      </c>
      <c r="H1149" s="7">
        <v>0</v>
      </c>
      <c r="I1149" s="7">
        <v>24.99</v>
      </c>
      <c r="J1149" s="7">
        <v>74.97</v>
      </c>
      <c r="K1149" s="7" t="s">
        <v>682</v>
      </c>
      <c r="L1149" s="7" t="s">
        <v>656</v>
      </c>
      <c r="M1149" s="8">
        <v>4</v>
      </c>
      <c r="N1149">
        <f>VLOOKUP(B1149,Customers!A:J,7,0)</f>
        <v>56</v>
      </c>
      <c r="O1149" t="str">
        <f>VLOOKUP(B1149,Customers!A:J,5,0)</f>
        <v>San Jose</v>
      </c>
      <c r="P1149" t="str">
        <f>VLOOKUP(B1149,Customers!A:J,10,0)</f>
        <v>Silver</v>
      </c>
      <c r="Q1149" t="str">
        <f>VLOOKUP(B1149,Customers!A:J,8,0)</f>
        <v>Female</v>
      </c>
      <c r="R1149" t="b">
        <f t="shared" si="34"/>
        <v>1</v>
      </c>
      <c r="S1149" s="18">
        <f t="shared" si="35"/>
        <v>44896</v>
      </c>
    </row>
    <row r="1150" spans="1:19" x14ac:dyDescent="0.25">
      <c r="A1150" s="3" t="s">
        <v>2463</v>
      </c>
      <c r="B1150" s="4" t="s">
        <v>474</v>
      </c>
      <c r="C1150" s="14">
        <v>45165</v>
      </c>
      <c r="D1150" s="4" t="s">
        <v>653</v>
      </c>
      <c r="E1150" s="4" t="s">
        <v>654</v>
      </c>
      <c r="F1150" s="4">
        <v>39.99</v>
      </c>
      <c r="G1150" s="4">
        <v>1</v>
      </c>
      <c r="H1150" s="4">
        <v>20</v>
      </c>
      <c r="I1150" s="4">
        <v>31.99</v>
      </c>
      <c r="J1150" s="4">
        <v>31.99</v>
      </c>
      <c r="K1150" s="4" t="s">
        <v>661</v>
      </c>
      <c r="L1150" s="4" t="s">
        <v>656</v>
      </c>
      <c r="M1150" s="5">
        <v>4</v>
      </c>
      <c r="N1150">
        <f>VLOOKUP(B1150,Customers!A:J,7,0)</f>
        <v>56</v>
      </c>
      <c r="O1150" t="str">
        <f>VLOOKUP(B1150,Customers!A:J,5,0)</f>
        <v>San Jose</v>
      </c>
      <c r="P1150" t="str">
        <f>VLOOKUP(B1150,Customers!A:J,10,0)</f>
        <v>Silver</v>
      </c>
      <c r="Q1150" t="str">
        <f>VLOOKUP(B1150,Customers!A:J,8,0)</f>
        <v>Female</v>
      </c>
      <c r="R1150" t="b">
        <f t="shared" si="34"/>
        <v>1</v>
      </c>
      <c r="S1150" s="18">
        <f t="shared" si="35"/>
        <v>45139</v>
      </c>
    </row>
    <row r="1151" spans="1:19" x14ac:dyDescent="0.25">
      <c r="A1151" s="6" t="s">
        <v>2464</v>
      </c>
      <c r="B1151" s="7" t="s">
        <v>474</v>
      </c>
      <c r="C1151" s="15">
        <v>45256</v>
      </c>
      <c r="D1151" s="7" t="s">
        <v>659</v>
      </c>
      <c r="E1151" s="7" t="s">
        <v>660</v>
      </c>
      <c r="F1151" s="7">
        <v>19.989999999999998</v>
      </c>
      <c r="G1151" s="7">
        <v>1</v>
      </c>
      <c r="H1151" s="7">
        <v>5</v>
      </c>
      <c r="I1151" s="7">
        <v>18.989999999999998</v>
      </c>
      <c r="J1151" s="7">
        <v>18.989999999999998</v>
      </c>
      <c r="K1151" s="7" t="s">
        <v>669</v>
      </c>
      <c r="L1151" s="7" t="s">
        <v>785</v>
      </c>
      <c r="M1151" s="8">
        <v>5</v>
      </c>
      <c r="N1151">
        <f>VLOOKUP(B1151,Customers!A:J,7,0)</f>
        <v>56</v>
      </c>
      <c r="O1151" t="str">
        <f>VLOOKUP(B1151,Customers!A:J,5,0)</f>
        <v>San Jose</v>
      </c>
      <c r="P1151" t="str">
        <f>VLOOKUP(B1151,Customers!A:J,10,0)</f>
        <v>Silver</v>
      </c>
      <c r="Q1151" t="str">
        <f>VLOOKUP(B1151,Customers!A:J,8,0)</f>
        <v>Female</v>
      </c>
      <c r="R1151" t="b">
        <f t="shared" si="34"/>
        <v>1</v>
      </c>
      <c r="S1151" s="18">
        <f t="shared" si="35"/>
        <v>45231</v>
      </c>
    </row>
    <row r="1152" spans="1:19" x14ac:dyDescent="0.25">
      <c r="A1152" s="3" t="s">
        <v>2466</v>
      </c>
      <c r="B1152" s="4" t="s">
        <v>474</v>
      </c>
      <c r="C1152" s="14">
        <v>44857</v>
      </c>
      <c r="D1152" s="4" t="s">
        <v>667</v>
      </c>
      <c r="E1152" s="4" t="s">
        <v>668</v>
      </c>
      <c r="F1152" s="4">
        <v>64.989999999999995</v>
      </c>
      <c r="G1152" s="4">
        <v>3</v>
      </c>
      <c r="H1152" s="4">
        <v>20</v>
      </c>
      <c r="I1152" s="4">
        <v>51.99</v>
      </c>
      <c r="J1152" s="4">
        <v>155.97</v>
      </c>
      <c r="K1152" s="4" t="s">
        <v>675</v>
      </c>
      <c r="L1152" s="4" t="s">
        <v>656</v>
      </c>
      <c r="M1152" s="5">
        <v>5</v>
      </c>
      <c r="N1152">
        <f>VLOOKUP(B1152,Customers!A:J,7,0)</f>
        <v>56</v>
      </c>
      <c r="O1152" t="str">
        <f>VLOOKUP(B1152,Customers!A:J,5,0)</f>
        <v>San Jose</v>
      </c>
      <c r="P1152" t="str">
        <f>VLOOKUP(B1152,Customers!A:J,10,0)</f>
        <v>Silver</v>
      </c>
      <c r="Q1152" t="str">
        <f>VLOOKUP(B1152,Customers!A:J,8,0)</f>
        <v>Female</v>
      </c>
      <c r="R1152" t="b">
        <f t="shared" si="34"/>
        <v>1</v>
      </c>
      <c r="S1152" s="18">
        <f t="shared" si="35"/>
        <v>44835</v>
      </c>
    </row>
    <row r="1153" spans="1:19" x14ac:dyDescent="0.25">
      <c r="A1153" s="6" t="s">
        <v>2468</v>
      </c>
      <c r="B1153" s="7" t="s">
        <v>474</v>
      </c>
      <c r="C1153" s="15">
        <v>45601</v>
      </c>
      <c r="D1153" s="7" t="s">
        <v>710</v>
      </c>
      <c r="E1153" s="7" t="s">
        <v>711</v>
      </c>
      <c r="F1153" s="7">
        <v>14.99</v>
      </c>
      <c r="G1153" s="7">
        <v>4</v>
      </c>
      <c r="H1153" s="7">
        <v>0</v>
      </c>
      <c r="I1153" s="7">
        <v>14.99</v>
      </c>
      <c r="J1153" s="7">
        <v>59.96</v>
      </c>
      <c r="K1153" s="7" t="s">
        <v>655</v>
      </c>
      <c r="L1153" s="7" t="s">
        <v>656</v>
      </c>
      <c r="M1153" s="8">
        <v>5</v>
      </c>
      <c r="N1153">
        <f>VLOOKUP(B1153,Customers!A:J,7,0)</f>
        <v>56</v>
      </c>
      <c r="O1153" t="str">
        <f>VLOOKUP(B1153,Customers!A:J,5,0)</f>
        <v>San Jose</v>
      </c>
      <c r="P1153" t="str">
        <f>VLOOKUP(B1153,Customers!A:J,10,0)</f>
        <v>Silver</v>
      </c>
      <c r="Q1153" t="str">
        <f>VLOOKUP(B1153,Customers!A:J,8,0)</f>
        <v>Female</v>
      </c>
      <c r="R1153" t="b">
        <f t="shared" si="34"/>
        <v>1</v>
      </c>
      <c r="S1153" s="18">
        <f t="shared" si="35"/>
        <v>45597</v>
      </c>
    </row>
    <row r="1154" spans="1:19" x14ac:dyDescent="0.25">
      <c r="A1154" s="3" t="s">
        <v>2470</v>
      </c>
      <c r="B1154" s="4" t="s">
        <v>474</v>
      </c>
      <c r="C1154" s="14">
        <v>45306</v>
      </c>
      <c r="D1154" s="4" t="s">
        <v>659</v>
      </c>
      <c r="E1154" s="4" t="s">
        <v>664</v>
      </c>
      <c r="F1154" s="4">
        <v>24.99</v>
      </c>
      <c r="G1154" s="4">
        <v>3</v>
      </c>
      <c r="H1154" s="4">
        <v>0</v>
      </c>
      <c r="I1154" s="4">
        <v>24.99</v>
      </c>
      <c r="J1154" s="4">
        <v>74.97</v>
      </c>
      <c r="K1154" s="4" t="s">
        <v>655</v>
      </c>
      <c r="L1154" s="4" t="s">
        <v>656</v>
      </c>
      <c r="M1154" s="5">
        <v>3</v>
      </c>
      <c r="N1154">
        <f>VLOOKUP(B1154,Customers!A:J,7,0)</f>
        <v>56</v>
      </c>
      <c r="O1154" t="str">
        <f>VLOOKUP(B1154,Customers!A:J,5,0)</f>
        <v>San Jose</v>
      </c>
      <c r="P1154" t="str">
        <f>VLOOKUP(B1154,Customers!A:J,10,0)</f>
        <v>Silver</v>
      </c>
      <c r="Q1154" t="str">
        <f>VLOOKUP(B1154,Customers!A:J,8,0)</f>
        <v>Female</v>
      </c>
      <c r="R1154" t="b">
        <f t="shared" si="34"/>
        <v>1</v>
      </c>
      <c r="S1154" s="18">
        <f t="shared" si="35"/>
        <v>45292</v>
      </c>
    </row>
    <row r="1155" spans="1:19" x14ac:dyDescent="0.25">
      <c r="A1155" s="6" t="s">
        <v>2472</v>
      </c>
      <c r="B1155" s="7" t="s">
        <v>477</v>
      </c>
      <c r="C1155" s="15">
        <v>44564</v>
      </c>
      <c r="D1155" s="7" t="s">
        <v>680</v>
      </c>
      <c r="E1155" s="7" t="s">
        <v>688</v>
      </c>
      <c r="F1155" s="7">
        <v>29.99</v>
      </c>
      <c r="G1155" s="7">
        <v>4</v>
      </c>
      <c r="H1155" s="7">
        <v>10</v>
      </c>
      <c r="I1155" s="7">
        <v>26.99</v>
      </c>
      <c r="J1155" s="7">
        <v>107.96</v>
      </c>
      <c r="K1155" s="7" t="s">
        <v>661</v>
      </c>
      <c r="L1155" s="7" t="s">
        <v>656</v>
      </c>
      <c r="M1155" s="8">
        <v>5</v>
      </c>
      <c r="N1155">
        <f>VLOOKUP(B1155,Customers!A:J,7,0)</f>
        <v>62</v>
      </c>
      <c r="O1155" t="str">
        <f>VLOOKUP(B1155,Customers!A:J,5,0)</f>
        <v>Phoenix</v>
      </c>
      <c r="P1155" t="str">
        <f>VLOOKUP(B1155,Customers!A:J,10,0)</f>
        <v>Free</v>
      </c>
      <c r="Q1155" t="str">
        <f>VLOOKUP(B1155,Customers!A:J,8,0)</f>
        <v>Female</v>
      </c>
      <c r="R1155" t="b">
        <f t="shared" ref="R1155:R1218" si="36">ISNUMBER(C1155)</f>
        <v>1</v>
      </c>
      <c r="S1155" s="18">
        <f t="shared" ref="S1155:S1218" si="37">DATE(YEAR(C1155),MONTH(C1155),1)</f>
        <v>44562</v>
      </c>
    </row>
    <row r="1156" spans="1:19" x14ac:dyDescent="0.25">
      <c r="A1156" s="3" t="s">
        <v>2474</v>
      </c>
      <c r="B1156" s="4" t="s">
        <v>477</v>
      </c>
      <c r="C1156" s="14">
        <v>44797</v>
      </c>
      <c r="D1156" s="4" t="s">
        <v>659</v>
      </c>
      <c r="E1156" s="4" t="s">
        <v>664</v>
      </c>
      <c r="F1156" s="4">
        <v>24.99</v>
      </c>
      <c r="G1156" s="4">
        <v>3</v>
      </c>
      <c r="H1156" s="4">
        <v>5</v>
      </c>
      <c r="I1156" s="4">
        <v>23.74</v>
      </c>
      <c r="J1156" s="4">
        <v>71.22</v>
      </c>
      <c r="K1156" s="4" t="s">
        <v>669</v>
      </c>
      <c r="L1156" s="4" t="s">
        <v>656</v>
      </c>
      <c r="M1156" s="5"/>
      <c r="N1156">
        <f>VLOOKUP(B1156,Customers!A:J,7,0)</f>
        <v>62</v>
      </c>
      <c r="O1156" t="str">
        <f>VLOOKUP(B1156,Customers!A:J,5,0)</f>
        <v>Phoenix</v>
      </c>
      <c r="P1156" t="str">
        <f>VLOOKUP(B1156,Customers!A:J,10,0)</f>
        <v>Free</v>
      </c>
      <c r="Q1156" t="str">
        <f>VLOOKUP(B1156,Customers!A:J,8,0)</f>
        <v>Female</v>
      </c>
      <c r="R1156" t="b">
        <f t="shared" si="36"/>
        <v>1</v>
      </c>
      <c r="S1156" s="18">
        <f t="shared" si="37"/>
        <v>44774</v>
      </c>
    </row>
    <row r="1157" spans="1:19" x14ac:dyDescent="0.25">
      <c r="A1157" s="6" t="s">
        <v>2475</v>
      </c>
      <c r="B1157" s="7" t="s">
        <v>477</v>
      </c>
      <c r="C1157" s="15">
        <v>45586</v>
      </c>
      <c r="D1157" s="7" t="s">
        <v>653</v>
      </c>
      <c r="E1157" s="7" t="s">
        <v>769</v>
      </c>
      <c r="F1157" s="7">
        <v>49.99</v>
      </c>
      <c r="G1157" s="7">
        <v>2</v>
      </c>
      <c r="H1157" s="7">
        <v>10</v>
      </c>
      <c r="I1157" s="7">
        <v>44.99</v>
      </c>
      <c r="J1157" s="7">
        <v>89.98</v>
      </c>
      <c r="K1157" s="7" t="s">
        <v>682</v>
      </c>
      <c r="L1157" s="7" t="s">
        <v>656</v>
      </c>
      <c r="M1157" s="8">
        <v>5</v>
      </c>
      <c r="N1157">
        <f>VLOOKUP(B1157,Customers!A:J,7,0)</f>
        <v>62</v>
      </c>
      <c r="O1157" t="str">
        <f>VLOOKUP(B1157,Customers!A:J,5,0)</f>
        <v>Phoenix</v>
      </c>
      <c r="P1157" t="str">
        <f>VLOOKUP(B1157,Customers!A:J,10,0)</f>
        <v>Free</v>
      </c>
      <c r="Q1157" t="str">
        <f>VLOOKUP(B1157,Customers!A:J,8,0)</f>
        <v>Female</v>
      </c>
      <c r="R1157" t="b">
        <f t="shared" si="36"/>
        <v>1</v>
      </c>
      <c r="S1157" s="18">
        <f t="shared" si="37"/>
        <v>45566</v>
      </c>
    </row>
    <row r="1158" spans="1:19" x14ac:dyDescent="0.25">
      <c r="A1158" s="3" t="s">
        <v>2476</v>
      </c>
      <c r="B1158" s="4" t="s">
        <v>477</v>
      </c>
      <c r="C1158" s="14">
        <v>45191</v>
      </c>
      <c r="D1158" s="4" t="s">
        <v>680</v>
      </c>
      <c r="E1158" s="4" t="s">
        <v>688</v>
      </c>
      <c r="F1158" s="4">
        <v>29.99</v>
      </c>
      <c r="G1158" s="4">
        <v>4</v>
      </c>
      <c r="H1158" s="4">
        <v>20</v>
      </c>
      <c r="I1158" s="4">
        <v>23.99</v>
      </c>
      <c r="J1158" s="4">
        <v>95.96</v>
      </c>
      <c r="K1158" s="4" t="s">
        <v>682</v>
      </c>
      <c r="L1158" s="4" t="s">
        <v>656</v>
      </c>
      <c r="M1158" s="5">
        <v>5</v>
      </c>
      <c r="N1158">
        <f>VLOOKUP(B1158,Customers!A:J,7,0)</f>
        <v>62</v>
      </c>
      <c r="O1158" t="str">
        <f>VLOOKUP(B1158,Customers!A:J,5,0)</f>
        <v>Phoenix</v>
      </c>
      <c r="P1158" t="str">
        <f>VLOOKUP(B1158,Customers!A:J,10,0)</f>
        <v>Free</v>
      </c>
      <c r="Q1158" t="str">
        <f>VLOOKUP(B1158,Customers!A:J,8,0)</f>
        <v>Female</v>
      </c>
      <c r="R1158" t="b">
        <f t="shared" si="36"/>
        <v>1</v>
      </c>
      <c r="S1158" s="18">
        <f t="shared" si="37"/>
        <v>45170</v>
      </c>
    </row>
    <row r="1159" spans="1:19" x14ac:dyDescent="0.25">
      <c r="A1159" s="6" t="s">
        <v>2477</v>
      </c>
      <c r="B1159" s="7" t="s">
        <v>477</v>
      </c>
      <c r="C1159" s="15">
        <v>45063</v>
      </c>
      <c r="D1159" s="7" t="s">
        <v>710</v>
      </c>
      <c r="E1159" s="7" t="s">
        <v>730</v>
      </c>
      <c r="F1159" s="7">
        <v>39.99</v>
      </c>
      <c r="G1159" s="7">
        <v>1</v>
      </c>
      <c r="H1159" s="7">
        <v>20</v>
      </c>
      <c r="I1159" s="7">
        <v>31.99</v>
      </c>
      <c r="J1159" s="7">
        <v>31.99</v>
      </c>
      <c r="K1159" s="7" t="s">
        <v>655</v>
      </c>
      <c r="L1159" s="7" t="s">
        <v>656</v>
      </c>
      <c r="M1159" s="8">
        <v>5</v>
      </c>
      <c r="N1159">
        <f>VLOOKUP(B1159,Customers!A:J,7,0)</f>
        <v>62</v>
      </c>
      <c r="O1159" t="str">
        <f>VLOOKUP(B1159,Customers!A:J,5,0)</f>
        <v>Phoenix</v>
      </c>
      <c r="P1159" t="str">
        <f>VLOOKUP(B1159,Customers!A:J,10,0)</f>
        <v>Free</v>
      </c>
      <c r="Q1159" t="str">
        <f>VLOOKUP(B1159,Customers!A:J,8,0)</f>
        <v>Female</v>
      </c>
      <c r="R1159" t="b">
        <f t="shared" si="36"/>
        <v>1</v>
      </c>
      <c r="S1159" s="18">
        <f t="shared" si="37"/>
        <v>45047</v>
      </c>
    </row>
    <row r="1160" spans="1:19" x14ac:dyDescent="0.25">
      <c r="A1160" s="3" t="s">
        <v>2478</v>
      </c>
      <c r="B1160" s="4" t="s">
        <v>477</v>
      </c>
      <c r="C1160" s="14">
        <v>45420</v>
      </c>
      <c r="D1160" s="4" t="s">
        <v>672</v>
      </c>
      <c r="E1160" s="4" t="s">
        <v>803</v>
      </c>
      <c r="F1160" s="4">
        <v>69.989999999999995</v>
      </c>
      <c r="G1160" s="4">
        <v>1</v>
      </c>
      <c r="H1160" s="4">
        <v>20</v>
      </c>
      <c r="I1160" s="4">
        <v>55.99</v>
      </c>
      <c r="J1160" s="4">
        <v>55.99</v>
      </c>
      <c r="K1160" s="4" t="s">
        <v>675</v>
      </c>
      <c r="L1160" s="4" t="s">
        <v>788</v>
      </c>
      <c r="M1160" s="5">
        <v>4</v>
      </c>
      <c r="N1160">
        <f>VLOOKUP(B1160,Customers!A:J,7,0)</f>
        <v>62</v>
      </c>
      <c r="O1160" t="str">
        <f>VLOOKUP(B1160,Customers!A:J,5,0)</f>
        <v>Phoenix</v>
      </c>
      <c r="P1160" t="str">
        <f>VLOOKUP(B1160,Customers!A:J,10,0)</f>
        <v>Free</v>
      </c>
      <c r="Q1160" t="str">
        <f>VLOOKUP(B1160,Customers!A:J,8,0)</f>
        <v>Female</v>
      </c>
      <c r="R1160" t="b">
        <f t="shared" si="36"/>
        <v>1</v>
      </c>
      <c r="S1160" s="18">
        <f t="shared" si="37"/>
        <v>45413</v>
      </c>
    </row>
    <row r="1161" spans="1:19" x14ac:dyDescent="0.25">
      <c r="A1161" s="6" t="s">
        <v>2480</v>
      </c>
      <c r="B1161" s="7" t="s">
        <v>477</v>
      </c>
      <c r="C1161" s="15">
        <v>44671</v>
      </c>
      <c r="D1161" s="7" t="s">
        <v>684</v>
      </c>
      <c r="E1161" s="7" t="s">
        <v>685</v>
      </c>
      <c r="F1161" s="7">
        <v>49.99</v>
      </c>
      <c r="G1161" s="7">
        <v>4</v>
      </c>
      <c r="H1161" s="7">
        <v>0</v>
      </c>
      <c r="I1161" s="7">
        <v>49.99</v>
      </c>
      <c r="J1161" s="7">
        <v>199.96</v>
      </c>
      <c r="K1161" s="7" t="s">
        <v>682</v>
      </c>
      <c r="L1161" s="7" t="s">
        <v>656</v>
      </c>
      <c r="M1161" s="8"/>
      <c r="N1161">
        <f>VLOOKUP(B1161,Customers!A:J,7,0)</f>
        <v>62</v>
      </c>
      <c r="O1161" t="str">
        <f>VLOOKUP(B1161,Customers!A:J,5,0)</f>
        <v>Phoenix</v>
      </c>
      <c r="P1161" t="str">
        <f>VLOOKUP(B1161,Customers!A:J,10,0)</f>
        <v>Free</v>
      </c>
      <c r="Q1161" t="str">
        <f>VLOOKUP(B1161,Customers!A:J,8,0)</f>
        <v>Female</v>
      </c>
      <c r="R1161" t="b">
        <f t="shared" si="36"/>
        <v>1</v>
      </c>
      <c r="S1161" s="18">
        <f t="shared" si="37"/>
        <v>44652</v>
      </c>
    </row>
    <row r="1162" spans="1:19" x14ac:dyDescent="0.25">
      <c r="A1162" s="3" t="s">
        <v>2481</v>
      </c>
      <c r="B1162" s="4" t="s">
        <v>477</v>
      </c>
      <c r="C1162" s="14">
        <v>45105</v>
      </c>
      <c r="D1162" s="4" t="s">
        <v>653</v>
      </c>
      <c r="E1162" s="4" t="s">
        <v>769</v>
      </c>
      <c r="F1162" s="4">
        <v>49.99</v>
      </c>
      <c r="G1162" s="4">
        <v>4</v>
      </c>
      <c r="H1162" s="4">
        <v>10</v>
      </c>
      <c r="I1162" s="4">
        <v>44.99</v>
      </c>
      <c r="J1162" s="4">
        <v>179.96</v>
      </c>
      <c r="K1162" s="4" t="s">
        <v>669</v>
      </c>
      <c r="L1162" s="4" t="s">
        <v>656</v>
      </c>
      <c r="M1162" s="5"/>
      <c r="N1162">
        <f>VLOOKUP(B1162,Customers!A:J,7,0)</f>
        <v>62</v>
      </c>
      <c r="O1162" t="str">
        <f>VLOOKUP(B1162,Customers!A:J,5,0)</f>
        <v>Phoenix</v>
      </c>
      <c r="P1162" t="str">
        <f>VLOOKUP(B1162,Customers!A:J,10,0)</f>
        <v>Free</v>
      </c>
      <c r="Q1162" t="str">
        <f>VLOOKUP(B1162,Customers!A:J,8,0)</f>
        <v>Female</v>
      </c>
      <c r="R1162" t="b">
        <f t="shared" si="36"/>
        <v>1</v>
      </c>
      <c r="S1162" s="18">
        <f t="shared" si="37"/>
        <v>45078</v>
      </c>
    </row>
    <row r="1163" spans="1:19" x14ac:dyDescent="0.25">
      <c r="A1163" s="6" t="s">
        <v>2482</v>
      </c>
      <c r="B1163" s="7" t="s">
        <v>477</v>
      </c>
      <c r="C1163" s="15">
        <v>44845</v>
      </c>
      <c r="D1163" s="7" t="s">
        <v>659</v>
      </c>
      <c r="E1163" s="7" t="s">
        <v>664</v>
      </c>
      <c r="F1163" s="7">
        <v>24.99</v>
      </c>
      <c r="G1163" s="7">
        <v>1</v>
      </c>
      <c r="H1163" s="7">
        <v>15</v>
      </c>
      <c r="I1163" s="7">
        <v>21.24</v>
      </c>
      <c r="J1163" s="7">
        <v>21.24</v>
      </c>
      <c r="K1163" s="7" t="s">
        <v>655</v>
      </c>
      <c r="L1163" s="7" t="s">
        <v>656</v>
      </c>
      <c r="M1163" s="8">
        <v>3</v>
      </c>
      <c r="N1163">
        <f>VLOOKUP(B1163,Customers!A:J,7,0)</f>
        <v>62</v>
      </c>
      <c r="O1163" t="str">
        <f>VLOOKUP(B1163,Customers!A:J,5,0)</f>
        <v>Phoenix</v>
      </c>
      <c r="P1163" t="str">
        <f>VLOOKUP(B1163,Customers!A:J,10,0)</f>
        <v>Free</v>
      </c>
      <c r="Q1163" t="str">
        <f>VLOOKUP(B1163,Customers!A:J,8,0)</f>
        <v>Female</v>
      </c>
      <c r="R1163" t="b">
        <f t="shared" si="36"/>
        <v>1</v>
      </c>
      <c r="S1163" s="18">
        <f t="shared" si="37"/>
        <v>44835</v>
      </c>
    </row>
    <row r="1164" spans="1:19" x14ac:dyDescent="0.25">
      <c r="A1164" s="3" t="s">
        <v>2484</v>
      </c>
      <c r="B1164" s="4" t="s">
        <v>477</v>
      </c>
      <c r="C1164" s="14">
        <v>44664</v>
      </c>
      <c r="D1164" s="4" t="s">
        <v>667</v>
      </c>
      <c r="E1164" s="4" t="s">
        <v>668</v>
      </c>
      <c r="F1164" s="4">
        <v>64.989999999999995</v>
      </c>
      <c r="G1164" s="4">
        <v>4</v>
      </c>
      <c r="H1164" s="4">
        <v>15</v>
      </c>
      <c r="I1164" s="4">
        <v>55.24</v>
      </c>
      <c r="J1164" s="4">
        <v>220.96</v>
      </c>
      <c r="K1164" s="4" t="s">
        <v>661</v>
      </c>
      <c r="L1164" s="4" t="s">
        <v>656</v>
      </c>
      <c r="M1164" s="5">
        <v>5</v>
      </c>
      <c r="N1164">
        <f>VLOOKUP(B1164,Customers!A:J,7,0)</f>
        <v>62</v>
      </c>
      <c r="O1164" t="str">
        <f>VLOOKUP(B1164,Customers!A:J,5,0)</f>
        <v>Phoenix</v>
      </c>
      <c r="P1164" t="str">
        <f>VLOOKUP(B1164,Customers!A:J,10,0)</f>
        <v>Free</v>
      </c>
      <c r="Q1164" t="str">
        <f>VLOOKUP(B1164,Customers!A:J,8,0)</f>
        <v>Female</v>
      </c>
      <c r="R1164" t="b">
        <f t="shared" si="36"/>
        <v>1</v>
      </c>
      <c r="S1164" s="18">
        <f t="shared" si="37"/>
        <v>44652</v>
      </c>
    </row>
    <row r="1165" spans="1:19" x14ac:dyDescent="0.25">
      <c r="A1165" s="6" t="s">
        <v>2485</v>
      </c>
      <c r="B1165" s="7" t="s">
        <v>480</v>
      </c>
      <c r="C1165" s="15">
        <v>45308</v>
      </c>
      <c r="D1165" s="7" t="s">
        <v>710</v>
      </c>
      <c r="E1165" s="7" t="s">
        <v>730</v>
      </c>
      <c r="F1165" s="7">
        <v>39.99</v>
      </c>
      <c r="G1165" s="7">
        <v>2</v>
      </c>
      <c r="H1165" s="7">
        <v>20</v>
      </c>
      <c r="I1165" s="7">
        <v>31.99</v>
      </c>
      <c r="J1165" s="7">
        <v>63.98</v>
      </c>
      <c r="K1165" s="7" t="s">
        <v>675</v>
      </c>
      <c r="L1165" s="7" t="s">
        <v>656</v>
      </c>
      <c r="M1165" s="8">
        <v>4</v>
      </c>
      <c r="N1165">
        <f>VLOOKUP(B1165,Customers!A:J,7,0)</f>
        <v>32</v>
      </c>
      <c r="O1165" t="str">
        <f>VLOOKUP(B1165,Customers!A:J,5,0)</f>
        <v>Houston</v>
      </c>
      <c r="P1165" t="str">
        <f>VLOOKUP(B1165,Customers!A:J,10,0)</f>
        <v>Free</v>
      </c>
      <c r="Q1165" t="str">
        <f>VLOOKUP(B1165,Customers!A:J,8,0)</f>
        <v>Female</v>
      </c>
      <c r="R1165" t="b">
        <f t="shared" si="36"/>
        <v>1</v>
      </c>
      <c r="S1165" s="18">
        <f t="shared" si="37"/>
        <v>45292</v>
      </c>
    </row>
    <row r="1166" spans="1:19" x14ac:dyDescent="0.25">
      <c r="A1166" s="3" t="s">
        <v>2486</v>
      </c>
      <c r="B1166" s="4" t="s">
        <v>480</v>
      </c>
      <c r="C1166" s="14">
        <v>44608</v>
      </c>
      <c r="D1166" s="4" t="s">
        <v>653</v>
      </c>
      <c r="E1166" s="4" t="s">
        <v>827</v>
      </c>
      <c r="F1166" s="4">
        <v>29.99</v>
      </c>
      <c r="G1166" s="4">
        <v>3</v>
      </c>
      <c r="H1166" s="4">
        <v>0</v>
      </c>
      <c r="I1166" s="4">
        <v>29.99</v>
      </c>
      <c r="J1166" s="4">
        <v>89.97</v>
      </c>
      <c r="K1166" s="4" t="s">
        <v>655</v>
      </c>
      <c r="L1166" s="4" t="s">
        <v>656</v>
      </c>
      <c r="M1166" s="5">
        <v>3</v>
      </c>
      <c r="N1166">
        <f>VLOOKUP(B1166,Customers!A:J,7,0)</f>
        <v>32</v>
      </c>
      <c r="O1166" t="str">
        <f>VLOOKUP(B1166,Customers!A:J,5,0)</f>
        <v>Houston</v>
      </c>
      <c r="P1166" t="str">
        <f>VLOOKUP(B1166,Customers!A:J,10,0)</f>
        <v>Free</v>
      </c>
      <c r="Q1166" t="str">
        <f>VLOOKUP(B1166,Customers!A:J,8,0)</f>
        <v>Female</v>
      </c>
      <c r="R1166" t="b">
        <f t="shared" si="36"/>
        <v>1</v>
      </c>
      <c r="S1166" s="18">
        <f t="shared" si="37"/>
        <v>44593</v>
      </c>
    </row>
    <row r="1167" spans="1:19" x14ac:dyDescent="0.25">
      <c r="A1167" s="6" t="s">
        <v>2487</v>
      </c>
      <c r="B1167" s="7" t="s">
        <v>480</v>
      </c>
      <c r="C1167" s="15">
        <v>44670</v>
      </c>
      <c r="D1167" s="7" t="s">
        <v>710</v>
      </c>
      <c r="E1167" s="7" t="s">
        <v>721</v>
      </c>
      <c r="F1167" s="7">
        <v>24.99</v>
      </c>
      <c r="G1167" s="7">
        <v>1</v>
      </c>
      <c r="H1167" s="7">
        <v>0</v>
      </c>
      <c r="I1167" s="7">
        <v>24.99</v>
      </c>
      <c r="J1167" s="7">
        <v>24.99</v>
      </c>
      <c r="K1167" s="7" t="s">
        <v>682</v>
      </c>
      <c r="L1167" s="7" t="s">
        <v>788</v>
      </c>
      <c r="M1167" s="8">
        <v>4</v>
      </c>
      <c r="N1167">
        <f>VLOOKUP(B1167,Customers!A:J,7,0)</f>
        <v>32</v>
      </c>
      <c r="O1167" t="str">
        <f>VLOOKUP(B1167,Customers!A:J,5,0)</f>
        <v>Houston</v>
      </c>
      <c r="P1167" t="str">
        <f>VLOOKUP(B1167,Customers!A:J,10,0)</f>
        <v>Free</v>
      </c>
      <c r="Q1167" t="str">
        <f>VLOOKUP(B1167,Customers!A:J,8,0)</f>
        <v>Female</v>
      </c>
      <c r="R1167" t="b">
        <f t="shared" si="36"/>
        <v>1</v>
      </c>
      <c r="S1167" s="18">
        <f t="shared" si="37"/>
        <v>44652</v>
      </c>
    </row>
    <row r="1168" spans="1:19" x14ac:dyDescent="0.25">
      <c r="A1168" s="3" t="s">
        <v>2488</v>
      </c>
      <c r="B1168" s="4" t="s">
        <v>480</v>
      </c>
      <c r="C1168" s="14">
        <v>45386</v>
      </c>
      <c r="D1168" s="4" t="s">
        <v>672</v>
      </c>
      <c r="E1168" s="4" t="s">
        <v>673</v>
      </c>
      <c r="F1168" s="4">
        <v>24.99</v>
      </c>
      <c r="G1168" s="4">
        <v>1</v>
      </c>
      <c r="H1168" s="4">
        <v>5</v>
      </c>
      <c r="I1168" s="4">
        <v>23.74</v>
      </c>
      <c r="J1168" s="4">
        <v>23.74</v>
      </c>
      <c r="K1168" s="4" t="s">
        <v>682</v>
      </c>
      <c r="L1168" s="4" t="s">
        <v>656</v>
      </c>
      <c r="M1168" s="5">
        <v>5</v>
      </c>
      <c r="N1168">
        <f>VLOOKUP(B1168,Customers!A:J,7,0)</f>
        <v>32</v>
      </c>
      <c r="O1168" t="str">
        <f>VLOOKUP(B1168,Customers!A:J,5,0)</f>
        <v>Houston</v>
      </c>
      <c r="P1168" t="str">
        <f>VLOOKUP(B1168,Customers!A:J,10,0)</f>
        <v>Free</v>
      </c>
      <c r="Q1168" t="str">
        <f>VLOOKUP(B1168,Customers!A:J,8,0)</f>
        <v>Female</v>
      </c>
      <c r="R1168" t="b">
        <f t="shared" si="36"/>
        <v>1</v>
      </c>
      <c r="S1168" s="18">
        <f t="shared" si="37"/>
        <v>45383</v>
      </c>
    </row>
    <row r="1169" spans="1:19" x14ac:dyDescent="0.25">
      <c r="A1169" s="6" t="s">
        <v>2490</v>
      </c>
      <c r="B1169" s="7" t="s">
        <v>480</v>
      </c>
      <c r="C1169" s="15">
        <v>44854</v>
      </c>
      <c r="D1169" s="7" t="s">
        <v>684</v>
      </c>
      <c r="E1169" s="7" t="s">
        <v>815</v>
      </c>
      <c r="F1169" s="7">
        <v>34.99</v>
      </c>
      <c r="G1169" s="7">
        <v>4</v>
      </c>
      <c r="H1169" s="7">
        <v>10</v>
      </c>
      <c r="I1169" s="7">
        <v>31.49</v>
      </c>
      <c r="J1169" s="7">
        <v>125.96</v>
      </c>
      <c r="K1169" s="7" t="s">
        <v>675</v>
      </c>
      <c r="L1169" s="7" t="s">
        <v>788</v>
      </c>
      <c r="M1169" s="8">
        <v>5</v>
      </c>
      <c r="N1169">
        <f>VLOOKUP(B1169,Customers!A:J,7,0)</f>
        <v>32</v>
      </c>
      <c r="O1169" t="str">
        <f>VLOOKUP(B1169,Customers!A:J,5,0)</f>
        <v>Houston</v>
      </c>
      <c r="P1169" t="str">
        <f>VLOOKUP(B1169,Customers!A:J,10,0)</f>
        <v>Free</v>
      </c>
      <c r="Q1169" t="str">
        <f>VLOOKUP(B1169,Customers!A:J,8,0)</f>
        <v>Female</v>
      </c>
      <c r="R1169" t="b">
        <f t="shared" si="36"/>
        <v>1</v>
      </c>
      <c r="S1169" s="18">
        <f t="shared" si="37"/>
        <v>44835</v>
      </c>
    </row>
    <row r="1170" spans="1:19" x14ac:dyDescent="0.25">
      <c r="A1170" s="3" t="s">
        <v>2492</v>
      </c>
      <c r="B1170" s="4" t="s">
        <v>480</v>
      </c>
      <c r="C1170" s="14">
        <v>45078</v>
      </c>
      <c r="D1170" s="4" t="s">
        <v>684</v>
      </c>
      <c r="E1170" s="4" t="s">
        <v>685</v>
      </c>
      <c r="F1170" s="4">
        <v>49.99</v>
      </c>
      <c r="G1170" s="4">
        <v>1</v>
      </c>
      <c r="H1170" s="4">
        <v>0</v>
      </c>
      <c r="I1170" s="4">
        <v>49.99</v>
      </c>
      <c r="J1170" s="4">
        <v>49.99</v>
      </c>
      <c r="K1170" s="4" t="s">
        <v>669</v>
      </c>
      <c r="L1170" s="4" t="s">
        <v>656</v>
      </c>
      <c r="M1170" s="5">
        <v>5</v>
      </c>
      <c r="N1170">
        <f>VLOOKUP(B1170,Customers!A:J,7,0)</f>
        <v>32</v>
      </c>
      <c r="O1170" t="str">
        <f>VLOOKUP(B1170,Customers!A:J,5,0)</f>
        <v>Houston</v>
      </c>
      <c r="P1170" t="str">
        <f>VLOOKUP(B1170,Customers!A:J,10,0)</f>
        <v>Free</v>
      </c>
      <c r="Q1170" t="str">
        <f>VLOOKUP(B1170,Customers!A:J,8,0)</f>
        <v>Female</v>
      </c>
      <c r="R1170" t="b">
        <f t="shared" si="36"/>
        <v>1</v>
      </c>
      <c r="S1170" s="18">
        <f t="shared" si="37"/>
        <v>45078</v>
      </c>
    </row>
    <row r="1171" spans="1:19" x14ac:dyDescent="0.25">
      <c r="A1171" s="6" t="s">
        <v>2493</v>
      </c>
      <c r="B1171" s="7" t="s">
        <v>480</v>
      </c>
      <c r="C1171" s="15">
        <v>45530</v>
      </c>
      <c r="D1171" s="7" t="s">
        <v>659</v>
      </c>
      <c r="E1171" s="7" t="s">
        <v>664</v>
      </c>
      <c r="F1171" s="7">
        <v>24.99</v>
      </c>
      <c r="G1171" s="7">
        <v>2</v>
      </c>
      <c r="H1171" s="7">
        <v>0</v>
      </c>
      <c r="I1171" s="7">
        <v>24.99</v>
      </c>
      <c r="J1171" s="7">
        <v>49.98</v>
      </c>
      <c r="K1171" s="7" t="s">
        <v>661</v>
      </c>
      <c r="L1171" s="7" t="s">
        <v>656</v>
      </c>
      <c r="M1171" s="8">
        <v>1</v>
      </c>
      <c r="N1171">
        <f>VLOOKUP(B1171,Customers!A:J,7,0)</f>
        <v>32</v>
      </c>
      <c r="O1171" t="str">
        <f>VLOOKUP(B1171,Customers!A:J,5,0)</f>
        <v>Houston</v>
      </c>
      <c r="P1171" t="str">
        <f>VLOOKUP(B1171,Customers!A:J,10,0)</f>
        <v>Free</v>
      </c>
      <c r="Q1171" t="str">
        <f>VLOOKUP(B1171,Customers!A:J,8,0)</f>
        <v>Female</v>
      </c>
      <c r="R1171" t="b">
        <f t="shared" si="36"/>
        <v>1</v>
      </c>
      <c r="S1171" s="18">
        <f t="shared" si="37"/>
        <v>45505</v>
      </c>
    </row>
    <row r="1172" spans="1:19" x14ac:dyDescent="0.25">
      <c r="A1172" s="3" t="s">
        <v>2494</v>
      </c>
      <c r="B1172" s="4" t="s">
        <v>480</v>
      </c>
      <c r="C1172" s="14">
        <v>45492</v>
      </c>
      <c r="D1172" s="4" t="s">
        <v>672</v>
      </c>
      <c r="E1172" s="4" t="s">
        <v>673</v>
      </c>
      <c r="F1172" s="4">
        <v>24.99</v>
      </c>
      <c r="G1172" s="4">
        <v>4</v>
      </c>
      <c r="H1172" s="4">
        <v>0</v>
      </c>
      <c r="I1172" s="4">
        <v>24.99</v>
      </c>
      <c r="J1172" s="4">
        <v>99.96</v>
      </c>
      <c r="K1172" s="4" t="s">
        <v>669</v>
      </c>
      <c r="L1172" s="4" t="s">
        <v>785</v>
      </c>
      <c r="M1172" s="5"/>
      <c r="N1172">
        <f>VLOOKUP(B1172,Customers!A:J,7,0)</f>
        <v>32</v>
      </c>
      <c r="O1172" t="str">
        <f>VLOOKUP(B1172,Customers!A:J,5,0)</f>
        <v>Houston</v>
      </c>
      <c r="P1172" t="str">
        <f>VLOOKUP(B1172,Customers!A:J,10,0)</f>
        <v>Free</v>
      </c>
      <c r="Q1172" t="str">
        <f>VLOOKUP(B1172,Customers!A:J,8,0)</f>
        <v>Female</v>
      </c>
      <c r="R1172" t="b">
        <f t="shared" si="36"/>
        <v>1</v>
      </c>
      <c r="S1172" s="18">
        <f t="shared" si="37"/>
        <v>45474</v>
      </c>
    </row>
    <row r="1173" spans="1:19" x14ac:dyDescent="0.25">
      <c r="A1173" s="6" t="s">
        <v>2496</v>
      </c>
      <c r="B1173" s="7" t="s">
        <v>480</v>
      </c>
      <c r="C1173" s="15">
        <v>45386</v>
      </c>
      <c r="D1173" s="7" t="s">
        <v>680</v>
      </c>
      <c r="E1173" s="7" t="s">
        <v>708</v>
      </c>
      <c r="F1173" s="7">
        <v>24.99</v>
      </c>
      <c r="G1173" s="7">
        <v>2</v>
      </c>
      <c r="H1173" s="7">
        <v>10</v>
      </c>
      <c r="I1173" s="7">
        <v>22.49</v>
      </c>
      <c r="J1173" s="7">
        <v>44.98</v>
      </c>
      <c r="K1173" s="7" t="s">
        <v>675</v>
      </c>
      <c r="L1173" s="7" t="s">
        <v>656</v>
      </c>
      <c r="M1173" s="8">
        <v>5</v>
      </c>
      <c r="N1173">
        <f>VLOOKUP(B1173,Customers!A:J,7,0)</f>
        <v>32</v>
      </c>
      <c r="O1173" t="str">
        <f>VLOOKUP(B1173,Customers!A:J,5,0)</f>
        <v>Houston</v>
      </c>
      <c r="P1173" t="str">
        <f>VLOOKUP(B1173,Customers!A:J,10,0)</f>
        <v>Free</v>
      </c>
      <c r="Q1173" t="str">
        <f>VLOOKUP(B1173,Customers!A:J,8,0)</f>
        <v>Female</v>
      </c>
      <c r="R1173" t="b">
        <f t="shared" si="36"/>
        <v>1</v>
      </c>
      <c r="S1173" s="18">
        <f t="shared" si="37"/>
        <v>45383</v>
      </c>
    </row>
    <row r="1174" spans="1:19" x14ac:dyDescent="0.25">
      <c r="A1174" s="3" t="s">
        <v>2497</v>
      </c>
      <c r="B1174" s="4" t="s">
        <v>480</v>
      </c>
      <c r="C1174" s="14">
        <v>45620</v>
      </c>
      <c r="D1174" s="4" t="s">
        <v>680</v>
      </c>
      <c r="E1174" s="4" t="s">
        <v>681</v>
      </c>
      <c r="F1174" s="4">
        <v>19.989999999999998</v>
      </c>
      <c r="G1174" s="4">
        <v>2</v>
      </c>
      <c r="H1174" s="4">
        <v>0</v>
      </c>
      <c r="I1174" s="4">
        <v>19.989999999999998</v>
      </c>
      <c r="J1174" s="4">
        <v>39.979999999999997</v>
      </c>
      <c r="K1174" s="4" t="s">
        <v>661</v>
      </c>
      <c r="L1174" s="4" t="s">
        <v>656</v>
      </c>
      <c r="M1174" s="5">
        <v>5</v>
      </c>
      <c r="N1174">
        <f>VLOOKUP(B1174,Customers!A:J,7,0)</f>
        <v>32</v>
      </c>
      <c r="O1174" t="str">
        <f>VLOOKUP(B1174,Customers!A:J,5,0)</f>
        <v>Houston</v>
      </c>
      <c r="P1174" t="str">
        <f>VLOOKUP(B1174,Customers!A:J,10,0)</f>
        <v>Free</v>
      </c>
      <c r="Q1174" t="str">
        <f>VLOOKUP(B1174,Customers!A:J,8,0)</f>
        <v>Female</v>
      </c>
      <c r="R1174" t="b">
        <f t="shared" si="36"/>
        <v>1</v>
      </c>
      <c r="S1174" s="18">
        <f t="shared" si="37"/>
        <v>45597</v>
      </c>
    </row>
    <row r="1175" spans="1:19" x14ac:dyDescent="0.25">
      <c r="A1175" s="6" t="s">
        <v>2498</v>
      </c>
      <c r="B1175" s="7" t="s">
        <v>480</v>
      </c>
      <c r="C1175" s="15">
        <v>44645</v>
      </c>
      <c r="D1175" s="7" t="s">
        <v>653</v>
      </c>
      <c r="E1175" s="7" t="s">
        <v>827</v>
      </c>
      <c r="F1175" s="7">
        <v>29.99</v>
      </c>
      <c r="G1175" s="7">
        <v>1</v>
      </c>
      <c r="H1175" s="7">
        <v>0</v>
      </c>
      <c r="I1175" s="7">
        <v>29.99</v>
      </c>
      <c r="J1175" s="7">
        <v>29.99</v>
      </c>
      <c r="K1175" s="7" t="s">
        <v>655</v>
      </c>
      <c r="L1175" s="7" t="s">
        <v>656</v>
      </c>
      <c r="M1175" s="8">
        <v>4</v>
      </c>
      <c r="N1175">
        <f>VLOOKUP(B1175,Customers!A:J,7,0)</f>
        <v>32</v>
      </c>
      <c r="O1175" t="str">
        <f>VLOOKUP(B1175,Customers!A:J,5,0)</f>
        <v>Houston</v>
      </c>
      <c r="P1175" t="str">
        <f>VLOOKUP(B1175,Customers!A:J,10,0)</f>
        <v>Free</v>
      </c>
      <c r="Q1175" t="str">
        <f>VLOOKUP(B1175,Customers!A:J,8,0)</f>
        <v>Female</v>
      </c>
      <c r="R1175" t="b">
        <f t="shared" si="36"/>
        <v>1</v>
      </c>
      <c r="S1175" s="18">
        <f t="shared" si="37"/>
        <v>44621</v>
      </c>
    </row>
    <row r="1176" spans="1:19" x14ac:dyDescent="0.25">
      <c r="A1176" s="3" t="s">
        <v>2499</v>
      </c>
      <c r="B1176" s="4" t="s">
        <v>480</v>
      </c>
      <c r="C1176" s="14">
        <v>45526</v>
      </c>
      <c r="D1176" s="4" t="s">
        <v>710</v>
      </c>
      <c r="E1176" s="4" t="s">
        <v>711</v>
      </c>
      <c r="F1176" s="4">
        <v>14.99</v>
      </c>
      <c r="G1176" s="4">
        <v>2</v>
      </c>
      <c r="H1176" s="4">
        <v>0</v>
      </c>
      <c r="I1176" s="4">
        <v>14.99</v>
      </c>
      <c r="J1176" s="4">
        <v>29.98</v>
      </c>
      <c r="K1176" s="4" t="s">
        <v>682</v>
      </c>
      <c r="L1176" s="4" t="s">
        <v>656</v>
      </c>
      <c r="M1176" s="5">
        <v>5</v>
      </c>
      <c r="N1176">
        <f>VLOOKUP(B1176,Customers!A:J,7,0)</f>
        <v>32</v>
      </c>
      <c r="O1176" t="str">
        <f>VLOOKUP(B1176,Customers!A:J,5,0)</f>
        <v>Houston</v>
      </c>
      <c r="P1176" t="str">
        <f>VLOOKUP(B1176,Customers!A:J,10,0)</f>
        <v>Free</v>
      </c>
      <c r="Q1176" t="str">
        <f>VLOOKUP(B1176,Customers!A:J,8,0)</f>
        <v>Female</v>
      </c>
      <c r="R1176" t="b">
        <f t="shared" si="36"/>
        <v>1</v>
      </c>
      <c r="S1176" s="18">
        <f t="shared" si="37"/>
        <v>45505</v>
      </c>
    </row>
    <row r="1177" spans="1:19" x14ac:dyDescent="0.25">
      <c r="A1177" s="6" t="s">
        <v>2500</v>
      </c>
      <c r="B1177" s="7" t="s">
        <v>480</v>
      </c>
      <c r="C1177" s="15">
        <v>45174</v>
      </c>
      <c r="D1177" s="7" t="s">
        <v>659</v>
      </c>
      <c r="E1177" s="7" t="s">
        <v>762</v>
      </c>
      <c r="F1177" s="7">
        <v>49.99</v>
      </c>
      <c r="G1177" s="7">
        <v>1</v>
      </c>
      <c r="H1177" s="7">
        <v>10</v>
      </c>
      <c r="I1177" s="7">
        <v>44.99</v>
      </c>
      <c r="J1177" s="7">
        <v>44.99</v>
      </c>
      <c r="K1177" s="7" t="s">
        <v>661</v>
      </c>
      <c r="L1177" s="7" t="s">
        <v>656</v>
      </c>
      <c r="M1177" s="8">
        <v>4</v>
      </c>
      <c r="N1177">
        <f>VLOOKUP(B1177,Customers!A:J,7,0)</f>
        <v>32</v>
      </c>
      <c r="O1177" t="str">
        <f>VLOOKUP(B1177,Customers!A:J,5,0)</f>
        <v>Houston</v>
      </c>
      <c r="P1177" t="str">
        <f>VLOOKUP(B1177,Customers!A:J,10,0)</f>
        <v>Free</v>
      </c>
      <c r="Q1177" t="str">
        <f>VLOOKUP(B1177,Customers!A:J,8,0)</f>
        <v>Female</v>
      </c>
      <c r="R1177" t="b">
        <f t="shared" si="36"/>
        <v>1</v>
      </c>
      <c r="S1177" s="18">
        <f t="shared" si="37"/>
        <v>45170</v>
      </c>
    </row>
    <row r="1178" spans="1:19" x14ac:dyDescent="0.25">
      <c r="A1178" s="3" t="s">
        <v>2502</v>
      </c>
      <c r="B1178" s="4" t="s">
        <v>480</v>
      </c>
      <c r="C1178" s="14">
        <v>44739</v>
      </c>
      <c r="D1178" s="4" t="s">
        <v>710</v>
      </c>
      <c r="E1178" s="4" t="s">
        <v>721</v>
      </c>
      <c r="F1178" s="4">
        <v>24.99</v>
      </c>
      <c r="G1178" s="4">
        <v>3</v>
      </c>
      <c r="H1178" s="4">
        <v>5</v>
      </c>
      <c r="I1178" s="4">
        <v>23.74</v>
      </c>
      <c r="J1178" s="4">
        <v>71.22</v>
      </c>
      <c r="K1178" s="4" t="s">
        <v>682</v>
      </c>
      <c r="L1178" s="4" t="s">
        <v>656</v>
      </c>
      <c r="M1178" s="5"/>
      <c r="N1178">
        <f>VLOOKUP(B1178,Customers!A:J,7,0)</f>
        <v>32</v>
      </c>
      <c r="O1178" t="str">
        <f>VLOOKUP(B1178,Customers!A:J,5,0)</f>
        <v>Houston</v>
      </c>
      <c r="P1178" t="str">
        <f>VLOOKUP(B1178,Customers!A:J,10,0)</f>
        <v>Free</v>
      </c>
      <c r="Q1178" t="str">
        <f>VLOOKUP(B1178,Customers!A:J,8,0)</f>
        <v>Female</v>
      </c>
      <c r="R1178" t="b">
        <f t="shared" si="36"/>
        <v>1</v>
      </c>
      <c r="S1178" s="18">
        <f t="shared" si="37"/>
        <v>44713</v>
      </c>
    </row>
    <row r="1179" spans="1:19" x14ac:dyDescent="0.25">
      <c r="A1179" s="6" t="s">
        <v>2503</v>
      </c>
      <c r="B1179" s="7" t="s">
        <v>483</v>
      </c>
      <c r="C1179" s="15">
        <v>45215</v>
      </c>
      <c r="D1179" s="7" t="s">
        <v>684</v>
      </c>
      <c r="E1179" s="7" t="s">
        <v>702</v>
      </c>
      <c r="F1179" s="7">
        <v>199.99</v>
      </c>
      <c r="G1179" s="7">
        <v>2</v>
      </c>
      <c r="H1179" s="7">
        <v>10</v>
      </c>
      <c r="I1179" s="7">
        <v>179.99</v>
      </c>
      <c r="J1179" s="7">
        <v>359.98</v>
      </c>
      <c r="K1179" s="7" t="s">
        <v>669</v>
      </c>
      <c r="L1179" s="7" t="s">
        <v>656</v>
      </c>
      <c r="M1179" s="8"/>
      <c r="N1179">
        <f>VLOOKUP(B1179,Customers!A:J,7,0)</f>
        <v>63</v>
      </c>
      <c r="O1179" t="str">
        <f>VLOOKUP(B1179,Customers!A:J,5,0)</f>
        <v>Chicago</v>
      </c>
      <c r="P1179" t="str">
        <f>VLOOKUP(B1179,Customers!A:J,10,0)</f>
        <v>Silver</v>
      </c>
      <c r="Q1179" t="str">
        <f>VLOOKUP(B1179,Customers!A:J,8,0)</f>
        <v>Female</v>
      </c>
      <c r="R1179" t="b">
        <f t="shared" si="36"/>
        <v>1</v>
      </c>
      <c r="S1179" s="18">
        <f t="shared" si="37"/>
        <v>45200</v>
      </c>
    </row>
    <row r="1180" spans="1:19" x14ac:dyDescent="0.25">
      <c r="A1180" s="3" t="s">
        <v>2505</v>
      </c>
      <c r="B1180" s="4" t="s">
        <v>483</v>
      </c>
      <c r="C1180" s="14">
        <v>44818</v>
      </c>
      <c r="D1180" s="4" t="s">
        <v>672</v>
      </c>
      <c r="E1180" s="4" t="s">
        <v>673</v>
      </c>
      <c r="F1180" s="4">
        <v>24.99</v>
      </c>
      <c r="G1180" s="4">
        <v>2</v>
      </c>
      <c r="H1180" s="4">
        <v>0</v>
      </c>
      <c r="I1180" s="4">
        <v>24.99</v>
      </c>
      <c r="J1180" s="4">
        <v>49.98</v>
      </c>
      <c r="K1180" s="4" t="s">
        <v>661</v>
      </c>
      <c r="L1180" s="4" t="s">
        <v>656</v>
      </c>
      <c r="M1180" s="5">
        <v>3</v>
      </c>
      <c r="N1180">
        <f>VLOOKUP(B1180,Customers!A:J,7,0)</f>
        <v>63</v>
      </c>
      <c r="O1180" t="str">
        <f>VLOOKUP(B1180,Customers!A:J,5,0)</f>
        <v>Chicago</v>
      </c>
      <c r="P1180" t="str">
        <f>VLOOKUP(B1180,Customers!A:J,10,0)</f>
        <v>Silver</v>
      </c>
      <c r="Q1180" t="str">
        <f>VLOOKUP(B1180,Customers!A:J,8,0)</f>
        <v>Female</v>
      </c>
      <c r="R1180" t="b">
        <f t="shared" si="36"/>
        <v>1</v>
      </c>
      <c r="S1180" s="18">
        <f t="shared" si="37"/>
        <v>44805</v>
      </c>
    </row>
    <row r="1181" spans="1:19" x14ac:dyDescent="0.25">
      <c r="A1181" s="6" t="s">
        <v>2506</v>
      </c>
      <c r="B1181" s="7" t="s">
        <v>483</v>
      </c>
      <c r="C1181" s="15">
        <v>45300</v>
      </c>
      <c r="D1181" s="7" t="s">
        <v>710</v>
      </c>
      <c r="E1181" s="7" t="s">
        <v>744</v>
      </c>
      <c r="F1181" s="7">
        <v>29.99</v>
      </c>
      <c r="G1181" s="7">
        <v>3</v>
      </c>
      <c r="H1181" s="7">
        <v>0</v>
      </c>
      <c r="I1181" s="7">
        <v>29.99</v>
      </c>
      <c r="J1181" s="7">
        <v>89.97</v>
      </c>
      <c r="K1181" s="7" t="s">
        <v>669</v>
      </c>
      <c r="L1181" s="7" t="s">
        <v>656</v>
      </c>
      <c r="M1181" s="8">
        <v>4</v>
      </c>
      <c r="N1181">
        <f>VLOOKUP(B1181,Customers!A:J,7,0)</f>
        <v>63</v>
      </c>
      <c r="O1181" t="str">
        <f>VLOOKUP(B1181,Customers!A:J,5,0)</f>
        <v>Chicago</v>
      </c>
      <c r="P1181" t="str">
        <f>VLOOKUP(B1181,Customers!A:J,10,0)</f>
        <v>Silver</v>
      </c>
      <c r="Q1181" t="str">
        <f>VLOOKUP(B1181,Customers!A:J,8,0)</f>
        <v>Female</v>
      </c>
      <c r="R1181" t="b">
        <f t="shared" si="36"/>
        <v>1</v>
      </c>
      <c r="S1181" s="18">
        <f t="shared" si="37"/>
        <v>45292</v>
      </c>
    </row>
    <row r="1182" spans="1:19" x14ac:dyDescent="0.25">
      <c r="A1182" s="3" t="s">
        <v>2507</v>
      </c>
      <c r="B1182" s="4" t="s">
        <v>483</v>
      </c>
      <c r="C1182" s="14">
        <v>45036</v>
      </c>
      <c r="D1182" s="4" t="s">
        <v>680</v>
      </c>
      <c r="E1182" s="4" t="s">
        <v>681</v>
      </c>
      <c r="F1182" s="4">
        <v>19.989999999999998</v>
      </c>
      <c r="G1182" s="4">
        <v>4</v>
      </c>
      <c r="H1182" s="4">
        <v>20</v>
      </c>
      <c r="I1182" s="4">
        <v>15.99</v>
      </c>
      <c r="J1182" s="4">
        <v>63.96</v>
      </c>
      <c r="K1182" s="4" t="s">
        <v>669</v>
      </c>
      <c r="L1182" s="4" t="s">
        <v>656</v>
      </c>
      <c r="M1182" s="5">
        <v>5</v>
      </c>
      <c r="N1182">
        <f>VLOOKUP(B1182,Customers!A:J,7,0)</f>
        <v>63</v>
      </c>
      <c r="O1182" t="str">
        <f>VLOOKUP(B1182,Customers!A:J,5,0)</f>
        <v>Chicago</v>
      </c>
      <c r="P1182" t="str">
        <f>VLOOKUP(B1182,Customers!A:J,10,0)</f>
        <v>Silver</v>
      </c>
      <c r="Q1182" t="str">
        <f>VLOOKUP(B1182,Customers!A:J,8,0)</f>
        <v>Female</v>
      </c>
      <c r="R1182" t="b">
        <f t="shared" si="36"/>
        <v>1</v>
      </c>
      <c r="S1182" s="18">
        <f t="shared" si="37"/>
        <v>45017</v>
      </c>
    </row>
    <row r="1183" spans="1:19" x14ac:dyDescent="0.25">
      <c r="A1183" s="6" t="s">
        <v>2509</v>
      </c>
      <c r="B1183" s="7" t="s">
        <v>483</v>
      </c>
      <c r="C1183" s="15">
        <v>44612</v>
      </c>
      <c r="D1183" s="7" t="s">
        <v>653</v>
      </c>
      <c r="E1183" s="7" t="s">
        <v>727</v>
      </c>
      <c r="F1183" s="7">
        <v>14.99</v>
      </c>
      <c r="G1183" s="7">
        <v>3</v>
      </c>
      <c r="H1183" s="7">
        <v>0</v>
      </c>
      <c r="I1183" s="7">
        <v>14.99</v>
      </c>
      <c r="J1183" s="7">
        <v>44.97</v>
      </c>
      <c r="K1183" s="7" t="s">
        <v>655</v>
      </c>
      <c r="L1183" s="7" t="s">
        <v>788</v>
      </c>
      <c r="M1183" s="8">
        <v>5</v>
      </c>
      <c r="N1183">
        <f>VLOOKUP(B1183,Customers!A:J,7,0)</f>
        <v>63</v>
      </c>
      <c r="O1183" t="str">
        <f>VLOOKUP(B1183,Customers!A:J,5,0)</f>
        <v>Chicago</v>
      </c>
      <c r="P1183" t="str">
        <f>VLOOKUP(B1183,Customers!A:J,10,0)</f>
        <v>Silver</v>
      </c>
      <c r="Q1183" t="str">
        <f>VLOOKUP(B1183,Customers!A:J,8,0)</f>
        <v>Female</v>
      </c>
      <c r="R1183" t="b">
        <f t="shared" si="36"/>
        <v>1</v>
      </c>
      <c r="S1183" s="18">
        <f t="shared" si="37"/>
        <v>44593</v>
      </c>
    </row>
    <row r="1184" spans="1:19" x14ac:dyDescent="0.25">
      <c r="A1184" s="3" t="s">
        <v>2511</v>
      </c>
      <c r="B1184" s="4" t="s">
        <v>483</v>
      </c>
      <c r="C1184" s="14">
        <v>45134</v>
      </c>
      <c r="D1184" s="4" t="s">
        <v>667</v>
      </c>
      <c r="E1184" s="4" t="s">
        <v>699</v>
      </c>
      <c r="F1184" s="4">
        <v>89.99</v>
      </c>
      <c r="G1184" s="4">
        <v>2</v>
      </c>
      <c r="H1184" s="4">
        <v>5</v>
      </c>
      <c r="I1184" s="4">
        <v>85.49</v>
      </c>
      <c r="J1184" s="4">
        <v>170.98</v>
      </c>
      <c r="K1184" s="4" t="s">
        <v>669</v>
      </c>
      <c r="L1184" s="4" t="s">
        <v>656</v>
      </c>
      <c r="M1184" s="5">
        <v>5</v>
      </c>
      <c r="N1184">
        <f>VLOOKUP(B1184,Customers!A:J,7,0)</f>
        <v>63</v>
      </c>
      <c r="O1184" t="str">
        <f>VLOOKUP(B1184,Customers!A:J,5,0)</f>
        <v>Chicago</v>
      </c>
      <c r="P1184" t="str">
        <f>VLOOKUP(B1184,Customers!A:J,10,0)</f>
        <v>Silver</v>
      </c>
      <c r="Q1184" t="str">
        <f>VLOOKUP(B1184,Customers!A:J,8,0)</f>
        <v>Female</v>
      </c>
      <c r="R1184" t="b">
        <f t="shared" si="36"/>
        <v>1</v>
      </c>
      <c r="S1184" s="18">
        <f t="shared" si="37"/>
        <v>45108</v>
      </c>
    </row>
    <row r="1185" spans="1:19" x14ac:dyDescent="0.25">
      <c r="A1185" s="6" t="s">
        <v>2512</v>
      </c>
      <c r="B1185" s="7" t="s">
        <v>483</v>
      </c>
      <c r="C1185" s="15">
        <v>45175</v>
      </c>
      <c r="D1185" s="7" t="s">
        <v>672</v>
      </c>
      <c r="E1185" s="7" t="s">
        <v>803</v>
      </c>
      <c r="F1185" s="7">
        <v>69.989999999999995</v>
      </c>
      <c r="G1185" s="7">
        <v>3</v>
      </c>
      <c r="H1185" s="7">
        <v>0</v>
      </c>
      <c r="I1185" s="7">
        <v>69.989999999999995</v>
      </c>
      <c r="J1185" s="7">
        <v>209.97</v>
      </c>
      <c r="K1185" s="7" t="s">
        <v>669</v>
      </c>
      <c r="L1185" s="7" t="s">
        <v>656</v>
      </c>
      <c r="M1185" s="8">
        <v>1</v>
      </c>
      <c r="N1185">
        <f>VLOOKUP(B1185,Customers!A:J,7,0)</f>
        <v>63</v>
      </c>
      <c r="O1185" t="str">
        <f>VLOOKUP(B1185,Customers!A:J,5,0)</f>
        <v>Chicago</v>
      </c>
      <c r="P1185" t="str">
        <f>VLOOKUP(B1185,Customers!A:J,10,0)</f>
        <v>Silver</v>
      </c>
      <c r="Q1185" t="str">
        <f>VLOOKUP(B1185,Customers!A:J,8,0)</f>
        <v>Female</v>
      </c>
      <c r="R1185" t="b">
        <f t="shared" si="36"/>
        <v>1</v>
      </c>
      <c r="S1185" s="18">
        <f t="shared" si="37"/>
        <v>45170</v>
      </c>
    </row>
    <row r="1186" spans="1:19" x14ac:dyDescent="0.25">
      <c r="A1186" s="3" t="s">
        <v>2514</v>
      </c>
      <c r="B1186" s="4" t="s">
        <v>486</v>
      </c>
      <c r="C1186" s="14">
        <v>45386</v>
      </c>
      <c r="D1186" s="4" t="s">
        <v>684</v>
      </c>
      <c r="E1186" s="4" t="s">
        <v>815</v>
      </c>
      <c r="F1186" s="4">
        <v>34.99</v>
      </c>
      <c r="G1186" s="4">
        <v>3</v>
      </c>
      <c r="H1186" s="4">
        <v>0</v>
      </c>
      <c r="I1186" s="4">
        <v>34.99</v>
      </c>
      <c r="J1186" s="4">
        <v>104.97</v>
      </c>
      <c r="K1186" s="4" t="s">
        <v>682</v>
      </c>
      <c r="L1186" s="4" t="s">
        <v>656</v>
      </c>
      <c r="M1186" s="5">
        <v>5</v>
      </c>
      <c r="N1186">
        <f>VLOOKUP(B1186,Customers!A:J,7,0)</f>
        <v>35</v>
      </c>
      <c r="O1186" t="str">
        <f>VLOOKUP(B1186,Customers!A:J,5,0)</f>
        <v>Philadelphia</v>
      </c>
      <c r="P1186" t="str">
        <f>VLOOKUP(B1186,Customers!A:J,10,0)</f>
        <v>Free</v>
      </c>
      <c r="Q1186" t="str">
        <f>VLOOKUP(B1186,Customers!A:J,8,0)</f>
        <v>Female</v>
      </c>
      <c r="R1186" t="b">
        <f t="shared" si="36"/>
        <v>1</v>
      </c>
      <c r="S1186" s="18">
        <f t="shared" si="37"/>
        <v>45383</v>
      </c>
    </row>
    <row r="1187" spans="1:19" x14ac:dyDescent="0.25">
      <c r="A1187" s="6" t="s">
        <v>2515</v>
      </c>
      <c r="B1187" s="7" t="s">
        <v>486</v>
      </c>
      <c r="C1187" s="15">
        <v>44982</v>
      </c>
      <c r="D1187" s="7" t="s">
        <v>653</v>
      </c>
      <c r="E1187" s="7" t="s">
        <v>654</v>
      </c>
      <c r="F1187" s="7">
        <v>39.99</v>
      </c>
      <c r="G1187" s="7">
        <v>4</v>
      </c>
      <c r="H1187" s="7">
        <v>0</v>
      </c>
      <c r="I1187" s="7">
        <v>39.99</v>
      </c>
      <c r="J1187" s="7">
        <v>159.96</v>
      </c>
      <c r="K1187" s="7" t="s">
        <v>675</v>
      </c>
      <c r="L1187" s="7" t="s">
        <v>656</v>
      </c>
      <c r="M1187" s="8">
        <v>5</v>
      </c>
      <c r="N1187">
        <f>VLOOKUP(B1187,Customers!A:J,7,0)</f>
        <v>35</v>
      </c>
      <c r="O1187" t="str">
        <f>VLOOKUP(B1187,Customers!A:J,5,0)</f>
        <v>Philadelphia</v>
      </c>
      <c r="P1187" t="str">
        <f>VLOOKUP(B1187,Customers!A:J,10,0)</f>
        <v>Free</v>
      </c>
      <c r="Q1187" t="str">
        <f>VLOOKUP(B1187,Customers!A:J,8,0)</f>
        <v>Female</v>
      </c>
      <c r="R1187" t="b">
        <f t="shared" si="36"/>
        <v>1</v>
      </c>
      <c r="S1187" s="18">
        <f t="shared" si="37"/>
        <v>44958</v>
      </c>
    </row>
    <row r="1188" spans="1:19" x14ac:dyDescent="0.25">
      <c r="A1188" s="3" t="s">
        <v>2516</v>
      </c>
      <c r="B1188" s="4" t="s">
        <v>486</v>
      </c>
      <c r="C1188" s="14">
        <v>45588</v>
      </c>
      <c r="D1188" s="4" t="s">
        <v>672</v>
      </c>
      <c r="E1188" s="4" t="s">
        <v>735</v>
      </c>
      <c r="F1188" s="4">
        <v>44.99</v>
      </c>
      <c r="G1188" s="4">
        <v>2</v>
      </c>
      <c r="H1188" s="4">
        <v>0</v>
      </c>
      <c r="I1188" s="4">
        <v>44.99</v>
      </c>
      <c r="J1188" s="4">
        <v>89.98</v>
      </c>
      <c r="K1188" s="4" t="s">
        <v>669</v>
      </c>
      <c r="L1188" s="4" t="s">
        <v>788</v>
      </c>
      <c r="M1188" s="5">
        <v>5</v>
      </c>
      <c r="N1188">
        <f>VLOOKUP(B1188,Customers!A:J,7,0)</f>
        <v>35</v>
      </c>
      <c r="O1188" t="str">
        <f>VLOOKUP(B1188,Customers!A:J,5,0)</f>
        <v>Philadelphia</v>
      </c>
      <c r="P1188" t="str">
        <f>VLOOKUP(B1188,Customers!A:J,10,0)</f>
        <v>Free</v>
      </c>
      <c r="Q1188" t="str">
        <f>VLOOKUP(B1188,Customers!A:J,8,0)</f>
        <v>Female</v>
      </c>
      <c r="R1188" t="b">
        <f t="shared" si="36"/>
        <v>1</v>
      </c>
      <c r="S1188" s="18">
        <f t="shared" si="37"/>
        <v>45566</v>
      </c>
    </row>
    <row r="1189" spans="1:19" x14ac:dyDescent="0.25">
      <c r="A1189" s="6" t="s">
        <v>2517</v>
      </c>
      <c r="B1189" s="7" t="s">
        <v>486</v>
      </c>
      <c r="C1189" s="15">
        <v>45202</v>
      </c>
      <c r="D1189" s="7" t="s">
        <v>710</v>
      </c>
      <c r="E1189" s="7" t="s">
        <v>744</v>
      </c>
      <c r="F1189" s="7">
        <v>29.99</v>
      </c>
      <c r="G1189" s="7">
        <v>2</v>
      </c>
      <c r="H1189" s="7">
        <v>0</v>
      </c>
      <c r="I1189" s="7">
        <v>29.99</v>
      </c>
      <c r="J1189" s="7">
        <v>59.98</v>
      </c>
      <c r="K1189" s="7" t="s">
        <v>682</v>
      </c>
      <c r="L1189" s="7" t="s">
        <v>656</v>
      </c>
      <c r="M1189" s="8">
        <v>5</v>
      </c>
      <c r="N1189">
        <f>VLOOKUP(B1189,Customers!A:J,7,0)</f>
        <v>35</v>
      </c>
      <c r="O1189" t="str">
        <f>VLOOKUP(B1189,Customers!A:J,5,0)</f>
        <v>Philadelphia</v>
      </c>
      <c r="P1189" t="str">
        <f>VLOOKUP(B1189,Customers!A:J,10,0)</f>
        <v>Free</v>
      </c>
      <c r="Q1189" t="str">
        <f>VLOOKUP(B1189,Customers!A:J,8,0)</f>
        <v>Female</v>
      </c>
      <c r="R1189" t="b">
        <f t="shared" si="36"/>
        <v>1</v>
      </c>
      <c r="S1189" s="18">
        <f t="shared" si="37"/>
        <v>45200</v>
      </c>
    </row>
    <row r="1190" spans="1:19" x14ac:dyDescent="0.25">
      <c r="A1190" s="3" t="s">
        <v>2518</v>
      </c>
      <c r="B1190" s="4" t="s">
        <v>486</v>
      </c>
      <c r="C1190" s="14">
        <v>45173</v>
      </c>
      <c r="D1190" s="4" t="s">
        <v>680</v>
      </c>
      <c r="E1190" s="4" t="s">
        <v>749</v>
      </c>
      <c r="F1190" s="4">
        <v>14.99</v>
      </c>
      <c r="G1190" s="4">
        <v>2</v>
      </c>
      <c r="H1190" s="4">
        <v>0</v>
      </c>
      <c r="I1190" s="4">
        <v>14.99</v>
      </c>
      <c r="J1190" s="4">
        <v>29.98</v>
      </c>
      <c r="K1190" s="4" t="s">
        <v>675</v>
      </c>
      <c r="L1190" s="4" t="s">
        <v>656</v>
      </c>
      <c r="M1190" s="5"/>
      <c r="N1190">
        <f>VLOOKUP(B1190,Customers!A:J,7,0)</f>
        <v>35</v>
      </c>
      <c r="O1190" t="str">
        <f>VLOOKUP(B1190,Customers!A:J,5,0)</f>
        <v>Philadelphia</v>
      </c>
      <c r="P1190" t="str">
        <f>VLOOKUP(B1190,Customers!A:J,10,0)</f>
        <v>Free</v>
      </c>
      <c r="Q1190" t="str">
        <f>VLOOKUP(B1190,Customers!A:J,8,0)</f>
        <v>Female</v>
      </c>
      <c r="R1190" t="b">
        <f t="shared" si="36"/>
        <v>1</v>
      </c>
      <c r="S1190" s="18">
        <f t="shared" si="37"/>
        <v>45170</v>
      </c>
    </row>
    <row r="1191" spans="1:19" x14ac:dyDescent="0.25">
      <c r="A1191" s="6" t="s">
        <v>2519</v>
      </c>
      <c r="B1191" s="7" t="s">
        <v>486</v>
      </c>
      <c r="C1191" s="15">
        <v>44873</v>
      </c>
      <c r="D1191" s="7" t="s">
        <v>684</v>
      </c>
      <c r="E1191" s="7" t="s">
        <v>685</v>
      </c>
      <c r="F1191" s="7">
        <v>49.99</v>
      </c>
      <c r="G1191" s="7">
        <v>1</v>
      </c>
      <c r="H1191" s="7">
        <v>20</v>
      </c>
      <c r="I1191" s="7">
        <v>39.99</v>
      </c>
      <c r="J1191" s="7">
        <v>39.99</v>
      </c>
      <c r="K1191" s="7" t="s">
        <v>655</v>
      </c>
      <c r="L1191" s="7" t="s">
        <v>656</v>
      </c>
      <c r="M1191" s="8">
        <v>5</v>
      </c>
      <c r="N1191">
        <f>VLOOKUP(B1191,Customers!A:J,7,0)</f>
        <v>35</v>
      </c>
      <c r="O1191" t="str">
        <f>VLOOKUP(B1191,Customers!A:J,5,0)</f>
        <v>Philadelphia</v>
      </c>
      <c r="P1191" t="str">
        <f>VLOOKUP(B1191,Customers!A:J,10,0)</f>
        <v>Free</v>
      </c>
      <c r="Q1191" t="str">
        <f>VLOOKUP(B1191,Customers!A:J,8,0)</f>
        <v>Female</v>
      </c>
      <c r="R1191" t="b">
        <f t="shared" si="36"/>
        <v>1</v>
      </c>
      <c r="S1191" s="18">
        <f t="shared" si="37"/>
        <v>44866</v>
      </c>
    </row>
    <row r="1192" spans="1:19" x14ac:dyDescent="0.25">
      <c r="A1192" s="3" t="s">
        <v>2521</v>
      </c>
      <c r="B1192" s="4" t="s">
        <v>486</v>
      </c>
      <c r="C1192" s="14">
        <v>45073</v>
      </c>
      <c r="D1192" s="4" t="s">
        <v>672</v>
      </c>
      <c r="E1192" s="4" t="s">
        <v>803</v>
      </c>
      <c r="F1192" s="4">
        <v>69.989999999999995</v>
      </c>
      <c r="G1192" s="4">
        <v>4</v>
      </c>
      <c r="H1192" s="4">
        <v>5</v>
      </c>
      <c r="I1192" s="4">
        <v>66.489999999999995</v>
      </c>
      <c r="J1192" s="4">
        <v>265.95999999999998</v>
      </c>
      <c r="K1192" s="4" t="s">
        <v>682</v>
      </c>
      <c r="L1192" s="4" t="s">
        <v>656</v>
      </c>
      <c r="M1192" s="5">
        <v>5</v>
      </c>
      <c r="N1192">
        <f>VLOOKUP(B1192,Customers!A:J,7,0)</f>
        <v>35</v>
      </c>
      <c r="O1192" t="str">
        <f>VLOOKUP(B1192,Customers!A:J,5,0)</f>
        <v>Philadelphia</v>
      </c>
      <c r="P1192" t="str">
        <f>VLOOKUP(B1192,Customers!A:J,10,0)</f>
        <v>Free</v>
      </c>
      <c r="Q1192" t="str">
        <f>VLOOKUP(B1192,Customers!A:J,8,0)</f>
        <v>Female</v>
      </c>
      <c r="R1192" t="b">
        <f t="shared" si="36"/>
        <v>1</v>
      </c>
      <c r="S1192" s="18">
        <f t="shared" si="37"/>
        <v>45047</v>
      </c>
    </row>
    <row r="1193" spans="1:19" x14ac:dyDescent="0.25">
      <c r="A1193" s="6" t="s">
        <v>2522</v>
      </c>
      <c r="B1193" s="7" t="s">
        <v>486</v>
      </c>
      <c r="C1193" s="15">
        <v>44630</v>
      </c>
      <c r="D1193" s="7" t="s">
        <v>672</v>
      </c>
      <c r="E1193" s="7" t="s">
        <v>673</v>
      </c>
      <c r="F1193" s="7">
        <v>24.99</v>
      </c>
      <c r="G1193" s="7">
        <v>2</v>
      </c>
      <c r="H1193" s="7">
        <v>20</v>
      </c>
      <c r="I1193" s="7">
        <v>19.989999999999998</v>
      </c>
      <c r="J1193" s="7">
        <v>39.979999999999997</v>
      </c>
      <c r="K1193" s="7" t="s">
        <v>682</v>
      </c>
      <c r="L1193" s="7" t="s">
        <v>656</v>
      </c>
      <c r="M1193" s="8"/>
      <c r="N1193">
        <f>VLOOKUP(B1193,Customers!A:J,7,0)</f>
        <v>35</v>
      </c>
      <c r="O1193" t="str">
        <f>VLOOKUP(B1193,Customers!A:J,5,0)</f>
        <v>Philadelphia</v>
      </c>
      <c r="P1193" t="str">
        <f>VLOOKUP(B1193,Customers!A:J,10,0)</f>
        <v>Free</v>
      </c>
      <c r="Q1193" t="str">
        <f>VLOOKUP(B1193,Customers!A:J,8,0)</f>
        <v>Female</v>
      </c>
      <c r="R1193" t="b">
        <f t="shared" si="36"/>
        <v>1</v>
      </c>
      <c r="S1193" s="18">
        <f t="shared" si="37"/>
        <v>44621</v>
      </c>
    </row>
    <row r="1194" spans="1:19" x14ac:dyDescent="0.25">
      <c r="A1194" s="3" t="s">
        <v>2523</v>
      </c>
      <c r="B1194" s="4" t="s">
        <v>489</v>
      </c>
      <c r="C1194" s="14">
        <v>44621</v>
      </c>
      <c r="D1194" s="4" t="s">
        <v>667</v>
      </c>
      <c r="E1194" s="4" t="s">
        <v>714</v>
      </c>
      <c r="F1194" s="4">
        <v>44.99</v>
      </c>
      <c r="G1194" s="4">
        <v>2</v>
      </c>
      <c r="H1194" s="4">
        <v>15</v>
      </c>
      <c r="I1194" s="4">
        <v>38.24</v>
      </c>
      <c r="J1194" s="4">
        <v>76.48</v>
      </c>
      <c r="K1194" s="4" t="s">
        <v>655</v>
      </c>
      <c r="L1194" s="4" t="s">
        <v>788</v>
      </c>
      <c r="M1194" s="5">
        <v>3</v>
      </c>
      <c r="N1194">
        <f>VLOOKUP(B1194,Customers!A:J,7,0)</f>
        <v>40</v>
      </c>
      <c r="O1194" t="str">
        <f>VLOOKUP(B1194,Customers!A:J,5,0)</f>
        <v>Houston</v>
      </c>
      <c r="P1194" t="str">
        <f>VLOOKUP(B1194,Customers!A:J,10,0)</f>
        <v>Platinum</v>
      </c>
      <c r="Q1194" t="str">
        <f>VLOOKUP(B1194,Customers!A:J,8,0)</f>
        <v>Female</v>
      </c>
      <c r="R1194" t="b">
        <f t="shared" si="36"/>
        <v>1</v>
      </c>
      <c r="S1194" s="18">
        <f t="shared" si="37"/>
        <v>44621</v>
      </c>
    </row>
    <row r="1195" spans="1:19" x14ac:dyDescent="0.25">
      <c r="A1195" s="6" t="s">
        <v>2524</v>
      </c>
      <c r="B1195" s="7" t="s">
        <v>489</v>
      </c>
      <c r="C1195" s="15">
        <v>45099</v>
      </c>
      <c r="D1195" s="7" t="s">
        <v>672</v>
      </c>
      <c r="E1195" s="7" t="s">
        <v>673</v>
      </c>
      <c r="F1195" s="7">
        <v>24.99</v>
      </c>
      <c r="G1195" s="7">
        <v>2</v>
      </c>
      <c r="H1195" s="7">
        <v>20</v>
      </c>
      <c r="I1195" s="7">
        <v>19.989999999999998</v>
      </c>
      <c r="J1195" s="7">
        <v>39.979999999999997</v>
      </c>
      <c r="K1195" s="7" t="s">
        <v>655</v>
      </c>
      <c r="L1195" s="7" t="s">
        <v>656</v>
      </c>
      <c r="M1195" s="8"/>
      <c r="N1195">
        <f>VLOOKUP(B1195,Customers!A:J,7,0)</f>
        <v>40</v>
      </c>
      <c r="O1195" t="str">
        <f>VLOOKUP(B1195,Customers!A:J,5,0)</f>
        <v>Houston</v>
      </c>
      <c r="P1195" t="str">
        <f>VLOOKUP(B1195,Customers!A:J,10,0)</f>
        <v>Platinum</v>
      </c>
      <c r="Q1195" t="str">
        <f>VLOOKUP(B1195,Customers!A:J,8,0)</f>
        <v>Female</v>
      </c>
      <c r="R1195" t="b">
        <f t="shared" si="36"/>
        <v>1</v>
      </c>
      <c r="S1195" s="18">
        <f t="shared" si="37"/>
        <v>45078</v>
      </c>
    </row>
    <row r="1196" spans="1:19" x14ac:dyDescent="0.25">
      <c r="A1196" s="3" t="s">
        <v>2525</v>
      </c>
      <c r="B1196" s="4" t="s">
        <v>489</v>
      </c>
      <c r="C1196" s="14">
        <v>45652</v>
      </c>
      <c r="D1196" s="4" t="s">
        <v>653</v>
      </c>
      <c r="E1196" s="4" t="s">
        <v>769</v>
      </c>
      <c r="F1196" s="4">
        <v>49.99</v>
      </c>
      <c r="G1196" s="4">
        <v>4</v>
      </c>
      <c r="H1196" s="4">
        <v>5</v>
      </c>
      <c r="I1196" s="4">
        <v>47.49</v>
      </c>
      <c r="J1196" s="4">
        <v>189.96</v>
      </c>
      <c r="K1196" s="4" t="s">
        <v>655</v>
      </c>
      <c r="L1196" s="4" t="s">
        <v>656</v>
      </c>
      <c r="M1196" s="5"/>
      <c r="N1196">
        <f>VLOOKUP(B1196,Customers!A:J,7,0)</f>
        <v>40</v>
      </c>
      <c r="O1196" t="str">
        <f>VLOOKUP(B1196,Customers!A:J,5,0)</f>
        <v>Houston</v>
      </c>
      <c r="P1196" t="str">
        <f>VLOOKUP(B1196,Customers!A:J,10,0)</f>
        <v>Platinum</v>
      </c>
      <c r="Q1196" t="str">
        <f>VLOOKUP(B1196,Customers!A:J,8,0)</f>
        <v>Female</v>
      </c>
      <c r="R1196" t="b">
        <f t="shared" si="36"/>
        <v>1</v>
      </c>
      <c r="S1196" s="18">
        <f t="shared" si="37"/>
        <v>45627</v>
      </c>
    </row>
    <row r="1197" spans="1:19" x14ac:dyDescent="0.25">
      <c r="A1197" s="6" t="s">
        <v>2526</v>
      </c>
      <c r="B1197" s="7" t="s">
        <v>489</v>
      </c>
      <c r="C1197" s="15">
        <v>44992</v>
      </c>
      <c r="D1197" s="7" t="s">
        <v>659</v>
      </c>
      <c r="E1197" s="7" t="s">
        <v>820</v>
      </c>
      <c r="F1197" s="7">
        <v>39.99</v>
      </c>
      <c r="G1197" s="7">
        <v>3</v>
      </c>
      <c r="H1197" s="7">
        <v>0</v>
      </c>
      <c r="I1197" s="7">
        <v>39.99</v>
      </c>
      <c r="J1197" s="7">
        <v>119.97</v>
      </c>
      <c r="K1197" s="7" t="s">
        <v>675</v>
      </c>
      <c r="L1197" s="7" t="s">
        <v>656</v>
      </c>
      <c r="M1197" s="8">
        <v>4</v>
      </c>
      <c r="N1197">
        <f>VLOOKUP(B1197,Customers!A:J,7,0)</f>
        <v>40</v>
      </c>
      <c r="O1197" t="str">
        <f>VLOOKUP(B1197,Customers!A:J,5,0)</f>
        <v>Houston</v>
      </c>
      <c r="P1197" t="str">
        <f>VLOOKUP(B1197,Customers!A:J,10,0)</f>
        <v>Platinum</v>
      </c>
      <c r="Q1197" t="str">
        <f>VLOOKUP(B1197,Customers!A:J,8,0)</f>
        <v>Female</v>
      </c>
      <c r="R1197" t="b">
        <f t="shared" si="36"/>
        <v>1</v>
      </c>
      <c r="S1197" s="18">
        <f t="shared" si="37"/>
        <v>44986</v>
      </c>
    </row>
    <row r="1198" spans="1:19" x14ac:dyDescent="0.25">
      <c r="A1198" s="3" t="s">
        <v>2527</v>
      </c>
      <c r="B1198" s="4" t="s">
        <v>489</v>
      </c>
      <c r="C1198" s="14">
        <v>45066</v>
      </c>
      <c r="D1198" s="4" t="s">
        <v>710</v>
      </c>
      <c r="E1198" s="4" t="s">
        <v>721</v>
      </c>
      <c r="F1198" s="4">
        <v>24.99</v>
      </c>
      <c r="G1198" s="4">
        <v>1</v>
      </c>
      <c r="H1198" s="4">
        <v>0</v>
      </c>
      <c r="I1198" s="4">
        <v>24.99</v>
      </c>
      <c r="J1198" s="4">
        <v>24.99</v>
      </c>
      <c r="K1198" s="4" t="s">
        <v>669</v>
      </c>
      <c r="L1198" s="4" t="s">
        <v>656</v>
      </c>
      <c r="M1198" s="5">
        <v>3</v>
      </c>
      <c r="N1198">
        <f>VLOOKUP(B1198,Customers!A:J,7,0)</f>
        <v>40</v>
      </c>
      <c r="O1198" t="str">
        <f>VLOOKUP(B1198,Customers!A:J,5,0)</f>
        <v>Houston</v>
      </c>
      <c r="P1198" t="str">
        <f>VLOOKUP(B1198,Customers!A:J,10,0)</f>
        <v>Platinum</v>
      </c>
      <c r="Q1198" t="str">
        <f>VLOOKUP(B1198,Customers!A:J,8,0)</f>
        <v>Female</v>
      </c>
      <c r="R1198" t="b">
        <f t="shared" si="36"/>
        <v>1</v>
      </c>
      <c r="S1198" s="18">
        <f t="shared" si="37"/>
        <v>45047</v>
      </c>
    </row>
    <row r="1199" spans="1:19" x14ac:dyDescent="0.25">
      <c r="A1199" s="6" t="s">
        <v>2528</v>
      </c>
      <c r="B1199" s="7" t="s">
        <v>489</v>
      </c>
      <c r="C1199" s="15">
        <v>45072</v>
      </c>
      <c r="D1199" s="7" t="s">
        <v>680</v>
      </c>
      <c r="E1199" s="7" t="s">
        <v>749</v>
      </c>
      <c r="F1199" s="7">
        <v>14.99</v>
      </c>
      <c r="G1199" s="7">
        <v>4</v>
      </c>
      <c r="H1199" s="7">
        <v>0</v>
      </c>
      <c r="I1199" s="7">
        <v>14.99</v>
      </c>
      <c r="J1199" s="7">
        <v>59.96</v>
      </c>
      <c r="K1199" s="7" t="s">
        <v>675</v>
      </c>
      <c r="L1199" s="7" t="s">
        <v>656</v>
      </c>
      <c r="M1199" s="8">
        <v>5</v>
      </c>
      <c r="N1199">
        <f>VLOOKUP(B1199,Customers!A:J,7,0)</f>
        <v>40</v>
      </c>
      <c r="O1199" t="str">
        <f>VLOOKUP(B1199,Customers!A:J,5,0)</f>
        <v>Houston</v>
      </c>
      <c r="P1199" t="str">
        <f>VLOOKUP(B1199,Customers!A:J,10,0)</f>
        <v>Platinum</v>
      </c>
      <c r="Q1199" t="str">
        <f>VLOOKUP(B1199,Customers!A:J,8,0)</f>
        <v>Female</v>
      </c>
      <c r="R1199" t="b">
        <f t="shared" si="36"/>
        <v>1</v>
      </c>
      <c r="S1199" s="18">
        <f t="shared" si="37"/>
        <v>45047</v>
      </c>
    </row>
    <row r="1200" spans="1:19" x14ac:dyDescent="0.25">
      <c r="A1200" s="3" t="s">
        <v>2529</v>
      </c>
      <c r="B1200" s="4" t="s">
        <v>489</v>
      </c>
      <c r="C1200" s="14">
        <v>45410</v>
      </c>
      <c r="D1200" s="4" t="s">
        <v>653</v>
      </c>
      <c r="E1200" s="4" t="s">
        <v>827</v>
      </c>
      <c r="F1200" s="4">
        <v>29.99</v>
      </c>
      <c r="G1200" s="4">
        <v>1</v>
      </c>
      <c r="H1200" s="4">
        <v>0</v>
      </c>
      <c r="I1200" s="4">
        <v>29.99</v>
      </c>
      <c r="J1200" s="4">
        <v>29.99</v>
      </c>
      <c r="K1200" s="4" t="s">
        <v>669</v>
      </c>
      <c r="L1200" s="4" t="s">
        <v>656</v>
      </c>
      <c r="M1200" s="5"/>
      <c r="N1200">
        <f>VLOOKUP(B1200,Customers!A:J,7,0)</f>
        <v>40</v>
      </c>
      <c r="O1200" t="str">
        <f>VLOOKUP(B1200,Customers!A:J,5,0)</f>
        <v>Houston</v>
      </c>
      <c r="P1200" t="str">
        <f>VLOOKUP(B1200,Customers!A:J,10,0)</f>
        <v>Platinum</v>
      </c>
      <c r="Q1200" t="str">
        <f>VLOOKUP(B1200,Customers!A:J,8,0)</f>
        <v>Female</v>
      </c>
      <c r="R1200" t="b">
        <f t="shared" si="36"/>
        <v>1</v>
      </c>
      <c r="S1200" s="18">
        <f t="shared" si="37"/>
        <v>45383</v>
      </c>
    </row>
    <row r="1201" spans="1:19" x14ac:dyDescent="0.25">
      <c r="A1201" s="6" t="s">
        <v>2531</v>
      </c>
      <c r="B1201" s="7" t="s">
        <v>489</v>
      </c>
      <c r="C1201" s="15">
        <v>45540</v>
      </c>
      <c r="D1201" s="7" t="s">
        <v>710</v>
      </c>
      <c r="E1201" s="7" t="s">
        <v>711</v>
      </c>
      <c r="F1201" s="7">
        <v>14.99</v>
      </c>
      <c r="G1201" s="7">
        <v>1</v>
      </c>
      <c r="H1201" s="7">
        <v>20</v>
      </c>
      <c r="I1201" s="7">
        <v>11.99</v>
      </c>
      <c r="J1201" s="7">
        <v>11.99</v>
      </c>
      <c r="K1201" s="7" t="s">
        <v>655</v>
      </c>
      <c r="L1201" s="7" t="s">
        <v>656</v>
      </c>
      <c r="M1201" s="8">
        <v>5</v>
      </c>
      <c r="N1201">
        <f>VLOOKUP(B1201,Customers!A:J,7,0)</f>
        <v>40</v>
      </c>
      <c r="O1201" t="str">
        <f>VLOOKUP(B1201,Customers!A:J,5,0)</f>
        <v>Houston</v>
      </c>
      <c r="P1201" t="str">
        <f>VLOOKUP(B1201,Customers!A:J,10,0)</f>
        <v>Platinum</v>
      </c>
      <c r="Q1201" t="str">
        <f>VLOOKUP(B1201,Customers!A:J,8,0)</f>
        <v>Female</v>
      </c>
      <c r="R1201" t="b">
        <f t="shared" si="36"/>
        <v>1</v>
      </c>
      <c r="S1201" s="18">
        <f t="shared" si="37"/>
        <v>45536</v>
      </c>
    </row>
    <row r="1202" spans="1:19" x14ac:dyDescent="0.25">
      <c r="A1202" s="3" t="s">
        <v>2532</v>
      </c>
      <c r="B1202" s="4" t="s">
        <v>489</v>
      </c>
      <c r="C1202" s="14">
        <v>45653</v>
      </c>
      <c r="D1202" s="4" t="s">
        <v>680</v>
      </c>
      <c r="E1202" s="4" t="s">
        <v>688</v>
      </c>
      <c r="F1202" s="4">
        <v>29.99</v>
      </c>
      <c r="G1202" s="4">
        <v>2</v>
      </c>
      <c r="H1202" s="4">
        <v>0</v>
      </c>
      <c r="I1202" s="4">
        <v>29.99</v>
      </c>
      <c r="J1202" s="4">
        <v>59.98</v>
      </c>
      <c r="K1202" s="4" t="s">
        <v>682</v>
      </c>
      <c r="L1202" s="4" t="s">
        <v>656</v>
      </c>
      <c r="M1202" s="5">
        <v>4</v>
      </c>
      <c r="N1202">
        <f>VLOOKUP(B1202,Customers!A:J,7,0)</f>
        <v>40</v>
      </c>
      <c r="O1202" t="str">
        <f>VLOOKUP(B1202,Customers!A:J,5,0)</f>
        <v>Houston</v>
      </c>
      <c r="P1202" t="str">
        <f>VLOOKUP(B1202,Customers!A:J,10,0)</f>
        <v>Platinum</v>
      </c>
      <c r="Q1202" t="str">
        <f>VLOOKUP(B1202,Customers!A:J,8,0)</f>
        <v>Female</v>
      </c>
      <c r="R1202" t="b">
        <f t="shared" si="36"/>
        <v>1</v>
      </c>
      <c r="S1202" s="18">
        <f t="shared" si="37"/>
        <v>45627</v>
      </c>
    </row>
    <row r="1203" spans="1:19" x14ac:dyDescent="0.25">
      <c r="A1203" s="6" t="s">
        <v>2533</v>
      </c>
      <c r="B1203" s="7" t="s">
        <v>489</v>
      </c>
      <c r="C1203" s="15">
        <v>45268</v>
      </c>
      <c r="D1203" s="7" t="s">
        <v>710</v>
      </c>
      <c r="E1203" s="7" t="s">
        <v>711</v>
      </c>
      <c r="F1203" s="7">
        <v>14.99</v>
      </c>
      <c r="G1203" s="7">
        <v>1</v>
      </c>
      <c r="H1203" s="7">
        <v>0</v>
      </c>
      <c r="I1203" s="7">
        <v>14.99</v>
      </c>
      <c r="J1203" s="7">
        <v>14.99</v>
      </c>
      <c r="K1203" s="7" t="s">
        <v>669</v>
      </c>
      <c r="L1203" s="7" t="s">
        <v>656</v>
      </c>
      <c r="M1203" s="8"/>
      <c r="N1203">
        <f>VLOOKUP(B1203,Customers!A:J,7,0)</f>
        <v>40</v>
      </c>
      <c r="O1203" t="str">
        <f>VLOOKUP(B1203,Customers!A:J,5,0)</f>
        <v>Houston</v>
      </c>
      <c r="P1203" t="str">
        <f>VLOOKUP(B1203,Customers!A:J,10,0)</f>
        <v>Platinum</v>
      </c>
      <c r="Q1203" t="str">
        <f>VLOOKUP(B1203,Customers!A:J,8,0)</f>
        <v>Female</v>
      </c>
      <c r="R1203" t="b">
        <f t="shared" si="36"/>
        <v>1</v>
      </c>
      <c r="S1203" s="18">
        <f t="shared" si="37"/>
        <v>45261</v>
      </c>
    </row>
    <row r="1204" spans="1:19" x14ac:dyDescent="0.25">
      <c r="A1204" s="3" t="s">
        <v>2534</v>
      </c>
      <c r="B1204" s="4" t="s">
        <v>489</v>
      </c>
      <c r="C1204" s="14">
        <v>44638</v>
      </c>
      <c r="D1204" s="4" t="s">
        <v>680</v>
      </c>
      <c r="E1204" s="4" t="s">
        <v>708</v>
      </c>
      <c r="F1204" s="4">
        <v>24.99</v>
      </c>
      <c r="G1204" s="4">
        <v>3</v>
      </c>
      <c r="H1204" s="4">
        <v>20</v>
      </c>
      <c r="I1204" s="4">
        <v>19.989999999999998</v>
      </c>
      <c r="J1204" s="4">
        <v>59.97</v>
      </c>
      <c r="K1204" s="4" t="s">
        <v>655</v>
      </c>
      <c r="L1204" s="4" t="s">
        <v>656</v>
      </c>
      <c r="M1204" s="5">
        <v>3</v>
      </c>
      <c r="N1204">
        <f>VLOOKUP(B1204,Customers!A:J,7,0)</f>
        <v>40</v>
      </c>
      <c r="O1204" t="str">
        <f>VLOOKUP(B1204,Customers!A:J,5,0)</f>
        <v>Houston</v>
      </c>
      <c r="P1204" t="str">
        <f>VLOOKUP(B1204,Customers!A:J,10,0)</f>
        <v>Platinum</v>
      </c>
      <c r="Q1204" t="str">
        <f>VLOOKUP(B1204,Customers!A:J,8,0)</f>
        <v>Female</v>
      </c>
      <c r="R1204" t="b">
        <f t="shared" si="36"/>
        <v>1</v>
      </c>
      <c r="S1204" s="18">
        <f t="shared" si="37"/>
        <v>44621</v>
      </c>
    </row>
    <row r="1205" spans="1:19" x14ac:dyDescent="0.25">
      <c r="A1205" s="6" t="s">
        <v>2535</v>
      </c>
      <c r="B1205" s="7" t="s">
        <v>489</v>
      </c>
      <c r="C1205" s="15">
        <v>45029</v>
      </c>
      <c r="D1205" s="7" t="s">
        <v>672</v>
      </c>
      <c r="E1205" s="7" t="s">
        <v>735</v>
      </c>
      <c r="F1205" s="7">
        <v>44.99</v>
      </c>
      <c r="G1205" s="7">
        <v>2</v>
      </c>
      <c r="H1205" s="7">
        <v>0</v>
      </c>
      <c r="I1205" s="7">
        <v>44.99</v>
      </c>
      <c r="J1205" s="7">
        <v>89.98</v>
      </c>
      <c r="K1205" s="7" t="s">
        <v>682</v>
      </c>
      <c r="L1205" s="7" t="s">
        <v>656</v>
      </c>
      <c r="M1205" s="8">
        <v>5</v>
      </c>
      <c r="N1205">
        <f>VLOOKUP(B1205,Customers!A:J,7,0)</f>
        <v>40</v>
      </c>
      <c r="O1205" t="str">
        <f>VLOOKUP(B1205,Customers!A:J,5,0)</f>
        <v>Houston</v>
      </c>
      <c r="P1205" t="str">
        <f>VLOOKUP(B1205,Customers!A:J,10,0)</f>
        <v>Platinum</v>
      </c>
      <c r="Q1205" t="str">
        <f>VLOOKUP(B1205,Customers!A:J,8,0)</f>
        <v>Female</v>
      </c>
      <c r="R1205" t="b">
        <f t="shared" si="36"/>
        <v>1</v>
      </c>
      <c r="S1205" s="18">
        <f t="shared" si="37"/>
        <v>45017</v>
      </c>
    </row>
    <row r="1206" spans="1:19" x14ac:dyDescent="0.25">
      <c r="A1206" s="3" t="s">
        <v>2537</v>
      </c>
      <c r="B1206" s="4" t="s">
        <v>489</v>
      </c>
      <c r="C1206" s="14">
        <v>44707</v>
      </c>
      <c r="D1206" s="4" t="s">
        <v>659</v>
      </c>
      <c r="E1206" s="4" t="s">
        <v>762</v>
      </c>
      <c r="F1206" s="4">
        <v>49.99</v>
      </c>
      <c r="G1206" s="4">
        <v>4</v>
      </c>
      <c r="H1206" s="4">
        <v>5</v>
      </c>
      <c r="I1206" s="4">
        <v>47.49</v>
      </c>
      <c r="J1206" s="4">
        <v>189.96</v>
      </c>
      <c r="K1206" s="4" t="s">
        <v>661</v>
      </c>
      <c r="L1206" s="4" t="s">
        <v>656</v>
      </c>
      <c r="M1206" s="5"/>
      <c r="N1206">
        <f>VLOOKUP(B1206,Customers!A:J,7,0)</f>
        <v>40</v>
      </c>
      <c r="O1206" t="str">
        <f>VLOOKUP(B1206,Customers!A:J,5,0)</f>
        <v>Houston</v>
      </c>
      <c r="P1206" t="str">
        <f>VLOOKUP(B1206,Customers!A:J,10,0)</f>
        <v>Platinum</v>
      </c>
      <c r="Q1206" t="str">
        <f>VLOOKUP(B1206,Customers!A:J,8,0)</f>
        <v>Female</v>
      </c>
      <c r="R1206" t="b">
        <f t="shared" si="36"/>
        <v>1</v>
      </c>
      <c r="S1206" s="18">
        <f t="shared" si="37"/>
        <v>44682</v>
      </c>
    </row>
    <row r="1207" spans="1:19" x14ac:dyDescent="0.25">
      <c r="A1207" s="6" t="s">
        <v>2538</v>
      </c>
      <c r="B1207" s="7" t="s">
        <v>492</v>
      </c>
      <c r="C1207" s="15">
        <v>44569</v>
      </c>
      <c r="D1207" s="7" t="s">
        <v>672</v>
      </c>
      <c r="E1207" s="7" t="s">
        <v>735</v>
      </c>
      <c r="F1207" s="7">
        <v>44.99</v>
      </c>
      <c r="G1207" s="7">
        <v>1</v>
      </c>
      <c r="H1207" s="7">
        <v>15</v>
      </c>
      <c r="I1207" s="7">
        <v>38.24</v>
      </c>
      <c r="J1207" s="7">
        <v>38.24</v>
      </c>
      <c r="K1207" s="7" t="s">
        <v>669</v>
      </c>
      <c r="L1207" s="7" t="s">
        <v>788</v>
      </c>
      <c r="M1207" s="8"/>
      <c r="N1207">
        <f>VLOOKUP(B1207,Customers!A:J,7,0)</f>
        <v>27</v>
      </c>
      <c r="O1207" t="str">
        <f>VLOOKUP(B1207,Customers!A:J,5,0)</f>
        <v>San Diego</v>
      </c>
      <c r="P1207" t="str">
        <f>VLOOKUP(B1207,Customers!A:J,10,0)</f>
        <v>Free</v>
      </c>
      <c r="Q1207" t="str">
        <f>VLOOKUP(B1207,Customers!A:J,8,0)</f>
        <v>Female</v>
      </c>
      <c r="R1207" t="b">
        <f t="shared" si="36"/>
        <v>1</v>
      </c>
      <c r="S1207" s="18">
        <f t="shared" si="37"/>
        <v>44562</v>
      </c>
    </row>
    <row r="1208" spans="1:19" x14ac:dyDescent="0.25">
      <c r="A1208" s="3" t="s">
        <v>2539</v>
      </c>
      <c r="B1208" s="4" t="s">
        <v>492</v>
      </c>
      <c r="C1208" s="14">
        <v>45004</v>
      </c>
      <c r="D1208" s="4" t="s">
        <v>710</v>
      </c>
      <c r="E1208" s="4" t="s">
        <v>721</v>
      </c>
      <c r="F1208" s="4">
        <v>24.99</v>
      </c>
      <c r="G1208" s="4">
        <v>1</v>
      </c>
      <c r="H1208" s="4">
        <v>20</v>
      </c>
      <c r="I1208" s="4">
        <v>19.989999999999998</v>
      </c>
      <c r="J1208" s="4">
        <v>19.989999999999998</v>
      </c>
      <c r="K1208" s="4" t="s">
        <v>661</v>
      </c>
      <c r="L1208" s="4" t="s">
        <v>656</v>
      </c>
      <c r="M1208" s="5">
        <v>4</v>
      </c>
      <c r="N1208">
        <f>VLOOKUP(B1208,Customers!A:J,7,0)</f>
        <v>27</v>
      </c>
      <c r="O1208" t="str">
        <f>VLOOKUP(B1208,Customers!A:J,5,0)</f>
        <v>San Diego</v>
      </c>
      <c r="P1208" t="str">
        <f>VLOOKUP(B1208,Customers!A:J,10,0)</f>
        <v>Free</v>
      </c>
      <c r="Q1208" t="str">
        <f>VLOOKUP(B1208,Customers!A:J,8,0)</f>
        <v>Female</v>
      </c>
      <c r="R1208" t="b">
        <f t="shared" si="36"/>
        <v>1</v>
      </c>
      <c r="S1208" s="18">
        <f t="shared" si="37"/>
        <v>44986</v>
      </c>
    </row>
    <row r="1209" spans="1:19" x14ac:dyDescent="0.25">
      <c r="A1209" s="6" t="s">
        <v>2540</v>
      </c>
      <c r="B1209" s="7" t="s">
        <v>492</v>
      </c>
      <c r="C1209" s="15">
        <v>45648</v>
      </c>
      <c r="D1209" s="7" t="s">
        <v>710</v>
      </c>
      <c r="E1209" s="7" t="s">
        <v>721</v>
      </c>
      <c r="F1209" s="7">
        <v>24.99</v>
      </c>
      <c r="G1209" s="7">
        <v>2</v>
      </c>
      <c r="H1209" s="7">
        <v>0</v>
      </c>
      <c r="I1209" s="7">
        <v>24.99</v>
      </c>
      <c r="J1209" s="7">
        <v>49.98</v>
      </c>
      <c r="K1209" s="7" t="s">
        <v>661</v>
      </c>
      <c r="L1209" s="7" t="s">
        <v>656</v>
      </c>
      <c r="M1209" s="8">
        <v>5</v>
      </c>
      <c r="N1209">
        <f>VLOOKUP(B1209,Customers!A:J,7,0)</f>
        <v>27</v>
      </c>
      <c r="O1209" t="str">
        <f>VLOOKUP(B1209,Customers!A:J,5,0)</f>
        <v>San Diego</v>
      </c>
      <c r="P1209" t="str">
        <f>VLOOKUP(B1209,Customers!A:J,10,0)</f>
        <v>Free</v>
      </c>
      <c r="Q1209" t="str">
        <f>VLOOKUP(B1209,Customers!A:J,8,0)</f>
        <v>Female</v>
      </c>
      <c r="R1209" t="b">
        <f t="shared" si="36"/>
        <v>1</v>
      </c>
      <c r="S1209" s="18">
        <f t="shared" si="37"/>
        <v>45627</v>
      </c>
    </row>
    <row r="1210" spans="1:19" x14ac:dyDescent="0.25">
      <c r="A1210" s="3" t="s">
        <v>2541</v>
      </c>
      <c r="B1210" s="4" t="s">
        <v>495</v>
      </c>
      <c r="C1210" s="14">
        <v>45418</v>
      </c>
      <c r="D1210" s="4" t="s">
        <v>710</v>
      </c>
      <c r="E1210" s="4" t="s">
        <v>721</v>
      </c>
      <c r="F1210" s="4">
        <v>24.99</v>
      </c>
      <c r="G1210" s="4">
        <v>2</v>
      </c>
      <c r="H1210" s="4">
        <v>0</v>
      </c>
      <c r="I1210" s="4">
        <v>24.99</v>
      </c>
      <c r="J1210" s="4">
        <v>49.98</v>
      </c>
      <c r="K1210" s="4" t="s">
        <v>655</v>
      </c>
      <c r="L1210" s="4" t="s">
        <v>739</v>
      </c>
      <c r="M1210" s="5">
        <v>5</v>
      </c>
      <c r="N1210">
        <f>VLOOKUP(B1210,Customers!A:J,7,0)</f>
        <v>21</v>
      </c>
      <c r="O1210" t="str">
        <f>VLOOKUP(B1210,Customers!A:J,5,0)</f>
        <v>New York</v>
      </c>
      <c r="P1210" t="str">
        <f>VLOOKUP(B1210,Customers!A:J,10,0)</f>
        <v>Free</v>
      </c>
      <c r="Q1210" t="str">
        <f>VLOOKUP(B1210,Customers!A:J,8,0)</f>
        <v>Female</v>
      </c>
      <c r="R1210" t="b">
        <f t="shared" si="36"/>
        <v>1</v>
      </c>
      <c r="S1210" s="18">
        <f t="shared" si="37"/>
        <v>45413</v>
      </c>
    </row>
    <row r="1211" spans="1:19" x14ac:dyDescent="0.25">
      <c r="A1211" s="6" t="s">
        <v>2542</v>
      </c>
      <c r="B1211" s="7" t="s">
        <v>495</v>
      </c>
      <c r="C1211" s="15">
        <v>45328</v>
      </c>
      <c r="D1211" s="7" t="s">
        <v>667</v>
      </c>
      <c r="E1211" s="7" t="s">
        <v>668</v>
      </c>
      <c r="F1211" s="7">
        <v>64.989999999999995</v>
      </c>
      <c r="G1211" s="7">
        <v>3</v>
      </c>
      <c r="H1211" s="7">
        <v>0</v>
      </c>
      <c r="I1211" s="7">
        <v>64.989999999999995</v>
      </c>
      <c r="J1211" s="7">
        <v>194.97</v>
      </c>
      <c r="K1211" s="7" t="s">
        <v>669</v>
      </c>
      <c r="L1211" s="7" t="s">
        <v>656</v>
      </c>
      <c r="M1211" s="8">
        <v>4</v>
      </c>
      <c r="N1211">
        <f>VLOOKUP(B1211,Customers!A:J,7,0)</f>
        <v>21</v>
      </c>
      <c r="O1211" t="str">
        <f>VLOOKUP(B1211,Customers!A:J,5,0)</f>
        <v>New York</v>
      </c>
      <c r="P1211" t="str">
        <f>VLOOKUP(B1211,Customers!A:J,10,0)</f>
        <v>Free</v>
      </c>
      <c r="Q1211" t="str">
        <f>VLOOKUP(B1211,Customers!A:J,8,0)</f>
        <v>Female</v>
      </c>
      <c r="R1211" t="b">
        <f t="shared" si="36"/>
        <v>1</v>
      </c>
      <c r="S1211" s="18">
        <f t="shared" si="37"/>
        <v>45323</v>
      </c>
    </row>
    <row r="1212" spans="1:19" x14ac:dyDescent="0.25">
      <c r="A1212" s="3" t="s">
        <v>2543</v>
      </c>
      <c r="B1212" s="4" t="s">
        <v>495</v>
      </c>
      <c r="C1212" s="14">
        <v>45451</v>
      </c>
      <c r="D1212" s="4" t="s">
        <v>672</v>
      </c>
      <c r="E1212" s="4" t="s">
        <v>803</v>
      </c>
      <c r="F1212" s="4">
        <v>69.989999999999995</v>
      </c>
      <c r="G1212" s="4">
        <v>3</v>
      </c>
      <c r="H1212" s="4">
        <v>10</v>
      </c>
      <c r="I1212" s="4">
        <v>62.99</v>
      </c>
      <c r="J1212" s="4">
        <v>188.97</v>
      </c>
      <c r="K1212" s="4" t="s">
        <v>675</v>
      </c>
      <c r="L1212" s="4" t="s">
        <v>656</v>
      </c>
      <c r="M1212" s="5">
        <v>4</v>
      </c>
      <c r="N1212">
        <f>VLOOKUP(B1212,Customers!A:J,7,0)</f>
        <v>21</v>
      </c>
      <c r="O1212" t="str">
        <f>VLOOKUP(B1212,Customers!A:J,5,0)</f>
        <v>New York</v>
      </c>
      <c r="P1212" t="str">
        <f>VLOOKUP(B1212,Customers!A:J,10,0)</f>
        <v>Free</v>
      </c>
      <c r="Q1212" t="str">
        <f>VLOOKUP(B1212,Customers!A:J,8,0)</f>
        <v>Female</v>
      </c>
      <c r="R1212" t="b">
        <f t="shared" si="36"/>
        <v>1</v>
      </c>
      <c r="S1212" s="18">
        <f t="shared" si="37"/>
        <v>45444</v>
      </c>
    </row>
    <row r="1213" spans="1:19" x14ac:dyDescent="0.25">
      <c r="A1213" s="6" t="s">
        <v>2545</v>
      </c>
      <c r="B1213" s="7" t="s">
        <v>495</v>
      </c>
      <c r="C1213" s="15">
        <v>45405</v>
      </c>
      <c r="D1213" s="7" t="s">
        <v>672</v>
      </c>
      <c r="E1213" s="7" t="s">
        <v>735</v>
      </c>
      <c r="F1213" s="7">
        <v>44.99</v>
      </c>
      <c r="G1213" s="7">
        <v>3</v>
      </c>
      <c r="H1213" s="7">
        <v>15</v>
      </c>
      <c r="I1213" s="7">
        <v>38.24</v>
      </c>
      <c r="J1213" s="7">
        <v>114.72</v>
      </c>
      <c r="K1213" s="7" t="s">
        <v>682</v>
      </c>
      <c r="L1213" s="7" t="s">
        <v>739</v>
      </c>
      <c r="M1213" s="8">
        <v>2</v>
      </c>
      <c r="N1213">
        <f>VLOOKUP(B1213,Customers!A:J,7,0)</f>
        <v>21</v>
      </c>
      <c r="O1213" t="str">
        <f>VLOOKUP(B1213,Customers!A:J,5,0)</f>
        <v>New York</v>
      </c>
      <c r="P1213" t="str">
        <f>VLOOKUP(B1213,Customers!A:J,10,0)</f>
        <v>Free</v>
      </c>
      <c r="Q1213" t="str">
        <f>VLOOKUP(B1213,Customers!A:J,8,0)</f>
        <v>Female</v>
      </c>
      <c r="R1213" t="b">
        <f t="shared" si="36"/>
        <v>1</v>
      </c>
      <c r="S1213" s="18">
        <f t="shared" si="37"/>
        <v>45383</v>
      </c>
    </row>
    <row r="1214" spans="1:19" x14ac:dyDescent="0.25">
      <c r="A1214" s="3" t="s">
        <v>2547</v>
      </c>
      <c r="B1214" s="4" t="s">
        <v>495</v>
      </c>
      <c r="C1214" s="14">
        <v>45449</v>
      </c>
      <c r="D1214" s="4" t="s">
        <v>672</v>
      </c>
      <c r="E1214" s="4" t="s">
        <v>673</v>
      </c>
      <c r="F1214" s="4">
        <v>24.99</v>
      </c>
      <c r="G1214" s="4">
        <v>1</v>
      </c>
      <c r="H1214" s="4">
        <v>0</v>
      </c>
      <c r="I1214" s="4">
        <v>24.99</v>
      </c>
      <c r="J1214" s="4">
        <v>24.99</v>
      </c>
      <c r="K1214" s="4" t="s">
        <v>655</v>
      </c>
      <c r="L1214" s="4" t="s">
        <v>656</v>
      </c>
      <c r="M1214" s="5">
        <v>4</v>
      </c>
      <c r="N1214">
        <f>VLOOKUP(B1214,Customers!A:J,7,0)</f>
        <v>21</v>
      </c>
      <c r="O1214" t="str">
        <f>VLOOKUP(B1214,Customers!A:J,5,0)</f>
        <v>New York</v>
      </c>
      <c r="P1214" t="str">
        <f>VLOOKUP(B1214,Customers!A:J,10,0)</f>
        <v>Free</v>
      </c>
      <c r="Q1214" t="str">
        <f>VLOOKUP(B1214,Customers!A:J,8,0)</f>
        <v>Female</v>
      </c>
      <c r="R1214" t="b">
        <f t="shared" si="36"/>
        <v>1</v>
      </c>
      <c r="S1214" s="18">
        <f t="shared" si="37"/>
        <v>45444</v>
      </c>
    </row>
    <row r="1215" spans="1:19" x14ac:dyDescent="0.25">
      <c r="A1215" s="6" t="s">
        <v>2548</v>
      </c>
      <c r="B1215" s="7" t="s">
        <v>495</v>
      </c>
      <c r="C1215" s="15">
        <v>45249</v>
      </c>
      <c r="D1215" s="7" t="s">
        <v>653</v>
      </c>
      <c r="E1215" s="7" t="s">
        <v>727</v>
      </c>
      <c r="F1215" s="7">
        <v>14.99</v>
      </c>
      <c r="G1215" s="7">
        <v>1</v>
      </c>
      <c r="H1215" s="7">
        <v>15</v>
      </c>
      <c r="I1215" s="7">
        <v>12.74</v>
      </c>
      <c r="J1215" s="7">
        <v>12.74</v>
      </c>
      <c r="K1215" s="7" t="s">
        <v>682</v>
      </c>
      <c r="L1215" s="7" t="s">
        <v>656</v>
      </c>
      <c r="M1215" s="8">
        <v>5</v>
      </c>
      <c r="N1215">
        <f>VLOOKUP(B1215,Customers!A:J,7,0)</f>
        <v>21</v>
      </c>
      <c r="O1215" t="str">
        <f>VLOOKUP(B1215,Customers!A:J,5,0)</f>
        <v>New York</v>
      </c>
      <c r="P1215" t="str">
        <f>VLOOKUP(B1215,Customers!A:J,10,0)</f>
        <v>Free</v>
      </c>
      <c r="Q1215" t="str">
        <f>VLOOKUP(B1215,Customers!A:J,8,0)</f>
        <v>Female</v>
      </c>
      <c r="R1215" t="b">
        <f t="shared" si="36"/>
        <v>1</v>
      </c>
      <c r="S1215" s="18">
        <f t="shared" si="37"/>
        <v>45231</v>
      </c>
    </row>
    <row r="1216" spans="1:19" x14ac:dyDescent="0.25">
      <c r="A1216" s="3" t="s">
        <v>2550</v>
      </c>
      <c r="B1216" s="4" t="s">
        <v>495</v>
      </c>
      <c r="C1216" s="14">
        <v>45394</v>
      </c>
      <c r="D1216" s="4" t="s">
        <v>684</v>
      </c>
      <c r="E1216" s="4" t="s">
        <v>705</v>
      </c>
      <c r="F1216" s="4">
        <v>79.989999999999995</v>
      </c>
      <c r="G1216" s="4">
        <v>3</v>
      </c>
      <c r="H1216" s="4">
        <v>0</v>
      </c>
      <c r="I1216" s="4">
        <v>79.989999999999995</v>
      </c>
      <c r="J1216" s="4">
        <v>239.97</v>
      </c>
      <c r="K1216" s="4" t="s">
        <v>655</v>
      </c>
      <c r="L1216" s="4" t="s">
        <v>656</v>
      </c>
      <c r="M1216" s="5">
        <v>3</v>
      </c>
      <c r="N1216">
        <f>VLOOKUP(B1216,Customers!A:J,7,0)</f>
        <v>21</v>
      </c>
      <c r="O1216" t="str">
        <f>VLOOKUP(B1216,Customers!A:J,5,0)</f>
        <v>New York</v>
      </c>
      <c r="P1216" t="str">
        <f>VLOOKUP(B1216,Customers!A:J,10,0)</f>
        <v>Free</v>
      </c>
      <c r="Q1216" t="str">
        <f>VLOOKUP(B1216,Customers!A:J,8,0)</f>
        <v>Female</v>
      </c>
      <c r="R1216" t="b">
        <f t="shared" si="36"/>
        <v>1</v>
      </c>
      <c r="S1216" s="18">
        <f t="shared" si="37"/>
        <v>45383</v>
      </c>
    </row>
    <row r="1217" spans="1:19" x14ac:dyDescent="0.25">
      <c r="A1217" s="6" t="s">
        <v>2551</v>
      </c>
      <c r="B1217" s="7" t="s">
        <v>495</v>
      </c>
      <c r="C1217" s="15">
        <v>44570</v>
      </c>
      <c r="D1217" s="7" t="s">
        <v>680</v>
      </c>
      <c r="E1217" s="7" t="s">
        <v>681</v>
      </c>
      <c r="F1217" s="7">
        <v>19.989999999999998</v>
      </c>
      <c r="G1217" s="7">
        <v>1</v>
      </c>
      <c r="H1217" s="7">
        <v>5</v>
      </c>
      <c r="I1217" s="7">
        <v>18.989999999999998</v>
      </c>
      <c r="J1217" s="7">
        <v>18.989999999999998</v>
      </c>
      <c r="K1217" s="7" t="s">
        <v>661</v>
      </c>
      <c r="L1217" s="7" t="s">
        <v>656</v>
      </c>
      <c r="M1217" s="8">
        <v>5</v>
      </c>
      <c r="N1217">
        <f>VLOOKUP(B1217,Customers!A:J,7,0)</f>
        <v>21</v>
      </c>
      <c r="O1217" t="str">
        <f>VLOOKUP(B1217,Customers!A:J,5,0)</f>
        <v>New York</v>
      </c>
      <c r="P1217" t="str">
        <f>VLOOKUP(B1217,Customers!A:J,10,0)</f>
        <v>Free</v>
      </c>
      <c r="Q1217" t="str">
        <f>VLOOKUP(B1217,Customers!A:J,8,0)</f>
        <v>Female</v>
      </c>
      <c r="R1217" t="b">
        <f t="shared" si="36"/>
        <v>1</v>
      </c>
      <c r="S1217" s="18">
        <f t="shared" si="37"/>
        <v>44562</v>
      </c>
    </row>
    <row r="1218" spans="1:19" x14ac:dyDescent="0.25">
      <c r="A1218" s="3" t="s">
        <v>2552</v>
      </c>
      <c r="B1218" s="4" t="s">
        <v>495</v>
      </c>
      <c r="C1218" s="14">
        <v>45493</v>
      </c>
      <c r="D1218" s="4" t="s">
        <v>672</v>
      </c>
      <c r="E1218" s="4" t="s">
        <v>724</v>
      </c>
      <c r="F1218" s="4">
        <v>89.99</v>
      </c>
      <c r="G1218" s="4">
        <v>2</v>
      </c>
      <c r="H1218" s="4">
        <v>0</v>
      </c>
      <c r="I1218" s="4">
        <v>89.99</v>
      </c>
      <c r="J1218" s="4">
        <v>179.98</v>
      </c>
      <c r="K1218" s="4" t="s">
        <v>655</v>
      </c>
      <c r="L1218" s="4" t="s">
        <v>788</v>
      </c>
      <c r="M1218" s="5">
        <v>3</v>
      </c>
      <c r="N1218">
        <f>VLOOKUP(B1218,Customers!A:J,7,0)</f>
        <v>21</v>
      </c>
      <c r="O1218" t="str">
        <f>VLOOKUP(B1218,Customers!A:J,5,0)</f>
        <v>New York</v>
      </c>
      <c r="P1218" t="str">
        <f>VLOOKUP(B1218,Customers!A:J,10,0)</f>
        <v>Free</v>
      </c>
      <c r="Q1218" t="str">
        <f>VLOOKUP(B1218,Customers!A:J,8,0)</f>
        <v>Female</v>
      </c>
      <c r="R1218" t="b">
        <f t="shared" si="36"/>
        <v>1</v>
      </c>
      <c r="S1218" s="18">
        <f t="shared" si="37"/>
        <v>45474</v>
      </c>
    </row>
    <row r="1219" spans="1:19" x14ac:dyDescent="0.25">
      <c r="A1219" s="6" t="s">
        <v>2553</v>
      </c>
      <c r="B1219" s="7" t="s">
        <v>495</v>
      </c>
      <c r="C1219" s="15">
        <v>45061</v>
      </c>
      <c r="D1219" s="7" t="s">
        <v>667</v>
      </c>
      <c r="E1219" s="7" t="s">
        <v>714</v>
      </c>
      <c r="F1219" s="7">
        <v>44.99</v>
      </c>
      <c r="G1219" s="7">
        <v>4</v>
      </c>
      <c r="H1219" s="7">
        <v>10</v>
      </c>
      <c r="I1219" s="7">
        <v>40.49</v>
      </c>
      <c r="J1219" s="7">
        <v>161.96</v>
      </c>
      <c r="K1219" s="7" t="s">
        <v>661</v>
      </c>
      <c r="L1219" s="7" t="s">
        <v>788</v>
      </c>
      <c r="M1219" s="8"/>
      <c r="N1219">
        <f>VLOOKUP(B1219,Customers!A:J,7,0)</f>
        <v>21</v>
      </c>
      <c r="O1219" t="str">
        <f>VLOOKUP(B1219,Customers!A:J,5,0)</f>
        <v>New York</v>
      </c>
      <c r="P1219" t="str">
        <f>VLOOKUP(B1219,Customers!A:J,10,0)</f>
        <v>Free</v>
      </c>
      <c r="Q1219" t="str">
        <f>VLOOKUP(B1219,Customers!A:J,8,0)</f>
        <v>Female</v>
      </c>
      <c r="R1219" t="b">
        <f t="shared" ref="R1219:R1282" si="38">ISNUMBER(C1219)</f>
        <v>1</v>
      </c>
      <c r="S1219" s="18">
        <f t="shared" ref="S1219:S1282" si="39">DATE(YEAR(C1219),MONTH(C1219),1)</f>
        <v>45047</v>
      </c>
    </row>
    <row r="1220" spans="1:19" x14ac:dyDescent="0.25">
      <c r="A1220" s="3" t="s">
        <v>2554</v>
      </c>
      <c r="B1220" s="4" t="s">
        <v>498</v>
      </c>
      <c r="C1220" s="14">
        <v>44776</v>
      </c>
      <c r="D1220" s="4" t="s">
        <v>659</v>
      </c>
      <c r="E1220" s="4" t="s">
        <v>762</v>
      </c>
      <c r="F1220" s="4">
        <v>49.99</v>
      </c>
      <c r="G1220" s="4">
        <v>3</v>
      </c>
      <c r="H1220" s="4">
        <v>20</v>
      </c>
      <c r="I1220" s="4">
        <v>39.99</v>
      </c>
      <c r="J1220" s="4">
        <v>119.97</v>
      </c>
      <c r="K1220" s="4" t="s">
        <v>675</v>
      </c>
      <c r="L1220" s="4" t="s">
        <v>656</v>
      </c>
      <c r="M1220" s="5">
        <v>3</v>
      </c>
      <c r="N1220">
        <f>VLOOKUP(B1220,Customers!A:J,7,0)</f>
        <v>59</v>
      </c>
      <c r="O1220" t="str">
        <f>VLOOKUP(B1220,Customers!A:J,5,0)</f>
        <v>Dallas</v>
      </c>
      <c r="P1220" t="str">
        <f>VLOOKUP(B1220,Customers!A:J,10,0)</f>
        <v>Silver</v>
      </c>
      <c r="Q1220" t="str">
        <f>VLOOKUP(B1220,Customers!A:J,8,0)</f>
        <v>Male</v>
      </c>
      <c r="R1220" t="b">
        <f t="shared" si="38"/>
        <v>1</v>
      </c>
      <c r="S1220" s="18">
        <f t="shared" si="39"/>
        <v>44774</v>
      </c>
    </row>
    <row r="1221" spans="1:19" x14ac:dyDescent="0.25">
      <c r="A1221" s="6" t="s">
        <v>2555</v>
      </c>
      <c r="B1221" s="7" t="s">
        <v>498</v>
      </c>
      <c r="C1221" s="15">
        <v>44686</v>
      </c>
      <c r="D1221" s="7" t="s">
        <v>710</v>
      </c>
      <c r="E1221" s="7" t="s">
        <v>711</v>
      </c>
      <c r="F1221" s="7">
        <v>14.99</v>
      </c>
      <c r="G1221" s="7">
        <v>2</v>
      </c>
      <c r="H1221" s="7">
        <v>5</v>
      </c>
      <c r="I1221" s="7">
        <v>14.24</v>
      </c>
      <c r="J1221" s="7">
        <v>28.48</v>
      </c>
      <c r="K1221" s="7" t="s">
        <v>655</v>
      </c>
      <c r="L1221" s="7" t="s">
        <v>656</v>
      </c>
      <c r="M1221" s="8"/>
      <c r="N1221">
        <f>VLOOKUP(B1221,Customers!A:J,7,0)</f>
        <v>59</v>
      </c>
      <c r="O1221" t="str">
        <f>VLOOKUP(B1221,Customers!A:J,5,0)</f>
        <v>Dallas</v>
      </c>
      <c r="P1221" t="str">
        <f>VLOOKUP(B1221,Customers!A:J,10,0)</f>
        <v>Silver</v>
      </c>
      <c r="Q1221" t="str">
        <f>VLOOKUP(B1221,Customers!A:J,8,0)</f>
        <v>Male</v>
      </c>
      <c r="R1221" t="b">
        <f t="shared" si="38"/>
        <v>1</v>
      </c>
      <c r="S1221" s="18">
        <f t="shared" si="39"/>
        <v>44682</v>
      </c>
    </row>
    <row r="1222" spans="1:19" x14ac:dyDescent="0.25">
      <c r="A1222" s="3" t="s">
        <v>2556</v>
      </c>
      <c r="B1222" s="4" t="s">
        <v>498</v>
      </c>
      <c r="C1222" s="14">
        <v>45051</v>
      </c>
      <c r="D1222" s="4" t="s">
        <v>672</v>
      </c>
      <c r="E1222" s="4" t="s">
        <v>673</v>
      </c>
      <c r="F1222" s="4">
        <v>24.99</v>
      </c>
      <c r="G1222" s="4">
        <v>2</v>
      </c>
      <c r="H1222" s="4">
        <v>20</v>
      </c>
      <c r="I1222" s="4">
        <v>19.989999999999998</v>
      </c>
      <c r="J1222" s="4">
        <v>39.979999999999997</v>
      </c>
      <c r="K1222" s="4" t="s">
        <v>682</v>
      </c>
      <c r="L1222" s="4" t="s">
        <v>656</v>
      </c>
      <c r="M1222" s="5"/>
      <c r="N1222">
        <f>VLOOKUP(B1222,Customers!A:J,7,0)</f>
        <v>59</v>
      </c>
      <c r="O1222" t="str">
        <f>VLOOKUP(B1222,Customers!A:J,5,0)</f>
        <v>Dallas</v>
      </c>
      <c r="P1222" t="str">
        <f>VLOOKUP(B1222,Customers!A:J,10,0)</f>
        <v>Silver</v>
      </c>
      <c r="Q1222" t="str">
        <f>VLOOKUP(B1222,Customers!A:J,8,0)</f>
        <v>Male</v>
      </c>
      <c r="R1222" t="b">
        <f t="shared" si="38"/>
        <v>1</v>
      </c>
      <c r="S1222" s="18">
        <f t="shared" si="39"/>
        <v>45047</v>
      </c>
    </row>
    <row r="1223" spans="1:19" x14ac:dyDescent="0.25">
      <c r="A1223" s="6" t="s">
        <v>2558</v>
      </c>
      <c r="B1223" s="7" t="s">
        <v>498</v>
      </c>
      <c r="C1223" s="15">
        <v>45034</v>
      </c>
      <c r="D1223" s="7" t="s">
        <v>667</v>
      </c>
      <c r="E1223" s="7" t="s">
        <v>696</v>
      </c>
      <c r="F1223" s="7">
        <v>59.99</v>
      </c>
      <c r="G1223" s="7">
        <v>4</v>
      </c>
      <c r="H1223" s="7">
        <v>15</v>
      </c>
      <c r="I1223" s="7">
        <v>50.99</v>
      </c>
      <c r="J1223" s="7">
        <v>203.96</v>
      </c>
      <c r="K1223" s="7" t="s">
        <v>661</v>
      </c>
      <c r="L1223" s="7" t="s">
        <v>656</v>
      </c>
      <c r="M1223" s="8"/>
      <c r="N1223">
        <f>VLOOKUP(B1223,Customers!A:J,7,0)</f>
        <v>59</v>
      </c>
      <c r="O1223" t="str">
        <f>VLOOKUP(B1223,Customers!A:J,5,0)</f>
        <v>Dallas</v>
      </c>
      <c r="P1223" t="str">
        <f>VLOOKUP(B1223,Customers!A:J,10,0)</f>
        <v>Silver</v>
      </c>
      <c r="Q1223" t="str">
        <f>VLOOKUP(B1223,Customers!A:J,8,0)</f>
        <v>Male</v>
      </c>
      <c r="R1223" t="b">
        <f t="shared" si="38"/>
        <v>1</v>
      </c>
      <c r="S1223" s="18">
        <f t="shared" si="39"/>
        <v>45017</v>
      </c>
    </row>
    <row r="1224" spans="1:19" x14ac:dyDescent="0.25">
      <c r="A1224" s="3" t="s">
        <v>2559</v>
      </c>
      <c r="B1224" s="4" t="s">
        <v>498</v>
      </c>
      <c r="C1224" s="14">
        <v>45332</v>
      </c>
      <c r="D1224" s="4" t="s">
        <v>653</v>
      </c>
      <c r="E1224" s="4" t="s">
        <v>827</v>
      </c>
      <c r="F1224" s="4">
        <v>29.99</v>
      </c>
      <c r="G1224" s="4">
        <v>4</v>
      </c>
      <c r="H1224" s="4">
        <v>5</v>
      </c>
      <c r="I1224" s="4">
        <v>28.49</v>
      </c>
      <c r="J1224" s="4">
        <v>113.96</v>
      </c>
      <c r="K1224" s="4" t="s">
        <v>675</v>
      </c>
      <c r="L1224" s="4" t="s">
        <v>656</v>
      </c>
      <c r="M1224" s="5"/>
      <c r="N1224">
        <f>VLOOKUP(B1224,Customers!A:J,7,0)</f>
        <v>59</v>
      </c>
      <c r="O1224" t="str">
        <f>VLOOKUP(B1224,Customers!A:J,5,0)</f>
        <v>Dallas</v>
      </c>
      <c r="P1224" t="str">
        <f>VLOOKUP(B1224,Customers!A:J,10,0)</f>
        <v>Silver</v>
      </c>
      <c r="Q1224" t="str">
        <f>VLOOKUP(B1224,Customers!A:J,8,0)</f>
        <v>Male</v>
      </c>
      <c r="R1224" t="b">
        <f t="shared" si="38"/>
        <v>1</v>
      </c>
      <c r="S1224" s="18">
        <f t="shared" si="39"/>
        <v>45323</v>
      </c>
    </row>
    <row r="1225" spans="1:19" x14ac:dyDescent="0.25">
      <c r="A1225" s="6" t="s">
        <v>2561</v>
      </c>
      <c r="B1225" s="7" t="s">
        <v>498</v>
      </c>
      <c r="C1225" s="15">
        <v>45097</v>
      </c>
      <c r="D1225" s="7" t="s">
        <v>667</v>
      </c>
      <c r="E1225" s="7" t="s">
        <v>668</v>
      </c>
      <c r="F1225" s="7">
        <v>64.989999999999995</v>
      </c>
      <c r="G1225" s="7">
        <v>2</v>
      </c>
      <c r="H1225" s="7">
        <v>5</v>
      </c>
      <c r="I1225" s="7">
        <v>61.74</v>
      </c>
      <c r="J1225" s="7">
        <v>123.48</v>
      </c>
      <c r="K1225" s="7" t="s">
        <v>661</v>
      </c>
      <c r="L1225" s="7" t="s">
        <v>656</v>
      </c>
      <c r="M1225" s="8">
        <v>4</v>
      </c>
      <c r="N1225">
        <f>VLOOKUP(B1225,Customers!A:J,7,0)</f>
        <v>59</v>
      </c>
      <c r="O1225" t="str">
        <f>VLOOKUP(B1225,Customers!A:J,5,0)</f>
        <v>Dallas</v>
      </c>
      <c r="P1225" t="str">
        <f>VLOOKUP(B1225,Customers!A:J,10,0)</f>
        <v>Silver</v>
      </c>
      <c r="Q1225" t="str">
        <f>VLOOKUP(B1225,Customers!A:J,8,0)</f>
        <v>Male</v>
      </c>
      <c r="R1225" t="b">
        <f t="shared" si="38"/>
        <v>1</v>
      </c>
      <c r="S1225" s="18">
        <f t="shared" si="39"/>
        <v>45078</v>
      </c>
    </row>
    <row r="1226" spans="1:19" x14ac:dyDescent="0.25">
      <c r="A1226" s="3" t="s">
        <v>2563</v>
      </c>
      <c r="B1226" s="4" t="s">
        <v>498</v>
      </c>
      <c r="C1226" s="14">
        <v>45037</v>
      </c>
      <c r="D1226" s="4" t="s">
        <v>667</v>
      </c>
      <c r="E1226" s="4" t="s">
        <v>714</v>
      </c>
      <c r="F1226" s="4">
        <v>44.99</v>
      </c>
      <c r="G1226" s="4">
        <v>4</v>
      </c>
      <c r="H1226" s="4">
        <v>0</v>
      </c>
      <c r="I1226" s="4">
        <v>44.99</v>
      </c>
      <c r="J1226" s="4">
        <v>179.96</v>
      </c>
      <c r="K1226" s="4" t="s">
        <v>675</v>
      </c>
      <c r="L1226" s="4" t="s">
        <v>656</v>
      </c>
      <c r="M1226" s="5"/>
      <c r="N1226">
        <f>VLOOKUP(B1226,Customers!A:J,7,0)</f>
        <v>59</v>
      </c>
      <c r="O1226" t="str">
        <f>VLOOKUP(B1226,Customers!A:J,5,0)</f>
        <v>Dallas</v>
      </c>
      <c r="P1226" t="str">
        <f>VLOOKUP(B1226,Customers!A:J,10,0)</f>
        <v>Silver</v>
      </c>
      <c r="Q1226" t="str">
        <f>VLOOKUP(B1226,Customers!A:J,8,0)</f>
        <v>Male</v>
      </c>
      <c r="R1226" t="b">
        <f t="shared" si="38"/>
        <v>1</v>
      </c>
      <c r="S1226" s="18">
        <f t="shared" si="39"/>
        <v>45017</v>
      </c>
    </row>
    <row r="1227" spans="1:19" x14ac:dyDescent="0.25">
      <c r="A1227" s="6" t="s">
        <v>2564</v>
      </c>
      <c r="B1227" s="7" t="s">
        <v>498</v>
      </c>
      <c r="C1227" s="15">
        <v>44809</v>
      </c>
      <c r="D1227" s="7" t="s">
        <v>684</v>
      </c>
      <c r="E1227" s="7" t="s">
        <v>815</v>
      </c>
      <c r="F1227" s="7">
        <v>34.99</v>
      </c>
      <c r="G1227" s="7">
        <v>3</v>
      </c>
      <c r="H1227" s="7">
        <v>5</v>
      </c>
      <c r="I1227" s="7">
        <v>33.24</v>
      </c>
      <c r="J1227" s="7">
        <v>99.72</v>
      </c>
      <c r="K1227" s="7" t="s">
        <v>655</v>
      </c>
      <c r="L1227" s="7" t="s">
        <v>656</v>
      </c>
      <c r="M1227" s="8">
        <v>5</v>
      </c>
      <c r="N1227">
        <f>VLOOKUP(B1227,Customers!A:J,7,0)</f>
        <v>59</v>
      </c>
      <c r="O1227" t="str">
        <f>VLOOKUP(B1227,Customers!A:J,5,0)</f>
        <v>Dallas</v>
      </c>
      <c r="P1227" t="str">
        <f>VLOOKUP(B1227,Customers!A:J,10,0)</f>
        <v>Silver</v>
      </c>
      <c r="Q1227" t="str">
        <f>VLOOKUP(B1227,Customers!A:J,8,0)</f>
        <v>Male</v>
      </c>
      <c r="R1227" t="b">
        <f t="shared" si="38"/>
        <v>1</v>
      </c>
      <c r="S1227" s="18">
        <f t="shared" si="39"/>
        <v>44805</v>
      </c>
    </row>
    <row r="1228" spans="1:19" x14ac:dyDescent="0.25">
      <c r="A1228" s="3" t="s">
        <v>2565</v>
      </c>
      <c r="B1228" s="4" t="s">
        <v>498</v>
      </c>
      <c r="C1228" s="14">
        <v>44725</v>
      </c>
      <c r="D1228" s="4" t="s">
        <v>680</v>
      </c>
      <c r="E1228" s="4" t="s">
        <v>708</v>
      </c>
      <c r="F1228" s="4">
        <v>24.99</v>
      </c>
      <c r="G1228" s="4">
        <v>1</v>
      </c>
      <c r="H1228" s="4">
        <v>10</v>
      </c>
      <c r="I1228" s="4">
        <v>22.49</v>
      </c>
      <c r="J1228" s="4">
        <v>22.49</v>
      </c>
      <c r="K1228" s="4" t="s">
        <v>682</v>
      </c>
      <c r="L1228" s="4" t="s">
        <v>656</v>
      </c>
      <c r="M1228" s="5">
        <v>5</v>
      </c>
      <c r="N1228">
        <f>VLOOKUP(B1228,Customers!A:J,7,0)</f>
        <v>59</v>
      </c>
      <c r="O1228" t="str">
        <f>VLOOKUP(B1228,Customers!A:J,5,0)</f>
        <v>Dallas</v>
      </c>
      <c r="P1228" t="str">
        <f>VLOOKUP(B1228,Customers!A:J,10,0)</f>
        <v>Silver</v>
      </c>
      <c r="Q1228" t="str">
        <f>VLOOKUP(B1228,Customers!A:J,8,0)</f>
        <v>Male</v>
      </c>
      <c r="R1228" t="b">
        <f t="shared" si="38"/>
        <v>1</v>
      </c>
      <c r="S1228" s="18">
        <f t="shared" si="39"/>
        <v>44713</v>
      </c>
    </row>
    <row r="1229" spans="1:19" x14ac:dyDescent="0.25">
      <c r="A1229" s="6" t="s">
        <v>2566</v>
      </c>
      <c r="B1229" s="7" t="s">
        <v>501</v>
      </c>
      <c r="C1229" s="15">
        <v>45543</v>
      </c>
      <c r="D1229" s="7" t="s">
        <v>659</v>
      </c>
      <c r="E1229" s="7" t="s">
        <v>660</v>
      </c>
      <c r="F1229" s="7">
        <v>19.989999999999998</v>
      </c>
      <c r="G1229" s="7">
        <v>2</v>
      </c>
      <c r="H1229" s="7">
        <v>15</v>
      </c>
      <c r="I1229" s="7">
        <v>16.989999999999998</v>
      </c>
      <c r="J1229" s="7">
        <v>33.979999999999997</v>
      </c>
      <c r="K1229" s="7" t="s">
        <v>661</v>
      </c>
      <c r="L1229" s="7" t="s">
        <v>656</v>
      </c>
      <c r="M1229" s="8">
        <v>3</v>
      </c>
      <c r="N1229">
        <f>VLOOKUP(B1229,Customers!A:J,7,0)</f>
        <v>55</v>
      </c>
      <c r="O1229" t="str">
        <f>VLOOKUP(B1229,Customers!A:J,5,0)</f>
        <v>San Antonio</v>
      </c>
      <c r="P1229" t="str">
        <f>VLOOKUP(B1229,Customers!A:J,10,0)</f>
        <v>Silver</v>
      </c>
      <c r="Q1229" t="str">
        <f>VLOOKUP(B1229,Customers!A:J,8,0)</f>
        <v>Male</v>
      </c>
      <c r="R1229" t="b">
        <f t="shared" si="38"/>
        <v>1</v>
      </c>
      <c r="S1229" s="18">
        <f t="shared" si="39"/>
        <v>45536</v>
      </c>
    </row>
    <row r="1230" spans="1:19" x14ac:dyDescent="0.25">
      <c r="A1230" s="3" t="s">
        <v>2568</v>
      </c>
      <c r="B1230" s="4" t="s">
        <v>501</v>
      </c>
      <c r="C1230" s="14">
        <v>45643</v>
      </c>
      <c r="D1230" s="4" t="s">
        <v>710</v>
      </c>
      <c r="E1230" s="4" t="s">
        <v>721</v>
      </c>
      <c r="F1230" s="4">
        <v>24.99</v>
      </c>
      <c r="G1230" s="4">
        <v>1</v>
      </c>
      <c r="H1230" s="4">
        <v>0</v>
      </c>
      <c r="I1230" s="4">
        <v>24.99</v>
      </c>
      <c r="J1230" s="4">
        <v>24.99</v>
      </c>
      <c r="K1230" s="4" t="s">
        <v>655</v>
      </c>
      <c r="L1230" s="4" t="s">
        <v>656</v>
      </c>
      <c r="M1230" s="5"/>
      <c r="N1230">
        <f>VLOOKUP(B1230,Customers!A:J,7,0)</f>
        <v>55</v>
      </c>
      <c r="O1230" t="str">
        <f>VLOOKUP(B1230,Customers!A:J,5,0)</f>
        <v>San Antonio</v>
      </c>
      <c r="P1230" t="str">
        <f>VLOOKUP(B1230,Customers!A:J,10,0)</f>
        <v>Silver</v>
      </c>
      <c r="Q1230" t="str">
        <f>VLOOKUP(B1230,Customers!A:J,8,0)</f>
        <v>Male</v>
      </c>
      <c r="R1230" t="b">
        <f t="shared" si="38"/>
        <v>1</v>
      </c>
      <c r="S1230" s="18">
        <f t="shared" si="39"/>
        <v>45627</v>
      </c>
    </row>
    <row r="1231" spans="1:19" x14ac:dyDescent="0.25">
      <c r="A1231" s="6" t="s">
        <v>2570</v>
      </c>
      <c r="B1231" s="7" t="s">
        <v>501</v>
      </c>
      <c r="C1231" s="15">
        <v>45035</v>
      </c>
      <c r="D1231" s="7" t="s">
        <v>672</v>
      </c>
      <c r="E1231" s="7" t="s">
        <v>735</v>
      </c>
      <c r="F1231" s="7">
        <v>44.99</v>
      </c>
      <c r="G1231" s="7">
        <v>1</v>
      </c>
      <c r="H1231" s="7">
        <v>10</v>
      </c>
      <c r="I1231" s="7">
        <v>40.49</v>
      </c>
      <c r="J1231" s="7">
        <v>40.49</v>
      </c>
      <c r="K1231" s="7" t="s">
        <v>675</v>
      </c>
      <c r="L1231" s="7" t="s">
        <v>656</v>
      </c>
      <c r="M1231" s="8"/>
      <c r="N1231">
        <f>VLOOKUP(B1231,Customers!A:J,7,0)</f>
        <v>55</v>
      </c>
      <c r="O1231" t="str">
        <f>VLOOKUP(B1231,Customers!A:J,5,0)</f>
        <v>San Antonio</v>
      </c>
      <c r="P1231" t="str">
        <f>VLOOKUP(B1231,Customers!A:J,10,0)</f>
        <v>Silver</v>
      </c>
      <c r="Q1231" t="str">
        <f>VLOOKUP(B1231,Customers!A:J,8,0)</f>
        <v>Male</v>
      </c>
      <c r="R1231" t="b">
        <f t="shared" si="38"/>
        <v>1</v>
      </c>
      <c r="S1231" s="18">
        <f t="shared" si="39"/>
        <v>45017</v>
      </c>
    </row>
    <row r="1232" spans="1:19" x14ac:dyDescent="0.25">
      <c r="A1232" s="3" t="s">
        <v>2572</v>
      </c>
      <c r="B1232" s="4" t="s">
        <v>501</v>
      </c>
      <c r="C1232" s="14">
        <v>45488</v>
      </c>
      <c r="D1232" s="4" t="s">
        <v>684</v>
      </c>
      <c r="E1232" s="4" t="s">
        <v>705</v>
      </c>
      <c r="F1232" s="4">
        <v>79.989999999999995</v>
      </c>
      <c r="G1232" s="4">
        <v>1</v>
      </c>
      <c r="H1232" s="4">
        <v>0</v>
      </c>
      <c r="I1232" s="4">
        <v>79.989999999999995</v>
      </c>
      <c r="J1232" s="4">
        <v>79.989999999999995</v>
      </c>
      <c r="K1232" s="4" t="s">
        <v>661</v>
      </c>
      <c r="L1232" s="4" t="s">
        <v>656</v>
      </c>
      <c r="M1232" s="5">
        <v>5</v>
      </c>
      <c r="N1232">
        <f>VLOOKUP(B1232,Customers!A:J,7,0)</f>
        <v>55</v>
      </c>
      <c r="O1232" t="str">
        <f>VLOOKUP(B1232,Customers!A:J,5,0)</f>
        <v>San Antonio</v>
      </c>
      <c r="P1232" t="str">
        <f>VLOOKUP(B1232,Customers!A:J,10,0)</f>
        <v>Silver</v>
      </c>
      <c r="Q1232" t="str">
        <f>VLOOKUP(B1232,Customers!A:J,8,0)</f>
        <v>Male</v>
      </c>
      <c r="R1232" t="b">
        <f t="shared" si="38"/>
        <v>1</v>
      </c>
      <c r="S1232" s="18">
        <f t="shared" si="39"/>
        <v>45474</v>
      </c>
    </row>
    <row r="1233" spans="1:19" x14ac:dyDescent="0.25">
      <c r="A1233" s="6" t="s">
        <v>2574</v>
      </c>
      <c r="B1233" s="7" t="s">
        <v>504</v>
      </c>
      <c r="C1233" s="15">
        <v>44605</v>
      </c>
      <c r="D1233" s="7" t="s">
        <v>680</v>
      </c>
      <c r="E1233" s="7" t="s">
        <v>708</v>
      </c>
      <c r="F1233" s="7">
        <v>24.99</v>
      </c>
      <c r="G1233" s="7">
        <v>4</v>
      </c>
      <c r="H1233" s="7">
        <v>20</v>
      </c>
      <c r="I1233" s="7">
        <v>19.989999999999998</v>
      </c>
      <c r="J1233" s="7">
        <v>79.959999999999994</v>
      </c>
      <c r="K1233" s="7" t="s">
        <v>682</v>
      </c>
      <c r="L1233" s="7" t="s">
        <v>656</v>
      </c>
      <c r="M1233" s="8">
        <v>4</v>
      </c>
      <c r="N1233">
        <f>VLOOKUP(B1233,Customers!A:J,7,0)</f>
        <v>55</v>
      </c>
      <c r="O1233" t="str">
        <f>VLOOKUP(B1233,Customers!A:J,5,0)</f>
        <v>Philadelphia</v>
      </c>
      <c r="P1233" t="str">
        <f>VLOOKUP(B1233,Customers!A:J,10,0)</f>
        <v>Silver</v>
      </c>
      <c r="Q1233" t="str">
        <f>VLOOKUP(B1233,Customers!A:J,8,0)</f>
        <v>Male</v>
      </c>
      <c r="R1233" t="b">
        <f t="shared" si="38"/>
        <v>1</v>
      </c>
      <c r="S1233" s="18">
        <f t="shared" si="39"/>
        <v>44593</v>
      </c>
    </row>
    <row r="1234" spans="1:19" x14ac:dyDescent="0.25">
      <c r="A1234" s="3" t="s">
        <v>2575</v>
      </c>
      <c r="B1234" s="4" t="s">
        <v>506</v>
      </c>
      <c r="C1234" s="14">
        <v>45119</v>
      </c>
      <c r="D1234" s="4" t="s">
        <v>672</v>
      </c>
      <c r="E1234" s="4" t="s">
        <v>735</v>
      </c>
      <c r="F1234" s="4">
        <v>44.99</v>
      </c>
      <c r="G1234" s="4">
        <v>2</v>
      </c>
      <c r="H1234" s="4">
        <v>0</v>
      </c>
      <c r="I1234" s="4">
        <v>44.99</v>
      </c>
      <c r="J1234" s="4">
        <v>89.98</v>
      </c>
      <c r="K1234" s="4" t="s">
        <v>682</v>
      </c>
      <c r="L1234" s="4" t="s">
        <v>656</v>
      </c>
      <c r="M1234" s="5"/>
      <c r="N1234">
        <f>VLOOKUP(B1234,Customers!A:J,7,0)</f>
        <v>35</v>
      </c>
      <c r="O1234" t="str">
        <f>VLOOKUP(B1234,Customers!A:J,5,0)</f>
        <v>San Antonio</v>
      </c>
      <c r="P1234" t="str">
        <f>VLOOKUP(B1234,Customers!A:J,10,0)</f>
        <v>Silver</v>
      </c>
      <c r="Q1234" t="str">
        <f>VLOOKUP(B1234,Customers!A:J,8,0)</f>
        <v>Female</v>
      </c>
      <c r="R1234" t="b">
        <f t="shared" si="38"/>
        <v>1</v>
      </c>
      <c r="S1234" s="18">
        <f t="shared" si="39"/>
        <v>45108</v>
      </c>
    </row>
    <row r="1235" spans="1:19" x14ac:dyDescent="0.25">
      <c r="A1235" s="6" t="s">
        <v>2577</v>
      </c>
      <c r="B1235" s="7" t="s">
        <v>506</v>
      </c>
      <c r="C1235" s="15">
        <v>44935</v>
      </c>
      <c r="D1235" s="7" t="s">
        <v>672</v>
      </c>
      <c r="E1235" s="7" t="s">
        <v>724</v>
      </c>
      <c r="F1235" s="7">
        <v>89.99</v>
      </c>
      <c r="G1235" s="7">
        <v>1</v>
      </c>
      <c r="H1235" s="7">
        <v>0</v>
      </c>
      <c r="I1235" s="7">
        <v>89.99</v>
      </c>
      <c r="J1235" s="7">
        <v>89.99</v>
      </c>
      <c r="K1235" s="7" t="s">
        <v>655</v>
      </c>
      <c r="L1235" s="7" t="s">
        <v>693</v>
      </c>
      <c r="M1235" s="8">
        <v>4</v>
      </c>
      <c r="N1235">
        <f>VLOOKUP(B1235,Customers!A:J,7,0)</f>
        <v>35</v>
      </c>
      <c r="O1235" t="str">
        <f>VLOOKUP(B1235,Customers!A:J,5,0)</f>
        <v>San Antonio</v>
      </c>
      <c r="P1235" t="str">
        <f>VLOOKUP(B1235,Customers!A:J,10,0)</f>
        <v>Silver</v>
      </c>
      <c r="Q1235" t="str">
        <f>VLOOKUP(B1235,Customers!A:J,8,0)</f>
        <v>Female</v>
      </c>
      <c r="R1235" t="b">
        <f t="shared" si="38"/>
        <v>1</v>
      </c>
      <c r="S1235" s="18">
        <f t="shared" si="39"/>
        <v>44927</v>
      </c>
    </row>
    <row r="1236" spans="1:19" x14ac:dyDescent="0.25">
      <c r="A1236" s="3" t="s">
        <v>2578</v>
      </c>
      <c r="B1236" s="4" t="s">
        <v>506</v>
      </c>
      <c r="C1236" s="14">
        <v>44598</v>
      </c>
      <c r="D1236" s="4" t="s">
        <v>659</v>
      </c>
      <c r="E1236" s="4" t="s">
        <v>660</v>
      </c>
      <c r="F1236" s="4">
        <v>19.989999999999998</v>
      </c>
      <c r="G1236" s="4">
        <v>2</v>
      </c>
      <c r="H1236" s="4">
        <v>5</v>
      </c>
      <c r="I1236" s="4">
        <v>18.989999999999998</v>
      </c>
      <c r="J1236" s="4">
        <v>37.979999999999997</v>
      </c>
      <c r="K1236" s="4" t="s">
        <v>655</v>
      </c>
      <c r="L1236" s="4" t="s">
        <v>656</v>
      </c>
      <c r="M1236" s="5">
        <v>3</v>
      </c>
      <c r="N1236">
        <f>VLOOKUP(B1236,Customers!A:J,7,0)</f>
        <v>35</v>
      </c>
      <c r="O1236" t="str">
        <f>VLOOKUP(B1236,Customers!A:J,5,0)</f>
        <v>San Antonio</v>
      </c>
      <c r="P1236" t="str">
        <f>VLOOKUP(B1236,Customers!A:J,10,0)</f>
        <v>Silver</v>
      </c>
      <c r="Q1236" t="str">
        <f>VLOOKUP(B1236,Customers!A:J,8,0)</f>
        <v>Female</v>
      </c>
      <c r="R1236" t="b">
        <f t="shared" si="38"/>
        <v>1</v>
      </c>
      <c r="S1236" s="18">
        <f t="shared" si="39"/>
        <v>44593</v>
      </c>
    </row>
    <row r="1237" spans="1:19" x14ac:dyDescent="0.25">
      <c r="A1237" s="6" t="s">
        <v>2579</v>
      </c>
      <c r="B1237" s="7" t="s">
        <v>506</v>
      </c>
      <c r="C1237" s="15">
        <v>44738</v>
      </c>
      <c r="D1237" s="7" t="s">
        <v>653</v>
      </c>
      <c r="E1237" s="7" t="s">
        <v>827</v>
      </c>
      <c r="F1237" s="7">
        <v>29.99</v>
      </c>
      <c r="G1237" s="7">
        <v>1</v>
      </c>
      <c r="H1237" s="7">
        <v>0</v>
      </c>
      <c r="I1237" s="7">
        <v>29.99</v>
      </c>
      <c r="J1237" s="7">
        <v>29.99</v>
      </c>
      <c r="K1237" s="7" t="s">
        <v>661</v>
      </c>
      <c r="L1237" s="7" t="s">
        <v>656</v>
      </c>
      <c r="M1237" s="8">
        <v>5</v>
      </c>
      <c r="N1237">
        <f>VLOOKUP(B1237,Customers!A:J,7,0)</f>
        <v>35</v>
      </c>
      <c r="O1237" t="str">
        <f>VLOOKUP(B1237,Customers!A:J,5,0)</f>
        <v>San Antonio</v>
      </c>
      <c r="P1237" t="str">
        <f>VLOOKUP(B1237,Customers!A:J,10,0)</f>
        <v>Silver</v>
      </c>
      <c r="Q1237" t="str">
        <f>VLOOKUP(B1237,Customers!A:J,8,0)</f>
        <v>Female</v>
      </c>
      <c r="R1237" t="b">
        <f t="shared" si="38"/>
        <v>1</v>
      </c>
      <c r="S1237" s="18">
        <f t="shared" si="39"/>
        <v>44713</v>
      </c>
    </row>
    <row r="1238" spans="1:19" x14ac:dyDescent="0.25">
      <c r="A1238" s="3" t="s">
        <v>2580</v>
      </c>
      <c r="B1238" s="4" t="s">
        <v>506</v>
      </c>
      <c r="C1238" s="14">
        <v>45061</v>
      </c>
      <c r="D1238" s="4" t="s">
        <v>653</v>
      </c>
      <c r="E1238" s="4" t="s">
        <v>769</v>
      </c>
      <c r="F1238" s="4">
        <v>49.99</v>
      </c>
      <c r="G1238" s="4">
        <v>4</v>
      </c>
      <c r="H1238" s="4">
        <v>0</v>
      </c>
      <c r="I1238" s="4">
        <v>49.99</v>
      </c>
      <c r="J1238" s="4">
        <v>199.96</v>
      </c>
      <c r="K1238" s="4" t="s">
        <v>655</v>
      </c>
      <c r="L1238" s="4" t="s">
        <v>656</v>
      </c>
      <c r="M1238" s="5"/>
      <c r="N1238">
        <f>VLOOKUP(B1238,Customers!A:J,7,0)</f>
        <v>35</v>
      </c>
      <c r="O1238" t="str">
        <f>VLOOKUP(B1238,Customers!A:J,5,0)</f>
        <v>San Antonio</v>
      </c>
      <c r="P1238" t="str">
        <f>VLOOKUP(B1238,Customers!A:J,10,0)</f>
        <v>Silver</v>
      </c>
      <c r="Q1238" t="str">
        <f>VLOOKUP(B1238,Customers!A:J,8,0)</f>
        <v>Female</v>
      </c>
      <c r="R1238" t="b">
        <f t="shared" si="38"/>
        <v>1</v>
      </c>
      <c r="S1238" s="18">
        <f t="shared" si="39"/>
        <v>45047</v>
      </c>
    </row>
    <row r="1239" spans="1:19" x14ac:dyDescent="0.25">
      <c r="A1239" s="6" t="s">
        <v>2581</v>
      </c>
      <c r="B1239" s="7" t="s">
        <v>506</v>
      </c>
      <c r="C1239" s="15">
        <v>45041</v>
      </c>
      <c r="D1239" s="7" t="s">
        <v>672</v>
      </c>
      <c r="E1239" s="7" t="s">
        <v>803</v>
      </c>
      <c r="F1239" s="7">
        <v>69.989999999999995</v>
      </c>
      <c r="G1239" s="7">
        <v>4</v>
      </c>
      <c r="H1239" s="7">
        <v>0</v>
      </c>
      <c r="I1239" s="7">
        <v>69.989999999999995</v>
      </c>
      <c r="J1239" s="7">
        <v>279.95999999999998</v>
      </c>
      <c r="K1239" s="7" t="s">
        <v>655</v>
      </c>
      <c r="L1239" s="7" t="s">
        <v>656</v>
      </c>
      <c r="M1239" s="8"/>
      <c r="N1239">
        <f>VLOOKUP(B1239,Customers!A:J,7,0)</f>
        <v>35</v>
      </c>
      <c r="O1239" t="str">
        <f>VLOOKUP(B1239,Customers!A:J,5,0)</f>
        <v>San Antonio</v>
      </c>
      <c r="P1239" t="str">
        <f>VLOOKUP(B1239,Customers!A:J,10,0)</f>
        <v>Silver</v>
      </c>
      <c r="Q1239" t="str">
        <f>VLOOKUP(B1239,Customers!A:J,8,0)</f>
        <v>Female</v>
      </c>
      <c r="R1239" t="b">
        <f t="shared" si="38"/>
        <v>1</v>
      </c>
      <c r="S1239" s="18">
        <f t="shared" si="39"/>
        <v>45017</v>
      </c>
    </row>
    <row r="1240" spans="1:19" x14ac:dyDescent="0.25">
      <c r="A1240" s="3" t="s">
        <v>2582</v>
      </c>
      <c r="B1240" s="4" t="s">
        <v>506</v>
      </c>
      <c r="C1240" s="14">
        <v>45070</v>
      </c>
      <c r="D1240" s="4" t="s">
        <v>680</v>
      </c>
      <c r="E1240" s="4" t="s">
        <v>749</v>
      </c>
      <c r="F1240" s="4">
        <v>14.99</v>
      </c>
      <c r="G1240" s="4">
        <v>3</v>
      </c>
      <c r="H1240" s="4">
        <v>0</v>
      </c>
      <c r="I1240" s="4">
        <v>14.99</v>
      </c>
      <c r="J1240" s="4">
        <v>44.97</v>
      </c>
      <c r="K1240" s="4" t="s">
        <v>661</v>
      </c>
      <c r="L1240" s="4" t="s">
        <v>656</v>
      </c>
      <c r="M1240" s="5">
        <v>4</v>
      </c>
      <c r="N1240">
        <f>VLOOKUP(B1240,Customers!A:J,7,0)</f>
        <v>35</v>
      </c>
      <c r="O1240" t="str">
        <f>VLOOKUP(B1240,Customers!A:J,5,0)</f>
        <v>San Antonio</v>
      </c>
      <c r="P1240" t="str">
        <f>VLOOKUP(B1240,Customers!A:J,10,0)</f>
        <v>Silver</v>
      </c>
      <c r="Q1240" t="str">
        <f>VLOOKUP(B1240,Customers!A:J,8,0)</f>
        <v>Female</v>
      </c>
      <c r="R1240" t="b">
        <f t="shared" si="38"/>
        <v>1</v>
      </c>
      <c r="S1240" s="18">
        <f t="shared" si="39"/>
        <v>45047</v>
      </c>
    </row>
    <row r="1241" spans="1:19" x14ac:dyDescent="0.25">
      <c r="A1241" s="6" t="s">
        <v>2583</v>
      </c>
      <c r="B1241" s="7" t="s">
        <v>506</v>
      </c>
      <c r="C1241" s="15">
        <v>45624</v>
      </c>
      <c r="D1241" s="7" t="s">
        <v>667</v>
      </c>
      <c r="E1241" s="7" t="s">
        <v>714</v>
      </c>
      <c r="F1241" s="7">
        <v>44.99</v>
      </c>
      <c r="G1241" s="7">
        <v>4</v>
      </c>
      <c r="H1241" s="7">
        <v>5</v>
      </c>
      <c r="I1241" s="7">
        <v>42.74</v>
      </c>
      <c r="J1241" s="7">
        <v>170.96</v>
      </c>
      <c r="K1241" s="7" t="s">
        <v>655</v>
      </c>
      <c r="L1241" s="7" t="s">
        <v>656</v>
      </c>
      <c r="M1241" s="8">
        <v>5</v>
      </c>
      <c r="N1241">
        <f>VLOOKUP(B1241,Customers!A:J,7,0)</f>
        <v>35</v>
      </c>
      <c r="O1241" t="str">
        <f>VLOOKUP(B1241,Customers!A:J,5,0)</f>
        <v>San Antonio</v>
      </c>
      <c r="P1241" t="str">
        <f>VLOOKUP(B1241,Customers!A:J,10,0)</f>
        <v>Silver</v>
      </c>
      <c r="Q1241" t="str">
        <f>VLOOKUP(B1241,Customers!A:J,8,0)</f>
        <v>Female</v>
      </c>
      <c r="R1241" t="b">
        <f t="shared" si="38"/>
        <v>1</v>
      </c>
      <c r="S1241" s="18">
        <f t="shared" si="39"/>
        <v>45597</v>
      </c>
    </row>
    <row r="1242" spans="1:19" x14ac:dyDescent="0.25">
      <c r="A1242" s="3" t="s">
        <v>2584</v>
      </c>
      <c r="B1242" s="4" t="s">
        <v>506</v>
      </c>
      <c r="C1242" s="14">
        <v>44601</v>
      </c>
      <c r="D1242" s="4" t="s">
        <v>680</v>
      </c>
      <c r="E1242" s="4" t="s">
        <v>688</v>
      </c>
      <c r="F1242" s="4">
        <v>29.99</v>
      </c>
      <c r="G1242" s="4">
        <v>1</v>
      </c>
      <c r="H1242" s="4">
        <v>15</v>
      </c>
      <c r="I1242" s="4">
        <v>25.49</v>
      </c>
      <c r="J1242" s="4">
        <v>25.49</v>
      </c>
      <c r="K1242" s="4" t="s">
        <v>682</v>
      </c>
      <c r="L1242" s="4" t="s">
        <v>656</v>
      </c>
      <c r="M1242" s="5">
        <v>5</v>
      </c>
      <c r="N1242">
        <f>VLOOKUP(B1242,Customers!A:J,7,0)</f>
        <v>35</v>
      </c>
      <c r="O1242" t="str">
        <f>VLOOKUP(B1242,Customers!A:J,5,0)</f>
        <v>San Antonio</v>
      </c>
      <c r="P1242" t="str">
        <f>VLOOKUP(B1242,Customers!A:J,10,0)</f>
        <v>Silver</v>
      </c>
      <c r="Q1242" t="str">
        <f>VLOOKUP(B1242,Customers!A:J,8,0)</f>
        <v>Female</v>
      </c>
      <c r="R1242" t="b">
        <f t="shared" si="38"/>
        <v>1</v>
      </c>
      <c r="S1242" s="18">
        <f t="shared" si="39"/>
        <v>44593</v>
      </c>
    </row>
    <row r="1243" spans="1:19" x14ac:dyDescent="0.25">
      <c r="A1243" s="6" t="s">
        <v>2585</v>
      </c>
      <c r="B1243" s="7" t="s">
        <v>506</v>
      </c>
      <c r="C1243" s="15">
        <v>45170</v>
      </c>
      <c r="D1243" s="7" t="s">
        <v>680</v>
      </c>
      <c r="E1243" s="7" t="s">
        <v>688</v>
      </c>
      <c r="F1243" s="7">
        <v>29.99</v>
      </c>
      <c r="G1243" s="7">
        <v>1</v>
      </c>
      <c r="H1243" s="7">
        <v>10</v>
      </c>
      <c r="I1243" s="7">
        <v>26.99</v>
      </c>
      <c r="J1243" s="7">
        <v>26.99</v>
      </c>
      <c r="K1243" s="7" t="s">
        <v>655</v>
      </c>
      <c r="L1243" s="7" t="s">
        <v>656</v>
      </c>
      <c r="M1243" s="8"/>
      <c r="N1243">
        <f>VLOOKUP(B1243,Customers!A:J,7,0)</f>
        <v>35</v>
      </c>
      <c r="O1243" t="str">
        <f>VLOOKUP(B1243,Customers!A:J,5,0)</f>
        <v>San Antonio</v>
      </c>
      <c r="P1243" t="str">
        <f>VLOOKUP(B1243,Customers!A:J,10,0)</f>
        <v>Silver</v>
      </c>
      <c r="Q1243" t="str">
        <f>VLOOKUP(B1243,Customers!A:J,8,0)</f>
        <v>Female</v>
      </c>
      <c r="R1243" t="b">
        <f t="shared" si="38"/>
        <v>1</v>
      </c>
      <c r="S1243" s="18">
        <f t="shared" si="39"/>
        <v>45170</v>
      </c>
    </row>
    <row r="1244" spans="1:19" x14ac:dyDescent="0.25">
      <c r="A1244" s="3" t="s">
        <v>2586</v>
      </c>
      <c r="B1244" s="4" t="s">
        <v>506</v>
      </c>
      <c r="C1244" s="14">
        <v>44963</v>
      </c>
      <c r="D1244" s="4" t="s">
        <v>659</v>
      </c>
      <c r="E1244" s="4" t="s">
        <v>820</v>
      </c>
      <c r="F1244" s="4">
        <v>39.99</v>
      </c>
      <c r="G1244" s="4">
        <v>4</v>
      </c>
      <c r="H1244" s="4">
        <v>10</v>
      </c>
      <c r="I1244" s="4">
        <v>35.99</v>
      </c>
      <c r="J1244" s="4">
        <v>143.96</v>
      </c>
      <c r="K1244" s="4" t="s">
        <v>675</v>
      </c>
      <c r="L1244" s="4" t="s">
        <v>656</v>
      </c>
      <c r="M1244" s="5">
        <v>3</v>
      </c>
      <c r="N1244">
        <f>VLOOKUP(B1244,Customers!A:J,7,0)</f>
        <v>35</v>
      </c>
      <c r="O1244" t="str">
        <f>VLOOKUP(B1244,Customers!A:J,5,0)</f>
        <v>San Antonio</v>
      </c>
      <c r="P1244" t="str">
        <f>VLOOKUP(B1244,Customers!A:J,10,0)</f>
        <v>Silver</v>
      </c>
      <c r="Q1244" t="str">
        <f>VLOOKUP(B1244,Customers!A:J,8,0)</f>
        <v>Female</v>
      </c>
      <c r="R1244" t="b">
        <f t="shared" si="38"/>
        <v>1</v>
      </c>
      <c r="S1244" s="18">
        <f t="shared" si="39"/>
        <v>44958</v>
      </c>
    </row>
    <row r="1245" spans="1:19" x14ac:dyDescent="0.25">
      <c r="A1245" s="6" t="s">
        <v>2587</v>
      </c>
      <c r="B1245" s="7" t="s">
        <v>506</v>
      </c>
      <c r="C1245" s="15">
        <v>45145</v>
      </c>
      <c r="D1245" s="7" t="s">
        <v>653</v>
      </c>
      <c r="E1245" s="7" t="s">
        <v>727</v>
      </c>
      <c r="F1245" s="7">
        <v>14.99</v>
      </c>
      <c r="G1245" s="7">
        <v>4</v>
      </c>
      <c r="H1245" s="7">
        <v>0</v>
      </c>
      <c r="I1245" s="7">
        <v>14.99</v>
      </c>
      <c r="J1245" s="7">
        <v>59.96</v>
      </c>
      <c r="K1245" s="7" t="s">
        <v>669</v>
      </c>
      <c r="L1245" s="7" t="s">
        <v>693</v>
      </c>
      <c r="M1245" s="8">
        <v>5</v>
      </c>
      <c r="N1245">
        <f>VLOOKUP(B1245,Customers!A:J,7,0)</f>
        <v>35</v>
      </c>
      <c r="O1245" t="str">
        <f>VLOOKUP(B1245,Customers!A:J,5,0)</f>
        <v>San Antonio</v>
      </c>
      <c r="P1245" t="str">
        <f>VLOOKUP(B1245,Customers!A:J,10,0)</f>
        <v>Silver</v>
      </c>
      <c r="Q1245" t="str">
        <f>VLOOKUP(B1245,Customers!A:J,8,0)</f>
        <v>Female</v>
      </c>
      <c r="R1245" t="b">
        <f t="shared" si="38"/>
        <v>1</v>
      </c>
      <c r="S1245" s="18">
        <f t="shared" si="39"/>
        <v>45139</v>
      </c>
    </row>
    <row r="1246" spans="1:19" x14ac:dyDescent="0.25">
      <c r="A1246" s="3" t="s">
        <v>2588</v>
      </c>
      <c r="B1246" s="4" t="s">
        <v>506</v>
      </c>
      <c r="C1246" s="14">
        <v>44886</v>
      </c>
      <c r="D1246" s="4" t="s">
        <v>672</v>
      </c>
      <c r="E1246" s="4" t="s">
        <v>735</v>
      </c>
      <c r="F1246" s="4">
        <v>44.99</v>
      </c>
      <c r="G1246" s="4">
        <v>3</v>
      </c>
      <c r="H1246" s="4">
        <v>20</v>
      </c>
      <c r="I1246" s="4">
        <v>35.99</v>
      </c>
      <c r="J1246" s="4">
        <v>107.97</v>
      </c>
      <c r="K1246" s="4" t="s">
        <v>655</v>
      </c>
      <c r="L1246" s="4" t="s">
        <v>656</v>
      </c>
      <c r="M1246" s="5"/>
      <c r="N1246">
        <f>VLOOKUP(B1246,Customers!A:J,7,0)</f>
        <v>35</v>
      </c>
      <c r="O1246" t="str">
        <f>VLOOKUP(B1246,Customers!A:J,5,0)</f>
        <v>San Antonio</v>
      </c>
      <c r="P1246" t="str">
        <f>VLOOKUP(B1246,Customers!A:J,10,0)</f>
        <v>Silver</v>
      </c>
      <c r="Q1246" t="str">
        <f>VLOOKUP(B1246,Customers!A:J,8,0)</f>
        <v>Female</v>
      </c>
      <c r="R1246" t="b">
        <f t="shared" si="38"/>
        <v>1</v>
      </c>
      <c r="S1246" s="18">
        <f t="shared" si="39"/>
        <v>44866</v>
      </c>
    </row>
    <row r="1247" spans="1:19" x14ac:dyDescent="0.25">
      <c r="A1247" s="6" t="s">
        <v>2590</v>
      </c>
      <c r="B1247" s="7" t="s">
        <v>508</v>
      </c>
      <c r="C1247" s="15">
        <v>44762</v>
      </c>
      <c r="D1247" s="7" t="s">
        <v>710</v>
      </c>
      <c r="E1247" s="7" t="s">
        <v>744</v>
      </c>
      <c r="F1247" s="7">
        <v>29.99</v>
      </c>
      <c r="G1247" s="7">
        <v>3</v>
      </c>
      <c r="H1247" s="7">
        <v>10</v>
      </c>
      <c r="I1247" s="7">
        <v>26.99</v>
      </c>
      <c r="J1247" s="7">
        <v>80.97</v>
      </c>
      <c r="K1247" s="7" t="s">
        <v>682</v>
      </c>
      <c r="L1247" s="7" t="s">
        <v>656</v>
      </c>
      <c r="M1247" s="8"/>
      <c r="N1247">
        <f>VLOOKUP(B1247,Customers!A:J,7,0)</f>
        <v>25</v>
      </c>
      <c r="O1247" t="str">
        <f>VLOOKUP(B1247,Customers!A:J,5,0)</f>
        <v>Los Angeles</v>
      </c>
      <c r="P1247" t="str">
        <f>VLOOKUP(B1247,Customers!A:J,10,0)</f>
        <v>Free</v>
      </c>
      <c r="Q1247" t="str">
        <f>VLOOKUP(B1247,Customers!A:J,8,0)</f>
        <v>Male</v>
      </c>
      <c r="R1247" t="b">
        <f t="shared" si="38"/>
        <v>1</v>
      </c>
      <c r="S1247" s="18">
        <f t="shared" si="39"/>
        <v>44743</v>
      </c>
    </row>
    <row r="1248" spans="1:19" x14ac:dyDescent="0.25">
      <c r="A1248" s="3" t="s">
        <v>2591</v>
      </c>
      <c r="B1248" s="4" t="s">
        <v>508</v>
      </c>
      <c r="C1248" s="14">
        <v>45271</v>
      </c>
      <c r="D1248" s="4" t="s">
        <v>710</v>
      </c>
      <c r="E1248" s="4" t="s">
        <v>730</v>
      </c>
      <c r="F1248" s="4">
        <v>39.99</v>
      </c>
      <c r="G1248" s="4">
        <v>1</v>
      </c>
      <c r="H1248" s="4">
        <v>0</v>
      </c>
      <c r="I1248" s="4">
        <v>39.99</v>
      </c>
      <c r="J1248" s="4">
        <v>39.99</v>
      </c>
      <c r="K1248" s="4" t="s">
        <v>682</v>
      </c>
      <c r="L1248" s="4" t="s">
        <v>656</v>
      </c>
      <c r="M1248" s="5">
        <v>5</v>
      </c>
      <c r="N1248">
        <f>VLOOKUP(B1248,Customers!A:J,7,0)</f>
        <v>25</v>
      </c>
      <c r="O1248" t="str">
        <f>VLOOKUP(B1248,Customers!A:J,5,0)</f>
        <v>Los Angeles</v>
      </c>
      <c r="P1248" t="str">
        <f>VLOOKUP(B1248,Customers!A:J,10,0)</f>
        <v>Free</v>
      </c>
      <c r="Q1248" t="str">
        <f>VLOOKUP(B1248,Customers!A:J,8,0)</f>
        <v>Male</v>
      </c>
      <c r="R1248" t="b">
        <f t="shared" si="38"/>
        <v>1</v>
      </c>
      <c r="S1248" s="18">
        <f t="shared" si="39"/>
        <v>45261</v>
      </c>
    </row>
    <row r="1249" spans="1:19" x14ac:dyDescent="0.25">
      <c r="A1249" s="6" t="s">
        <v>2592</v>
      </c>
      <c r="B1249" s="7" t="s">
        <v>508</v>
      </c>
      <c r="C1249" s="15">
        <v>45562</v>
      </c>
      <c r="D1249" s="7" t="s">
        <v>667</v>
      </c>
      <c r="E1249" s="7" t="s">
        <v>668</v>
      </c>
      <c r="F1249" s="7">
        <v>64.989999999999995</v>
      </c>
      <c r="G1249" s="7">
        <v>4</v>
      </c>
      <c r="H1249" s="7">
        <v>0</v>
      </c>
      <c r="I1249" s="7">
        <v>64.989999999999995</v>
      </c>
      <c r="J1249" s="7">
        <v>259.95999999999998</v>
      </c>
      <c r="K1249" s="7" t="s">
        <v>682</v>
      </c>
      <c r="L1249" s="7" t="s">
        <v>656</v>
      </c>
      <c r="M1249" s="8">
        <v>2</v>
      </c>
      <c r="N1249">
        <f>VLOOKUP(B1249,Customers!A:J,7,0)</f>
        <v>25</v>
      </c>
      <c r="O1249" t="str">
        <f>VLOOKUP(B1249,Customers!A:J,5,0)</f>
        <v>Los Angeles</v>
      </c>
      <c r="P1249" t="str">
        <f>VLOOKUP(B1249,Customers!A:J,10,0)</f>
        <v>Free</v>
      </c>
      <c r="Q1249" t="str">
        <f>VLOOKUP(B1249,Customers!A:J,8,0)</f>
        <v>Male</v>
      </c>
      <c r="R1249" t="b">
        <f t="shared" si="38"/>
        <v>1</v>
      </c>
      <c r="S1249" s="18">
        <f t="shared" si="39"/>
        <v>45536</v>
      </c>
    </row>
    <row r="1250" spans="1:19" x14ac:dyDescent="0.25">
      <c r="A1250" s="3" t="s">
        <v>2594</v>
      </c>
      <c r="B1250" s="4" t="s">
        <v>508</v>
      </c>
      <c r="C1250" s="14">
        <v>45497</v>
      </c>
      <c r="D1250" s="4" t="s">
        <v>659</v>
      </c>
      <c r="E1250" s="4" t="s">
        <v>660</v>
      </c>
      <c r="F1250" s="4">
        <v>19.989999999999998</v>
      </c>
      <c r="G1250" s="4">
        <v>2</v>
      </c>
      <c r="H1250" s="4">
        <v>15</v>
      </c>
      <c r="I1250" s="4">
        <v>16.989999999999998</v>
      </c>
      <c r="J1250" s="4">
        <v>33.979999999999997</v>
      </c>
      <c r="K1250" s="4" t="s">
        <v>655</v>
      </c>
      <c r="L1250" s="4" t="s">
        <v>656</v>
      </c>
      <c r="M1250" s="5">
        <v>4</v>
      </c>
      <c r="N1250">
        <f>VLOOKUP(B1250,Customers!A:J,7,0)</f>
        <v>25</v>
      </c>
      <c r="O1250" t="str">
        <f>VLOOKUP(B1250,Customers!A:J,5,0)</f>
        <v>Los Angeles</v>
      </c>
      <c r="P1250" t="str">
        <f>VLOOKUP(B1250,Customers!A:J,10,0)</f>
        <v>Free</v>
      </c>
      <c r="Q1250" t="str">
        <f>VLOOKUP(B1250,Customers!A:J,8,0)</f>
        <v>Male</v>
      </c>
      <c r="R1250" t="b">
        <f t="shared" si="38"/>
        <v>1</v>
      </c>
      <c r="S1250" s="18">
        <f t="shared" si="39"/>
        <v>45474</v>
      </c>
    </row>
    <row r="1251" spans="1:19" x14ac:dyDescent="0.25">
      <c r="A1251" s="6" t="s">
        <v>2595</v>
      </c>
      <c r="B1251" s="7" t="s">
        <v>508</v>
      </c>
      <c r="C1251" s="15">
        <v>44748</v>
      </c>
      <c r="D1251" s="7" t="s">
        <v>684</v>
      </c>
      <c r="E1251" s="7" t="s">
        <v>702</v>
      </c>
      <c r="F1251" s="7">
        <v>199.99</v>
      </c>
      <c r="G1251" s="7">
        <v>1</v>
      </c>
      <c r="H1251" s="7">
        <v>10</v>
      </c>
      <c r="I1251" s="7">
        <v>179.99</v>
      </c>
      <c r="J1251" s="7">
        <v>179.99</v>
      </c>
      <c r="K1251" s="7" t="s">
        <v>675</v>
      </c>
      <c r="L1251" s="7" t="s">
        <v>656</v>
      </c>
      <c r="M1251" s="8">
        <v>5</v>
      </c>
      <c r="N1251">
        <f>VLOOKUP(B1251,Customers!A:J,7,0)</f>
        <v>25</v>
      </c>
      <c r="O1251" t="str">
        <f>VLOOKUP(B1251,Customers!A:J,5,0)</f>
        <v>Los Angeles</v>
      </c>
      <c r="P1251" t="str">
        <f>VLOOKUP(B1251,Customers!A:J,10,0)</f>
        <v>Free</v>
      </c>
      <c r="Q1251" t="str">
        <f>VLOOKUP(B1251,Customers!A:J,8,0)</f>
        <v>Male</v>
      </c>
      <c r="R1251" t="b">
        <f t="shared" si="38"/>
        <v>1</v>
      </c>
      <c r="S1251" s="18">
        <f t="shared" si="39"/>
        <v>44743</v>
      </c>
    </row>
    <row r="1252" spans="1:19" x14ac:dyDescent="0.25">
      <c r="A1252" s="3" t="s">
        <v>2597</v>
      </c>
      <c r="B1252" s="4" t="s">
        <v>508</v>
      </c>
      <c r="C1252" s="14">
        <v>45377</v>
      </c>
      <c r="D1252" s="4" t="s">
        <v>659</v>
      </c>
      <c r="E1252" s="4" t="s">
        <v>820</v>
      </c>
      <c r="F1252" s="4">
        <v>39.99</v>
      </c>
      <c r="G1252" s="4">
        <v>4</v>
      </c>
      <c r="H1252" s="4">
        <v>20</v>
      </c>
      <c r="I1252" s="4">
        <v>31.99</v>
      </c>
      <c r="J1252" s="4">
        <v>127.96</v>
      </c>
      <c r="K1252" s="4" t="s">
        <v>661</v>
      </c>
      <c r="L1252" s="4" t="s">
        <v>788</v>
      </c>
      <c r="M1252" s="5">
        <v>4</v>
      </c>
      <c r="N1252">
        <f>VLOOKUP(B1252,Customers!A:J,7,0)</f>
        <v>25</v>
      </c>
      <c r="O1252" t="str">
        <f>VLOOKUP(B1252,Customers!A:J,5,0)</f>
        <v>Los Angeles</v>
      </c>
      <c r="P1252" t="str">
        <f>VLOOKUP(B1252,Customers!A:J,10,0)</f>
        <v>Free</v>
      </c>
      <c r="Q1252" t="str">
        <f>VLOOKUP(B1252,Customers!A:J,8,0)</f>
        <v>Male</v>
      </c>
      <c r="R1252" t="b">
        <f t="shared" si="38"/>
        <v>1</v>
      </c>
      <c r="S1252" s="18">
        <f t="shared" si="39"/>
        <v>45352</v>
      </c>
    </row>
    <row r="1253" spans="1:19" x14ac:dyDescent="0.25">
      <c r="A1253" s="6" t="s">
        <v>2599</v>
      </c>
      <c r="B1253" s="7" t="s">
        <v>508</v>
      </c>
      <c r="C1253" s="15">
        <v>45175</v>
      </c>
      <c r="D1253" s="7" t="s">
        <v>672</v>
      </c>
      <c r="E1253" s="7" t="s">
        <v>673</v>
      </c>
      <c r="F1253" s="7">
        <v>24.99</v>
      </c>
      <c r="G1253" s="7">
        <v>3</v>
      </c>
      <c r="H1253" s="7">
        <v>0</v>
      </c>
      <c r="I1253" s="7">
        <v>24.99</v>
      </c>
      <c r="J1253" s="7">
        <v>74.97</v>
      </c>
      <c r="K1253" s="7" t="s">
        <v>682</v>
      </c>
      <c r="L1253" s="7" t="s">
        <v>656</v>
      </c>
      <c r="M1253" s="8"/>
      <c r="N1253">
        <f>VLOOKUP(B1253,Customers!A:J,7,0)</f>
        <v>25</v>
      </c>
      <c r="O1253" t="str">
        <f>VLOOKUP(B1253,Customers!A:J,5,0)</f>
        <v>Los Angeles</v>
      </c>
      <c r="P1253" t="str">
        <f>VLOOKUP(B1253,Customers!A:J,10,0)</f>
        <v>Free</v>
      </c>
      <c r="Q1253" t="str">
        <f>VLOOKUP(B1253,Customers!A:J,8,0)</f>
        <v>Male</v>
      </c>
      <c r="R1253" t="b">
        <f t="shared" si="38"/>
        <v>1</v>
      </c>
      <c r="S1253" s="18">
        <f t="shared" si="39"/>
        <v>45170</v>
      </c>
    </row>
    <row r="1254" spans="1:19" x14ac:dyDescent="0.25">
      <c r="A1254" s="3" t="s">
        <v>2600</v>
      </c>
      <c r="B1254" s="4" t="s">
        <v>508</v>
      </c>
      <c r="C1254" s="14">
        <v>44815</v>
      </c>
      <c r="D1254" s="4" t="s">
        <v>659</v>
      </c>
      <c r="E1254" s="4" t="s">
        <v>762</v>
      </c>
      <c r="F1254" s="4">
        <v>49.99</v>
      </c>
      <c r="G1254" s="4">
        <v>3</v>
      </c>
      <c r="H1254" s="4">
        <v>5</v>
      </c>
      <c r="I1254" s="4">
        <v>47.49</v>
      </c>
      <c r="J1254" s="4">
        <v>142.47</v>
      </c>
      <c r="K1254" s="4" t="s">
        <v>661</v>
      </c>
      <c r="L1254" s="4" t="s">
        <v>656</v>
      </c>
      <c r="M1254" s="5"/>
      <c r="N1254">
        <f>VLOOKUP(B1254,Customers!A:J,7,0)</f>
        <v>25</v>
      </c>
      <c r="O1254" t="str">
        <f>VLOOKUP(B1254,Customers!A:J,5,0)</f>
        <v>Los Angeles</v>
      </c>
      <c r="P1254" t="str">
        <f>VLOOKUP(B1254,Customers!A:J,10,0)</f>
        <v>Free</v>
      </c>
      <c r="Q1254" t="str">
        <f>VLOOKUP(B1254,Customers!A:J,8,0)</f>
        <v>Male</v>
      </c>
      <c r="R1254" t="b">
        <f t="shared" si="38"/>
        <v>1</v>
      </c>
      <c r="S1254" s="18">
        <f t="shared" si="39"/>
        <v>44805</v>
      </c>
    </row>
    <row r="1255" spans="1:19" x14ac:dyDescent="0.25">
      <c r="A1255" s="6" t="s">
        <v>2601</v>
      </c>
      <c r="B1255" s="7" t="s">
        <v>508</v>
      </c>
      <c r="C1255" s="15">
        <v>45124</v>
      </c>
      <c r="D1255" s="7" t="s">
        <v>710</v>
      </c>
      <c r="E1255" s="7" t="s">
        <v>744</v>
      </c>
      <c r="F1255" s="7">
        <v>29.99</v>
      </c>
      <c r="G1255" s="7">
        <v>1</v>
      </c>
      <c r="H1255" s="7">
        <v>0</v>
      </c>
      <c r="I1255" s="7">
        <v>29.99</v>
      </c>
      <c r="J1255" s="7">
        <v>29.99</v>
      </c>
      <c r="K1255" s="7" t="s">
        <v>661</v>
      </c>
      <c r="L1255" s="7" t="s">
        <v>656</v>
      </c>
      <c r="M1255" s="8">
        <v>3</v>
      </c>
      <c r="N1255">
        <f>VLOOKUP(B1255,Customers!A:J,7,0)</f>
        <v>25</v>
      </c>
      <c r="O1255" t="str">
        <f>VLOOKUP(B1255,Customers!A:J,5,0)</f>
        <v>Los Angeles</v>
      </c>
      <c r="P1255" t="str">
        <f>VLOOKUP(B1255,Customers!A:J,10,0)</f>
        <v>Free</v>
      </c>
      <c r="Q1255" t="str">
        <f>VLOOKUP(B1255,Customers!A:J,8,0)</f>
        <v>Male</v>
      </c>
      <c r="R1255" t="b">
        <f t="shared" si="38"/>
        <v>1</v>
      </c>
      <c r="S1255" s="18">
        <f t="shared" si="39"/>
        <v>45108</v>
      </c>
    </row>
    <row r="1256" spans="1:19" x14ac:dyDescent="0.25">
      <c r="A1256" s="3" t="s">
        <v>2603</v>
      </c>
      <c r="B1256" s="4" t="s">
        <v>508</v>
      </c>
      <c r="C1256" s="14">
        <v>45543</v>
      </c>
      <c r="D1256" s="4" t="s">
        <v>653</v>
      </c>
      <c r="E1256" s="4" t="s">
        <v>769</v>
      </c>
      <c r="F1256" s="4">
        <v>49.99</v>
      </c>
      <c r="G1256" s="4">
        <v>1</v>
      </c>
      <c r="H1256" s="4">
        <v>10</v>
      </c>
      <c r="I1256" s="4">
        <v>44.99</v>
      </c>
      <c r="J1256" s="4">
        <v>44.99</v>
      </c>
      <c r="K1256" s="4" t="s">
        <v>669</v>
      </c>
      <c r="L1256" s="4" t="s">
        <v>788</v>
      </c>
      <c r="M1256" s="5">
        <v>5</v>
      </c>
      <c r="N1256">
        <f>VLOOKUP(B1256,Customers!A:J,7,0)</f>
        <v>25</v>
      </c>
      <c r="O1256" t="str">
        <f>VLOOKUP(B1256,Customers!A:J,5,0)</f>
        <v>Los Angeles</v>
      </c>
      <c r="P1256" t="str">
        <f>VLOOKUP(B1256,Customers!A:J,10,0)</f>
        <v>Free</v>
      </c>
      <c r="Q1256" t="str">
        <f>VLOOKUP(B1256,Customers!A:J,8,0)</f>
        <v>Male</v>
      </c>
      <c r="R1256" t="b">
        <f t="shared" si="38"/>
        <v>1</v>
      </c>
      <c r="S1256" s="18">
        <f t="shared" si="39"/>
        <v>45536</v>
      </c>
    </row>
    <row r="1257" spans="1:19" x14ac:dyDescent="0.25">
      <c r="A1257" s="6" t="s">
        <v>2604</v>
      </c>
      <c r="B1257" s="7" t="s">
        <v>508</v>
      </c>
      <c r="C1257" s="15">
        <v>45519</v>
      </c>
      <c r="D1257" s="7" t="s">
        <v>684</v>
      </c>
      <c r="E1257" s="7" t="s">
        <v>815</v>
      </c>
      <c r="F1257" s="7">
        <v>34.99</v>
      </c>
      <c r="G1257" s="7">
        <v>1</v>
      </c>
      <c r="H1257" s="7">
        <v>0</v>
      </c>
      <c r="I1257" s="7">
        <v>34.99</v>
      </c>
      <c r="J1257" s="7">
        <v>34.99</v>
      </c>
      <c r="K1257" s="7" t="s">
        <v>655</v>
      </c>
      <c r="L1257" s="7" t="s">
        <v>656</v>
      </c>
      <c r="M1257" s="8"/>
      <c r="N1257">
        <f>VLOOKUP(B1257,Customers!A:J,7,0)</f>
        <v>25</v>
      </c>
      <c r="O1257" t="str">
        <f>VLOOKUP(B1257,Customers!A:J,5,0)</f>
        <v>Los Angeles</v>
      </c>
      <c r="P1257" t="str">
        <f>VLOOKUP(B1257,Customers!A:J,10,0)</f>
        <v>Free</v>
      </c>
      <c r="Q1257" t="str">
        <f>VLOOKUP(B1257,Customers!A:J,8,0)</f>
        <v>Male</v>
      </c>
      <c r="R1257" t="b">
        <f t="shared" si="38"/>
        <v>1</v>
      </c>
      <c r="S1257" s="18">
        <f t="shared" si="39"/>
        <v>45505</v>
      </c>
    </row>
    <row r="1258" spans="1:19" x14ac:dyDescent="0.25">
      <c r="A1258" s="3" t="s">
        <v>2605</v>
      </c>
      <c r="B1258" s="4" t="s">
        <v>508</v>
      </c>
      <c r="C1258" s="14">
        <v>45072</v>
      </c>
      <c r="D1258" s="4" t="s">
        <v>653</v>
      </c>
      <c r="E1258" s="4" t="s">
        <v>827</v>
      </c>
      <c r="F1258" s="4">
        <v>29.99</v>
      </c>
      <c r="G1258" s="4">
        <v>1</v>
      </c>
      <c r="H1258" s="4">
        <v>15</v>
      </c>
      <c r="I1258" s="4">
        <v>25.49</v>
      </c>
      <c r="J1258" s="4">
        <v>25.49</v>
      </c>
      <c r="K1258" s="4" t="s">
        <v>675</v>
      </c>
      <c r="L1258" s="4" t="s">
        <v>656</v>
      </c>
      <c r="M1258" s="5"/>
      <c r="N1258">
        <f>VLOOKUP(B1258,Customers!A:J,7,0)</f>
        <v>25</v>
      </c>
      <c r="O1258" t="str">
        <f>VLOOKUP(B1258,Customers!A:J,5,0)</f>
        <v>Los Angeles</v>
      </c>
      <c r="P1258" t="str">
        <f>VLOOKUP(B1258,Customers!A:J,10,0)</f>
        <v>Free</v>
      </c>
      <c r="Q1258" t="str">
        <f>VLOOKUP(B1258,Customers!A:J,8,0)</f>
        <v>Male</v>
      </c>
      <c r="R1258" t="b">
        <f t="shared" si="38"/>
        <v>1</v>
      </c>
      <c r="S1258" s="18">
        <f t="shared" si="39"/>
        <v>45047</v>
      </c>
    </row>
    <row r="1259" spans="1:19" x14ac:dyDescent="0.25">
      <c r="A1259" s="6" t="s">
        <v>2606</v>
      </c>
      <c r="B1259" s="7" t="s">
        <v>508</v>
      </c>
      <c r="C1259" s="15">
        <v>44733</v>
      </c>
      <c r="D1259" s="7" t="s">
        <v>680</v>
      </c>
      <c r="E1259" s="7" t="s">
        <v>749</v>
      </c>
      <c r="F1259" s="7">
        <v>14.99</v>
      </c>
      <c r="G1259" s="7">
        <v>1</v>
      </c>
      <c r="H1259" s="7">
        <v>5</v>
      </c>
      <c r="I1259" s="7">
        <v>14.24</v>
      </c>
      <c r="J1259" s="7">
        <v>14.24</v>
      </c>
      <c r="K1259" s="7" t="s">
        <v>682</v>
      </c>
      <c r="L1259" s="7" t="s">
        <v>656</v>
      </c>
      <c r="M1259" s="8"/>
      <c r="N1259">
        <f>VLOOKUP(B1259,Customers!A:J,7,0)</f>
        <v>25</v>
      </c>
      <c r="O1259" t="str">
        <f>VLOOKUP(B1259,Customers!A:J,5,0)</f>
        <v>Los Angeles</v>
      </c>
      <c r="P1259" t="str">
        <f>VLOOKUP(B1259,Customers!A:J,10,0)</f>
        <v>Free</v>
      </c>
      <c r="Q1259" t="str">
        <f>VLOOKUP(B1259,Customers!A:J,8,0)</f>
        <v>Male</v>
      </c>
      <c r="R1259" t="b">
        <f t="shared" si="38"/>
        <v>1</v>
      </c>
      <c r="S1259" s="18">
        <f t="shared" si="39"/>
        <v>44713</v>
      </c>
    </row>
    <row r="1260" spans="1:19" x14ac:dyDescent="0.25">
      <c r="A1260" s="3" t="s">
        <v>2608</v>
      </c>
      <c r="B1260" s="4" t="s">
        <v>508</v>
      </c>
      <c r="C1260" s="14">
        <v>45588</v>
      </c>
      <c r="D1260" s="4" t="s">
        <v>653</v>
      </c>
      <c r="E1260" s="4" t="s">
        <v>654</v>
      </c>
      <c r="F1260" s="4">
        <v>39.99</v>
      </c>
      <c r="G1260" s="4">
        <v>4</v>
      </c>
      <c r="H1260" s="4">
        <v>0</v>
      </c>
      <c r="I1260" s="4">
        <v>39.99</v>
      </c>
      <c r="J1260" s="4">
        <v>159.96</v>
      </c>
      <c r="K1260" s="4" t="s">
        <v>669</v>
      </c>
      <c r="L1260" s="4" t="s">
        <v>656</v>
      </c>
      <c r="M1260" s="5"/>
      <c r="N1260">
        <f>VLOOKUP(B1260,Customers!A:J,7,0)</f>
        <v>25</v>
      </c>
      <c r="O1260" t="str">
        <f>VLOOKUP(B1260,Customers!A:J,5,0)</f>
        <v>Los Angeles</v>
      </c>
      <c r="P1260" t="str">
        <f>VLOOKUP(B1260,Customers!A:J,10,0)</f>
        <v>Free</v>
      </c>
      <c r="Q1260" t="str">
        <f>VLOOKUP(B1260,Customers!A:J,8,0)</f>
        <v>Male</v>
      </c>
      <c r="R1260" t="b">
        <f t="shared" si="38"/>
        <v>1</v>
      </c>
      <c r="S1260" s="18">
        <f t="shared" si="39"/>
        <v>45566</v>
      </c>
    </row>
    <row r="1261" spans="1:19" x14ac:dyDescent="0.25">
      <c r="A1261" s="6" t="s">
        <v>2609</v>
      </c>
      <c r="B1261" s="7" t="s">
        <v>508</v>
      </c>
      <c r="C1261" s="15">
        <v>45491</v>
      </c>
      <c r="D1261" s="7" t="s">
        <v>653</v>
      </c>
      <c r="E1261" s="7" t="s">
        <v>827</v>
      </c>
      <c r="F1261" s="7">
        <v>29.99</v>
      </c>
      <c r="G1261" s="7">
        <v>3</v>
      </c>
      <c r="H1261" s="7">
        <v>5</v>
      </c>
      <c r="I1261" s="7">
        <v>28.49</v>
      </c>
      <c r="J1261" s="7">
        <v>85.47</v>
      </c>
      <c r="K1261" s="7" t="s">
        <v>655</v>
      </c>
      <c r="L1261" s="7" t="s">
        <v>656</v>
      </c>
      <c r="M1261" s="8"/>
      <c r="N1261">
        <f>VLOOKUP(B1261,Customers!A:J,7,0)</f>
        <v>25</v>
      </c>
      <c r="O1261" t="str">
        <f>VLOOKUP(B1261,Customers!A:J,5,0)</f>
        <v>Los Angeles</v>
      </c>
      <c r="P1261" t="str">
        <f>VLOOKUP(B1261,Customers!A:J,10,0)</f>
        <v>Free</v>
      </c>
      <c r="Q1261" t="str">
        <f>VLOOKUP(B1261,Customers!A:J,8,0)</f>
        <v>Male</v>
      </c>
      <c r="R1261" t="b">
        <f t="shared" si="38"/>
        <v>1</v>
      </c>
      <c r="S1261" s="18">
        <f t="shared" si="39"/>
        <v>45474</v>
      </c>
    </row>
    <row r="1262" spans="1:19" x14ac:dyDescent="0.25">
      <c r="A1262" s="3" t="s">
        <v>2610</v>
      </c>
      <c r="B1262" s="4" t="s">
        <v>511</v>
      </c>
      <c r="C1262" s="14">
        <v>44618</v>
      </c>
      <c r="D1262" s="4" t="s">
        <v>710</v>
      </c>
      <c r="E1262" s="4" t="s">
        <v>711</v>
      </c>
      <c r="F1262" s="4">
        <v>14.99</v>
      </c>
      <c r="G1262" s="4">
        <v>1</v>
      </c>
      <c r="H1262" s="4">
        <v>0</v>
      </c>
      <c r="I1262" s="4">
        <v>14.99</v>
      </c>
      <c r="J1262" s="4">
        <v>14.99</v>
      </c>
      <c r="K1262" s="4" t="s">
        <v>661</v>
      </c>
      <c r="L1262" s="4" t="s">
        <v>739</v>
      </c>
      <c r="M1262" s="5">
        <v>4</v>
      </c>
      <c r="N1262">
        <f>VLOOKUP(B1262,Customers!A:J,7,0)</f>
        <v>20</v>
      </c>
      <c r="O1262" t="str">
        <f>VLOOKUP(B1262,Customers!A:J,5,0)</f>
        <v>San Antonio</v>
      </c>
      <c r="P1262" t="str">
        <f>VLOOKUP(B1262,Customers!A:J,10,0)</f>
        <v>Free</v>
      </c>
      <c r="Q1262" t="str">
        <f>VLOOKUP(B1262,Customers!A:J,8,0)</f>
        <v>Male</v>
      </c>
      <c r="R1262" t="b">
        <f t="shared" si="38"/>
        <v>1</v>
      </c>
      <c r="S1262" s="18">
        <f t="shared" si="39"/>
        <v>44593</v>
      </c>
    </row>
    <row r="1263" spans="1:19" x14ac:dyDescent="0.25">
      <c r="A1263" s="6" t="s">
        <v>2612</v>
      </c>
      <c r="B1263" s="7" t="s">
        <v>511</v>
      </c>
      <c r="C1263" s="15">
        <v>45157</v>
      </c>
      <c r="D1263" s="7" t="s">
        <v>684</v>
      </c>
      <c r="E1263" s="7" t="s">
        <v>702</v>
      </c>
      <c r="F1263" s="7">
        <v>199.99</v>
      </c>
      <c r="G1263" s="7">
        <v>2</v>
      </c>
      <c r="H1263" s="7">
        <v>10</v>
      </c>
      <c r="I1263" s="7">
        <v>179.99</v>
      </c>
      <c r="J1263" s="7">
        <v>359.98</v>
      </c>
      <c r="K1263" s="7" t="s">
        <v>661</v>
      </c>
      <c r="L1263" s="7" t="s">
        <v>656</v>
      </c>
      <c r="M1263" s="8">
        <v>3</v>
      </c>
      <c r="N1263">
        <f>VLOOKUP(B1263,Customers!A:J,7,0)</f>
        <v>20</v>
      </c>
      <c r="O1263" t="str">
        <f>VLOOKUP(B1263,Customers!A:J,5,0)</f>
        <v>San Antonio</v>
      </c>
      <c r="P1263" t="str">
        <f>VLOOKUP(B1263,Customers!A:J,10,0)</f>
        <v>Free</v>
      </c>
      <c r="Q1263" t="str">
        <f>VLOOKUP(B1263,Customers!A:J,8,0)</f>
        <v>Male</v>
      </c>
      <c r="R1263" t="b">
        <f t="shared" si="38"/>
        <v>1</v>
      </c>
      <c r="S1263" s="18">
        <f t="shared" si="39"/>
        <v>45139</v>
      </c>
    </row>
    <row r="1264" spans="1:19" x14ac:dyDescent="0.25">
      <c r="A1264" s="3" t="s">
        <v>2614</v>
      </c>
      <c r="B1264" s="4" t="s">
        <v>511</v>
      </c>
      <c r="C1264" s="14">
        <v>45086</v>
      </c>
      <c r="D1264" s="4" t="s">
        <v>710</v>
      </c>
      <c r="E1264" s="4" t="s">
        <v>730</v>
      </c>
      <c r="F1264" s="4">
        <v>39.99</v>
      </c>
      <c r="G1264" s="4">
        <v>3</v>
      </c>
      <c r="H1264" s="4">
        <v>0</v>
      </c>
      <c r="I1264" s="4">
        <v>39.99</v>
      </c>
      <c r="J1264" s="4">
        <v>119.97</v>
      </c>
      <c r="K1264" s="4" t="s">
        <v>661</v>
      </c>
      <c r="L1264" s="4" t="s">
        <v>785</v>
      </c>
      <c r="M1264" s="5"/>
      <c r="N1264">
        <f>VLOOKUP(B1264,Customers!A:J,7,0)</f>
        <v>20</v>
      </c>
      <c r="O1264" t="str">
        <f>VLOOKUP(B1264,Customers!A:J,5,0)</f>
        <v>San Antonio</v>
      </c>
      <c r="P1264" t="str">
        <f>VLOOKUP(B1264,Customers!A:J,10,0)</f>
        <v>Free</v>
      </c>
      <c r="Q1264" t="str">
        <f>VLOOKUP(B1264,Customers!A:J,8,0)</f>
        <v>Male</v>
      </c>
      <c r="R1264" t="b">
        <f t="shared" si="38"/>
        <v>1</v>
      </c>
      <c r="S1264" s="18">
        <f t="shared" si="39"/>
        <v>45078</v>
      </c>
    </row>
    <row r="1265" spans="1:19" x14ac:dyDescent="0.25">
      <c r="A1265" s="6" t="s">
        <v>2615</v>
      </c>
      <c r="B1265" s="7" t="s">
        <v>511</v>
      </c>
      <c r="C1265" s="15">
        <v>45453</v>
      </c>
      <c r="D1265" s="7" t="s">
        <v>672</v>
      </c>
      <c r="E1265" s="7" t="s">
        <v>803</v>
      </c>
      <c r="F1265" s="7">
        <v>69.989999999999995</v>
      </c>
      <c r="G1265" s="7">
        <v>1</v>
      </c>
      <c r="H1265" s="7">
        <v>0</v>
      </c>
      <c r="I1265" s="7">
        <v>69.989999999999995</v>
      </c>
      <c r="J1265" s="7">
        <v>69.989999999999995</v>
      </c>
      <c r="K1265" s="7" t="s">
        <v>655</v>
      </c>
      <c r="L1265" s="7" t="s">
        <v>656</v>
      </c>
      <c r="M1265" s="8"/>
      <c r="N1265">
        <f>VLOOKUP(B1265,Customers!A:J,7,0)</f>
        <v>20</v>
      </c>
      <c r="O1265" t="str">
        <f>VLOOKUP(B1265,Customers!A:J,5,0)</f>
        <v>San Antonio</v>
      </c>
      <c r="P1265" t="str">
        <f>VLOOKUP(B1265,Customers!A:J,10,0)</f>
        <v>Free</v>
      </c>
      <c r="Q1265" t="str">
        <f>VLOOKUP(B1265,Customers!A:J,8,0)</f>
        <v>Male</v>
      </c>
      <c r="R1265" t="b">
        <f t="shared" si="38"/>
        <v>1</v>
      </c>
      <c r="S1265" s="18">
        <f t="shared" si="39"/>
        <v>45444</v>
      </c>
    </row>
    <row r="1266" spans="1:19" x14ac:dyDescent="0.25">
      <c r="A1266" s="3" t="s">
        <v>2617</v>
      </c>
      <c r="B1266" s="4" t="s">
        <v>511</v>
      </c>
      <c r="C1266" s="14">
        <v>45334</v>
      </c>
      <c r="D1266" s="4" t="s">
        <v>659</v>
      </c>
      <c r="E1266" s="4" t="s">
        <v>664</v>
      </c>
      <c r="F1266" s="4">
        <v>24.99</v>
      </c>
      <c r="G1266" s="4">
        <v>2</v>
      </c>
      <c r="H1266" s="4">
        <v>0</v>
      </c>
      <c r="I1266" s="4">
        <v>24.99</v>
      </c>
      <c r="J1266" s="4">
        <v>49.98</v>
      </c>
      <c r="K1266" s="4" t="s">
        <v>661</v>
      </c>
      <c r="L1266" s="4" t="s">
        <v>656</v>
      </c>
      <c r="M1266" s="5"/>
      <c r="N1266">
        <f>VLOOKUP(B1266,Customers!A:J,7,0)</f>
        <v>20</v>
      </c>
      <c r="O1266" t="str">
        <f>VLOOKUP(B1266,Customers!A:J,5,0)</f>
        <v>San Antonio</v>
      </c>
      <c r="P1266" t="str">
        <f>VLOOKUP(B1266,Customers!A:J,10,0)</f>
        <v>Free</v>
      </c>
      <c r="Q1266" t="str">
        <f>VLOOKUP(B1266,Customers!A:J,8,0)</f>
        <v>Male</v>
      </c>
      <c r="R1266" t="b">
        <f t="shared" si="38"/>
        <v>1</v>
      </c>
      <c r="S1266" s="18">
        <f t="shared" si="39"/>
        <v>45323</v>
      </c>
    </row>
    <row r="1267" spans="1:19" x14ac:dyDescent="0.25">
      <c r="A1267" s="6" t="s">
        <v>2619</v>
      </c>
      <c r="B1267" s="7" t="s">
        <v>511</v>
      </c>
      <c r="C1267" s="15">
        <v>44699</v>
      </c>
      <c r="D1267" s="7" t="s">
        <v>672</v>
      </c>
      <c r="E1267" s="7" t="s">
        <v>735</v>
      </c>
      <c r="F1267" s="7">
        <v>44.99</v>
      </c>
      <c r="G1267" s="7">
        <v>1</v>
      </c>
      <c r="H1267" s="7">
        <v>10</v>
      </c>
      <c r="I1267" s="7">
        <v>40.49</v>
      </c>
      <c r="J1267" s="7">
        <v>40.49</v>
      </c>
      <c r="K1267" s="7" t="s">
        <v>655</v>
      </c>
      <c r="L1267" s="7" t="s">
        <v>656</v>
      </c>
      <c r="M1267" s="8">
        <v>4</v>
      </c>
      <c r="N1267">
        <f>VLOOKUP(B1267,Customers!A:J,7,0)</f>
        <v>20</v>
      </c>
      <c r="O1267" t="str">
        <f>VLOOKUP(B1267,Customers!A:J,5,0)</f>
        <v>San Antonio</v>
      </c>
      <c r="P1267" t="str">
        <f>VLOOKUP(B1267,Customers!A:J,10,0)</f>
        <v>Free</v>
      </c>
      <c r="Q1267" t="str">
        <f>VLOOKUP(B1267,Customers!A:J,8,0)</f>
        <v>Male</v>
      </c>
      <c r="R1267" t="b">
        <f t="shared" si="38"/>
        <v>1</v>
      </c>
      <c r="S1267" s="18">
        <f t="shared" si="39"/>
        <v>44682</v>
      </c>
    </row>
    <row r="1268" spans="1:19" x14ac:dyDescent="0.25">
      <c r="A1268" s="3" t="s">
        <v>2621</v>
      </c>
      <c r="B1268" s="4" t="s">
        <v>511</v>
      </c>
      <c r="C1268" s="14">
        <v>44658</v>
      </c>
      <c r="D1268" s="4" t="s">
        <v>710</v>
      </c>
      <c r="E1268" s="4" t="s">
        <v>721</v>
      </c>
      <c r="F1268" s="4">
        <v>24.99</v>
      </c>
      <c r="G1268" s="4">
        <v>3</v>
      </c>
      <c r="H1268" s="4">
        <v>10</v>
      </c>
      <c r="I1268" s="4">
        <v>22.49</v>
      </c>
      <c r="J1268" s="4">
        <v>67.47</v>
      </c>
      <c r="K1268" s="4" t="s">
        <v>675</v>
      </c>
      <c r="L1268" s="4" t="s">
        <v>656</v>
      </c>
      <c r="M1268" s="5"/>
      <c r="N1268">
        <f>VLOOKUP(B1268,Customers!A:J,7,0)</f>
        <v>20</v>
      </c>
      <c r="O1268" t="str">
        <f>VLOOKUP(B1268,Customers!A:J,5,0)</f>
        <v>San Antonio</v>
      </c>
      <c r="P1268" t="str">
        <f>VLOOKUP(B1268,Customers!A:J,10,0)</f>
        <v>Free</v>
      </c>
      <c r="Q1268" t="str">
        <f>VLOOKUP(B1268,Customers!A:J,8,0)</f>
        <v>Male</v>
      </c>
      <c r="R1268" t="b">
        <f t="shared" si="38"/>
        <v>1</v>
      </c>
      <c r="S1268" s="18">
        <f t="shared" si="39"/>
        <v>44652</v>
      </c>
    </row>
    <row r="1269" spans="1:19" x14ac:dyDescent="0.25">
      <c r="A1269" s="6" t="s">
        <v>2622</v>
      </c>
      <c r="B1269" s="7" t="s">
        <v>511</v>
      </c>
      <c r="C1269" s="15">
        <v>45313</v>
      </c>
      <c r="D1269" s="7" t="s">
        <v>672</v>
      </c>
      <c r="E1269" s="7" t="s">
        <v>803</v>
      </c>
      <c r="F1269" s="7">
        <v>69.989999999999995</v>
      </c>
      <c r="G1269" s="7">
        <v>2</v>
      </c>
      <c r="H1269" s="7">
        <v>0</v>
      </c>
      <c r="I1269" s="7">
        <v>69.989999999999995</v>
      </c>
      <c r="J1269" s="7">
        <v>139.97999999999999</v>
      </c>
      <c r="K1269" s="7" t="s">
        <v>669</v>
      </c>
      <c r="L1269" s="7" t="s">
        <v>656</v>
      </c>
      <c r="M1269" s="8"/>
      <c r="N1269">
        <f>VLOOKUP(B1269,Customers!A:J,7,0)</f>
        <v>20</v>
      </c>
      <c r="O1269" t="str">
        <f>VLOOKUP(B1269,Customers!A:J,5,0)</f>
        <v>San Antonio</v>
      </c>
      <c r="P1269" t="str">
        <f>VLOOKUP(B1269,Customers!A:J,10,0)</f>
        <v>Free</v>
      </c>
      <c r="Q1269" t="str">
        <f>VLOOKUP(B1269,Customers!A:J,8,0)</f>
        <v>Male</v>
      </c>
      <c r="R1269" t="b">
        <f t="shared" si="38"/>
        <v>1</v>
      </c>
      <c r="S1269" s="18">
        <f t="shared" si="39"/>
        <v>45292</v>
      </c>
    </row>
    <row r="1270" spans="1:19" x14ac:dyDescent="0.25">
      <c r="A1270" s="3" t="s">
        <v>2623</v>
      </c>
      <c r="B1270" s="4" t="s">
        <v>511</v>
      </c>
      <c r="C1270" s="14">
        <v>45422</v>
      </c>
      <c r="D1270" s="4" t="s">
        <v>684</v>
      </c>
      <c r="E1270" s="4" t="s">
        <v>685</v>
      </c>
      <c r="F1270" s="4">
        <v>49.99</v>
      </c>
      <c r="G1270" s="4">
        <v>1</v>
      </c>
      <c r="H1270" s="4">
        <v>0</v>
      </c>
      <c r="I1270" s="4">
        <v>49.99</v>
      </c>
      <c r="J1270" s="4">
        <v>49.99</v>
      </c>
      <c r="K1270" s="4" t="s">
        <v>669</v>
      </c>
      <c r="L1270" s="4" t="s">
        <v>656</v>
      </c>
      <c r="M1270" s="5">
        <v>5</v>
      </c>
      <c r="N1270">
        <f>VLOOKUP(B1270,Customers!A:J,7,0)</f>
        <v>20</v>
      </c>
      <c r="O1270" t="str">
        <f>VLOOKUP(B1270,Customers!A:J,5,0)</f>
        <v>San Antonio</v>
      </c>
      <c r="P1270" t="str">
        <f>VLOOKUP(B1270,Customers!A:J,10,0)</f>
        <v>Free</v>
      </c>
      <c r="Q1270" t="str">
        <f>VLOOKUP(B1270,Customers!A:J,8,0)</f>
        <v>Male</v>
      </c>
      <c r="R1270" t="b">
        <f t="shared" si="38"/>
        <v>1</v>
      </c>
      <c r="S1270" s="18">
        <f t="shared" si="39"/>
        <v>45413</v>
      </c>
    </row>
    <row r="1271" spans="1:19" x14ac:dyDescent="0.25">
      <c r="A1271" s="6" t="s">
        <v>2624</v>
      </c>
      <c r="B1271" s="7" t="s">
        <v>511</v>
      </c>
      <c r="C1271" s="15">
        <v>44566</v>
      </c>
      <c r="D1271" s="7" t="s">
        <v>710</v>
      </c>
      <c r="E1271" s="7" t="s">
        <v>744</v>
      </c>
      <c r="F1271" s="7">
        <v>29.99</v>
      </c>
      <c r="G1271" s="7">
        <v>4</v>
      </c>
      <c r="H1271" s="7">
        <v>5</v>
      </c>
      <c r="I1271" s="7">
        <v>28.49</v>
      </c>
      <c r="J1271" s="7">
        <v>113.96</v>
      </c>
      <c r="K1271" s="7" t="s">
        <v>675</v>
      </c>
      <c r="L1271" s="7" t="s">
        <v>656</v>
      </c>
      <c r="M1271" s="8">
        <v>4</v>
      </c>
      <c r="N1271">
        <f>VLOOKUP(B1271,Customers!A:J,7,0)</f>
        <v>20</v>
      </c>
      <c r="O1271" t="str">
        <f>VLOOKUP(B1271,Customers!A:J,5,0)</f>
        <v>San Antonio</v>
      </c>
      <c r="P1271" t="str">
        <f>VLOOKUP(B1271,Customers!A:J,10,0)</f>
        <v>Free</v>
      </c>
      <c r="Q1271" t="str">
        <f>VLOOKUP(B1271,Customers!A:J,8,0)</f>
        <v>Male</v>
      </c>
      <c r="R1271" t="b">
        <f t="shared" si="38"/>
        <v>1</v>
      </c>
      <c r="S1271" s="18">
        <f t="shared" si="39"/>
        <v>44562</v>
      </c>
    </row>
    <row r="1272" spans="1:19" x14ac:dyDescent="0.25">
      <c r="A1272" s="3" t="s">
        <v>2625</v>
      </c>
      <c r="B1272" s="4" t="s">
        <v>511</v>
      </c>
      <c r="C1272" s="14">
        <v>45236</v>
      </c>
      <c r="D1272" s="4" t="s">
        <v>672</v>
      </c>
      <c r="E1272" s="4" t="s">
        <v>735</v>
      </c>
      <c r="F1272" s="4">
        <v>44.99</v>
      </c>
      <c r="G1272" s="4">
        <v>3</v>
      </c>
      <c r="H1272" s="4">
        <v>0</v>
      </c>
      <c r="I1272" s="4">
        <v>44.99</v>
      </c>
      <c r="J1272" s="4">
        <v>134.97</v>
      </c>
      <c r="K1272" s="4" t="s">
        <v>655</v>
      </c>
      <c r="L1272" s="4" t="s">
        <v>656</v>
      </c>
      <c r="M1272" s="5">
        <v>5</v>
      </c>
      <c r="N1272">
        <f>VLOOKUP(B1272,Customers!A:J,7,0)</f>
        <v>20</v>
      </c>
      <c r="O1272" t="str">
        <f>VLOOKUP(B1272,Customers!A:J,5,0)</f>
        <v>San Antonio</v>
      </c>
      <c r="P1272" t="str">
        <f>VLOOKUP(B1272,Customers!A:J,10,0)</f>
        <v>Free</v>
      </c>
      <c r="Q1272" t="str">
        <f>VLOOKUP(B1272,Customers!A:J,8,0)</f>
        <v>Male</v>
      </c>
      <c r="R1272" t="b">
        <f t="shared" si="38"/>
        <v>1</v>
      </c>
      <c r="S1272" s="18">
        <f t="shared" si="39"/>
        <v>45231</v>
      </c>
    </row>
    <row r="1273" spans="1:19" x14ac:dyDescent="0.25">
      <c r="A1273" s="6" t="s">
        <v>2626</v>
      </c>
      <c r="B1273" s="7" t="s">
        <v>511</v>
      </c>
      <c r="C1273" s="15">
        <v>45154</v>
      </c>
      <c r="D1273" s="7" t="s">
        <v>659</v>
      </c>
      <c r="E1273" s="7" t="s">
        <v>820</v>
      </c>
      <c r="F1273" s="7">
        <v>39.99</v>
      </c>
      <c r="G1273" s="7">
        <v>2</v>
      </c>
      <c r="H1273" s="7">
        <v>5</v>
      </c>
      <c r="I1273" s="7">
        <v>37.99</v>
      </c>
      <c r="J1273" s="7">
        <v>75.98</v>
      </c>
      <c r="K1273" s="7" t="s">
        <v>669</v>
      </c>
      <c r="L1273" s="7" t="s">
        <v>656</v>
      </c>
      <c r="M1273" s="8"/>
      <c r="N1273">
        <f>VLOOKUP(B1273,Customers!A:J,7,0)</f>
        <v>20</v>
      </c>
      <c r="O1273" t="str">
        <f>VLOOKUP(B1273,Customers!A:J,5,0)</f>
        <v>San Antonio</v>
      </c>
      <c r="P1273" t="str">
        <f>VLOOKUP(B1273,Customers!A:J,10,0)</f>
        <v>Free</v>
      </c>
      <c r="Q1273" t="str">
        <f>VLOOKUP(B1273,Customers!A:J,8,0)</f>
        <v>Male</v>
      </c>
      <c r="R1273" t="b">
        <f t="shared" si="38"/>
        <v>1</v>
      </c>
      <c r="S1273" s="18">
        <f t="shared" si="39"/>
        <v>45139</v>
      </c>
    </row>
    <row r="1274" spans="1:19" x14ac:dyDescent="0.25">
      <c r="A1274" s="3" t="s">
        <v>2627</v>
      </c>
      <c r="B1274" s="4" t="s">
        <v>511</v>
      </c>
      <c r="C1274" s="14">
        <v>44713</v>
      </c>
      <c r="D1274" s="4" t="s">
        <v>667</v>
      </c>
      <c r="E1274" s="4" t="s">
        <v>714</v>
      </c>
      <c r="F1274" s="4">
        <v>44.99</v>
      </c>
      <c r="G1274" s="4">
        <v>1</v>
      </c>
      <c r="H1274" s="4">
        <v>5</v>
      </c>
      <c r="I1274" s="4">
        <v>42.74</v>
      </c>
      <c r="J1274" s="4">
        <v>42.74</v>
      </c>
      <c r="K1274" s="4" t="s">
        <v>661</v>
      </c>
      <c r="L1274" s="4" t="s">
        <v>656</v>
      </c>
      <c r="M1274" s="5">
        <v>5</v>
      </c>
      <c r="N1274">
        <f>VLOOKUP(B1274,Customers!A:J,7,0)</f>
        <v>20</v>
      </c>
      <c r="O1274" t="str">
        <f>VLOOKUP(B1274,Customers!A:J,5,0)</f>
        <v>San Antonio</v>
      </c>
      <c r="P1274" t="str">
        <f>VLOOKUP(B1274,Customers!A:J,10,0)</f>
        <v>Free</v>
      </c>
      <c r="Q1274" t="str">
        <f>VLOOKUP(B1274,Customers!A:J,8,0)</f>
        <v>Male</v>
      </c>
      <c r="R1274" t="b">
        <f t="shared" si="38"/>
        <v>1</v>
      </c>
      <c r="S1274" s="18">
        <f t="shared" si="39"/>
        <v>44713</v>
      </c>
    </row>
    <row r="1275" spans="1:19" x14ac:dyDescent="0.25">
      <c r="A1275" s="6" t="s">
        <v>2628</v>
      </c>
      <c r="B1275" s="7" t="s">
        <v>514</v>
      </c>
      <c r="C1275" s="15">
        <v>45651</v>
      </c>
      <c r="D1275" s="7" t="s">
        <v>659</v>
      </c>
      <c r="E1275" s="7" t="s">
        <v>820</v>
      </c>
      <c r="F1275" s="7">
        <v>39.99</v>
      </c>
      <c r="G1275" s="7">
        <v>1</v>
      </c>
      <c r="H1275" s="7">
        <v>20</v>
      </c>
      <c r="I1275" s="7">
        <v>31.99</v>
      </c>
      <c r="J1275" s="7">
        <v>31.99</v>
      </c>
      <c r="K1275" s="7" t="s">
        <v>655</v>
      </c>
      <c r="L1275" s="7" t="s">
        <v>656</v>
      </c>
      <c r="M1275" s="8"/>
      <c r="N1275">
        <f>VLOOKUP(B1275,Customers!A:J,7,0)</f>
        <v>61</v>
      </c>
      <c r="O1275" t="str">
        <f>VLOOKUP(B1275,Customers!A:J,5,0)</f>
        <v>Philadelphia</v>
      </c>
      <c r="P1275" t="str">
        <f>VLOOKUP(B1275,Customers!A:J,10,0)</f>
        <v>Silver</v>
      </c>
      <c r="Q1275" t="str">
        <f>VLOOKUP(B1275,Customers!A:J,8,0)</f>
        <v>Male</v>
      </c>
      <c r="R1275" t="b">
        <f t="shared" si="38"/>
        <v>1</v>
      </c>
      <c r="S1275" s="18">
        <f t="shared" si="39"/>
        <v>45627</v>
      </c>
    </row>
    <row r="1276" spans="1:19" x14ac:dyDescent="0.25">
      <c r="A1276" s="3" t="s">
        <v>2629</v>
      </c>
      <c r="B1276" s="4" t="s">
        <v>514</v>
      </c>
      <c r="C1276" s="14">
        <v>45642</v>
      </c>
      <c r="D1276" s="4" t="s">
        <v>710</v>
      </c>
      <c r="E1276" s="4" t="s">
        <v>711</v>
      </c>
      <c r="F1276" s="4">
        <v>14.99</v>
      </c>
      <c r="G1276" s="4">
        <v>2</v>
      </c>
      <c r="H1276" s="4">
        <v>5</v>
      </c>
      <c r="I1276" s="4">
        <v>14.24</v>
      </c>
      <c r="J1276" s="4">
        <v>28.48</v>
      </c>
      <c r="K1276" s="4" t="s">
        <v>675</v>
      </c>
      <c r="L1276" s="4" t="s">
        <v>656</v>
      </c>
      <c r="M1276" s="5">
        <v>5</v>
      </c>
      <c r="N1276">
        <f>VLOOKUP(B1276,Customers!A:J,7,0)</f>
        <v>61</v>
      </c>
      <c r="O1276" t="str">
        <f>VLOOKUP(B1276,Customers!A:J,5,0)</f>
        <v>Philadelphia</v>
      </c>
      <c r="P1276" t="str">
        <f>VLOOKUP(B1276,Customers!A:J,10,0)</f>
        <v>Silver</v>
      </c>
      <c r="Q1276" t="str">
        <f>VLOOKUP(B1276,Customers!A:J,8,0)</f>
        <v>Male</v>
      </c>
      <c r="R1276" t="b">
        <f t="shared" si="38"/>
        <v>1</v>
      </c>
      <c r="S1276" s="18">
        <f t="shared" si="39"/>
        <v>45627</v>
      </c>
    </row>
    <row r="1277" spans="1:19" x14ac:dyDescent="0.25">
      <c r="A1277" s="6" t="s">
        <v>2631</v>
      </c>
      <c r="B1277" s="7" t="s">
        <v>514</v>
      </c>
      <c r="C1277" s="15">
        <v>45108</v>
      </c>
      <c r="D1277" s="7" t="s">
        <v>672</v>
      </c>
      <c r="E1277" s="7" t="s">
        <v>673</v>
      </c>
      <c r="F1277" s="7">
        <v>24.99</v>
      </c>
      <c r="G1277" s="7">
        <v>4</v>
      </c>
      <c r="H1277" s="7">
        <v>20</v>
      </c>
      <c r="I1277" s="7">
        <v>19.989999999999998</v>
      </c>
      <c r="J1277" s="7">
        <v>79.959999999999994</v>
      </c>
      <c r="K1277" s="7" t="s">
        <v>675</v>
      </c>
      <c r="L1277" s="7" t="s">
        <v>656</v>
      </c>
      <c r="M1277" s="8">
        <v>5</v>
      </c>
      <c r="N1277">
        <f>VLOOKUP(B1277,Customers!A:J,7,0)</f>
        <v>61</v>
      </c>
      <c r="O1277" t="str">
        <f>VLOOKUP(B1277,Customers!A:J,5,0)</f>
        <v>Philadelphia</v>
      </c>
      <c r="P1277" t="str">
        <f>VLOOKUP(B1277,Customers!A:J,10,0)</f>
        <v>Silver</v>
      </c>
      <c r="Q1277" t="str">
        <f>VLOOKUP(B1277,Customers!A:J,8,0)</f>
        <v>Male</v>
      </c>
      <c r="R1277" t="b">
        <f t="shared" si="38"/>
        <v>1</v>
      </c>
      <c r="S1277" s="18">
        <f t="shared" si="39"/>
        <v>45108</v>
      </c>
    </row>
    <row r="1278" spans="1:19" x14ac:dyDescent="0.25">
      <c r="A1278" s="3" t="s">
        <v>2632</v>
      </c>
      <c r="B1278" s="4" t="s">
        <v>514</v>
      </c>
      <c r="C1278" s="14">
        <v>45589</v>
      </c>
      <c r="D1278" s="4" t="s">
        <v>672</v>
      </c>
      <c r="E1278" s="4" t="s">
        <v>735</v>
      </c>
      <c r="F1278" s="4">
        <v>44.99</v>
      </c>
      <c r="G1278" s="4">
        <v>2</v>
      </c>
      <c r="H1278" s="4">
        <v>0</v>
      </c>
      <c r="I1278" s="4">
        <v>44.99</v>
      </c>
      <c r="J1278" s="4">
        <v>89.98</v>
      </c>
      <c r="K1278" s="4" t="s">
        <v>675</v>
      </c>
      <c r="L1278" s="4" t="s">
        <v>656</v>
      </c>
      <c r="M1278" s="5">
        <v>4</v>
      </c>
      <c r="N1278">
        <f>VLOOKUP(B1278,Customers!A:J,7,0)</f>
        <v>61</v>
      </c>
      <c r="O1278" t="str">
        <f>VLOOKUP(B1278,Customers!A:J,5,0)</f>
        <v>Philadelphia</v>
      </c>
      <c r="P1278" t="str">
        <f>VLOOKUP(B1278,Customers!A:J,10,0)</f>
        <v>Silver</v>
      </c>
      <c r="Q1278" t="str">
        <f>VLOOKUP(B1278,Customers!A:J,8,0)</f>
        <v>Male</v>
      </c>
      <c r="R1278" t="b">
        <f t="shared" si="38"/>
        <v>1</v>
      </c>
      <c r="S1278" s="18">
        <f t="shared" si="39"/>
        <v>45566</v>
      </c>
    </row>
    <row r="1279" spans="1:19" x14ac:dyDescent="0.25">
      <c r="A1279" s="6" t="s">
        <v>2633</v>
      </c>
      <c r="B1279" s="7" t="s">
        <v>514</v>
      </c>
      <c r="C1279" s="15">
        <v>44959</v>
      </c>
      <c r="D1279" s="7" t="s">
        <v>667</v>
      </c>
      <c r="E1279" s="7" t="s">
        <v>696</v>
      </c>
      <c r="F1279" s="7">
        <v>59.99</v>
      </c>
      <c r="G1279" s="7">
        <v>4</v>
      </c>
      <c r="H1279" s="7">
        <v>0</v>
      </c>
      <c r="I1279" s="7">
        <v>59.99</v>
      </c>
      <c r="J1279" s="7">
        <v>239.96</v>
      </c>
      <c r="K1279" s="7" t="s">
        <v>655</v>
      </c>
      <c r="L1279" s="7" t="s">
        <v>656</v>
      </c>
      <c r="M1279" s="8"/>
      <c r="N1279">
        <f>VLOOKUP(B1279,Customers!A:J,7,0)</f>
        <v>61</v>
      </c>
      <c r="O1279" t="str">
        <f>VLOOKUP(B1279,Customers!A:J,5,0)</f>
        <v>Philadelphia</v>
      </c>
      <c r="P1279" t="str">
        <f>VLOOKUP(B1279,Customers!A:J,10,0)</f>
        <v>Silver</v>
      </c>
      <c r="Q1279" t="str">
        <f>VLOOKUP(B1279,Customers!A:J,8,0)</f>
        <v>Male</v>
      </c>
      <c r="R1279" t="b">
        <f t="shared" si="38"/>
        <v>1</v>
      </c>
      <c r="S1279" s="18">
        <f t="shared" si="39"/>
        <v>44958</v>
      </c>
    </row>
    <row r="1280" spans="1:19" x14ac:dyDescent="0.25">
      <c r="A1280" s="3" t="s">
        <v>2634</v>
      </c>
      <c r="B1280" s="4" t="s">
        <v>514</v>
      </c>
      <c r="C1280" s="14">
        <v>45001</v>
      </c>
      <c r="D1280" s="4" t="s">
        <v>680</v>
      </c>
      <c r="E1280" s="4" t="s">
        <v>749</v>
      </c>
      <c r="F1280" s="4">
        <v>14.99</v>
      </c>
      <c r="G1280" s="4">
        <v>3</v>
      </c>
      <c r="H1280" s="4">
        <v>20</v>
      </c>
      <c r="I1280" s="4">
        <v>11.99</v>
      </c>
      <c r="J1280" s="4">
        <v>35.97</v>
      </c>
      <c r="K1280" s="4" t="s">
        <v>675</v>
      </c>
      <c r="L1280" s="4" t="s">
        <v>656</v>
      </c>
      <c r="M1280" s="5">
        <v>5</v>
      </c>
      <c r="N1280">
        <f>VLOOKUP(B1280,Customers!A:J,7,0)</f>
        <v>61</v>
      </c>
      <c r="O1280" t="str">
        <f>VLOOKUP(B1280,Customers!A:J,5,0)</f>
        <v>Philadelphia</v>
      </c>
      <c r="P1280" t="str">
        <f>VLOOKUP(B1280,Customers!A:J,10,0)</f>
        <v>Silver</v>
      </c>
      <c r="Q1280" t="str">
        <f>VLOOKUP(B1280,Customers!A:J,8,0)</f>
        <v>Male</v>
      </c>
      <c r="R1280" t="b">
        <f t="shared" si="38"/>
        <v>1</v>
      </c>
      <c r="S1280" s="18">
        <f t="shared" si="39"/>
        <v>44986</v>
      </c>
    </row>
    <row r="1281" spans="1:19" x14ac:dyDescent="0.25">
      <c r="A1281" s="6" t="s">
        <v>2635</v>
      </c>
      <c r="B1281" s="7" t="s">
        <v>514</v>
      </c>
      <c r="C1281" s="15">
        <v>44811</v>
      </c>
      <c r="D1281" s="7" t="s">
        <v>680</v>
      </c>
      <c r="E1281" s="7" t="s">
        <v>708</v>
      </c>
      <c r="F1281" s="7">
        <v>24.99</v>
      </c>
      <c r="G1281" s="7">
        <v>3</v>
      </c>
      <c r="H1281" s="7">
        <v>0</v>
      </c>
      <c r="I1281" s="7">
        <v>24.99</v>
      </c>
      <c r="J1281" s="7">
        <v>74.97</v>
      </c>
      <c r="K1281" s="7" t="s">
        <v>669</v>
      </c>
      <c r="L1281" s="7" t="s">
        <v>656</v>
      </c>
      <c r="M1281" s="8">
        <v>3</v>
      </c>
      <c r="N1281">
        <f>VLOOKUP(B1281,Customers!A:J,7,0)</f>
        <v>61</v>
      </c>
      <c r="O1281" t="str">
        <f>VLOOKUP(B1281,Customers!A:J,5,0)</f>
        <v>Philadelphia</v>
      </c>
      <c r="P1281" t="str">
        <f>VLOOKUP(B1281,Customers!A:J,10,0)</f>
        <v>Silver</v>
      </c>
      <c r="Q1281" t="str">
        <f>VLOOKUP(B1281,Customers!A:J,8,0)</f>
        <v>Male</v>
      </c>
      <c r="R1281" t="b">
        <f t="shared" si="38"/>
        <v>1</v>
      </c>
      <c r="S1281" s="18">
        <f t="shared" si="39"/>
        <v>44805</v>
      </c>
    </row>
    <row r="1282" spans="1:19" x14ac:dyDescent="0.25">
      <c r="A1282" s="3" t="s">
        <v>2636</v>
      </c>
      <c r="B1282" s="4" t="s">
        <v>514</v>
      </c>
      <c r="C1282" s="14">
        <v>45585</v>
      </c>
      <c r="D1282" s="4" t="s">
        <v>710</v>
      </c>
      <c r="E1282" s="4" t="s">
        <v>730</v>
      </c>
      <c r="F1282" s="4">
        <v>39.99</v>
      </c>
      <c r="G1282" s="4">
        <v>1</v>
      </c>
      <c r="H1282" s="4">
        <v>0</v>
      </c>
      <c r="I1282" s="4">
        <v>39.99</v>
      </c>
      <c r="J1282" s="4">
        <v>39.99</v>
      </c>
      <c r="K1282" s="4" t="s">
        <v>675</v>
      </c>
      <c r="L1282" s="4" t="s">
        <v>739</v>
      </c>
      <c r="M1282" s="5">
        <v>5</v>
      </c>
      <c r="N1282">
        <f>VLOOKUP(B1282,Customers!A:J,7,0)</f>
        <v>61</v>
      </c>
      <c r="O1282" t="str">
        <f>VLOOKUP(B1282,Customers!A:J,5,0)</f>
        <v>Philadelphia</v>
      </c>
      <c r="P1282" t="str">
        <f>VLOOKUP(B1282,Customers!A:J,10,0)</f>
        <v>Silver</v>
      </c>
      <c r="Q1282" t="str">
        <f>VLOOKUP(B1282,Customers!A:J,8,0)</f>
        <v>Male</v>
      </c>
      <c r="R1282" t="b">
        <f t="shared" si="38"/>
        <v>1</v>
      </c>
      <c r="S1282" s="18">
        <f t="shared" si="39"/>
        <v>45566</v>
      </c>
    </row>
    <row r="1283" spans="1:19" x14ac:dyDescent="0.25">
      <c r="A1283" s="6" t="s">
        <v>2637</v>
      </c>
      <c r="B1283" s="7" t="s">
        <v>514</v>
      </c>
      <c r="C1283" s="15">
        <v>45225</v>
      </c>
      <c r="D1283" s="7" t="s">
        <v>684</v>
      </c>
      <c r="E1283" s="7" t="s">
        <v>702</v>
      </c>
      <c r="F1283" s="7">
        <v>199.99</v>
      </c>
      <c r="G1283" s="7">
        <v>1</v>
      </c>
      <c r="H1283" s="7">
        <v>15</v>
      </c>
      <c r="I1283" s="7">
        <v>169.99</v>
      </c>
      <c r="J1283" s="7">
        <v>169.99</v>
      </c>
      <c r="K1283" s="7" t="s">
        <v>661</v>
      </c>
      <c r="L1283" s="7" t="s">
        <v>656</v>
      </c>
      <c r="M1283" s="8">
        <v>5</v>
      </c>
      <c r="N1283">
        <f>VLOOKUP(B1283,Customers!A:J,7,0)</f>
        <v>61</v>
      </c>
      <c r="O1283" t="str">
        <f>VLOOKUP(B1283,Customers!A:J,5,0)</f>
        <v>Philadelphia</v>
      </c>
      <c r="P1283" t="str">
        <f>VLOOKUP(B1283,Customers!A:J,10,0)</f>
        <v>Silver</v>
      </c>
      <c r="Q1283" t="str">
        <f>VLOOKUP(B1283,Customers!A:J,8,0)</f>
        <v>Male</v>
      </c>
      <c r="R1283" t="b">
        <f t="shared" ref="R1283:R1346" si="40">ISNUMBER(C1283)</f>
        <v>1</v>
      </c>
      <c r="S1283" s="18">
        <f t="shared" ref="S1283:S1346" si="41">DATE(YEAR(C1283),MONTH(C1283),1)</f>
        <v>45200</v>
      </c>
    </row>
    <row r="1284" spans="1:19" x14ac:dyDescent="0.25">
      <c r="A1284" s="3" t="s">
        <v>2639</v>
      </c>
      <c r="B1284" s="4" t="s">
        <v>514</v>
      </c>
      <c r="C1284" s="14">
        <v>44798</v>
      </c>
      <c r="D1284" s="4" t="s">
        <v>653</v>
      </c>
      <c r="E1284" s="4" t="s">
        <v>654</v>
      </c>
      <c r="F1284" s="4">
        <v>39.99</v>
      </c>
      <c r="G1284" s="4">
        <v>4</v>
      </c>
      <c r="H1284" s="4">
        <v>0</v>
      </c>
      <c r="I1284" s="4">
        <v>39.99</v>
      </c>
      <c r="J1284" s="4">
        <v>159.96</v>
      </c>
      <c r="K1284" s="4" t="s">
        <v>669</v>
      </c>
      <c r="L1284" s="4" t="s">
        <v>693</v>
      </c>
      <c r="M1284" s="5">
        <v>5</v>
      </c>
      <c r="N1284">
        <f>VLOOKUP(B1284,Customers!A:J,7,0)</f>
        <v>61</v>
      </c>
      <c r="O1284" t="str">
        <f>VLOOKUP(B1284,Customers!A:J,5,0)</f>
        <v>Philadelphia</v>
      </c>
      <c r="P1284" t="str">
        <f>VLOOKUP(B1284,Customers!A:J,10,0)</f>
        <v>Silver</v>
      </c>
      <c r="Q1284" t="str">
        <f>VLOOKUP(B1284,Customers!A:J,8,0)</f>
        <v>Male</v>
      </c>
      <c r="R1284" t="b">
        <f t="shared" si="40"/>
        <v>1</v>
      </c>
      <c r="S1284" s="18">
        <f t="shared" si="41"/>
        <v>44774</v>
      </c>
    </row>
    <row r="1285" spans="1:19" x14ac:dyDescent="0.25">
      <c r="A1285" s="6" t="s">
        <v>2640</v>
      </c>
      <c r="B1285" s="7" t="s">
        <v>514</v>
      </c>
      <c r="C1285" s="15">
        <v>45481</v>
      </c>
      <c r="D1285" s="7" t="s">
        <v>680</v>
      </c>
      <c r="E1285" s="7" t="s">
        <v>681</v>
      </c>
      <c r="F1285" s="7">
        <v>19.989999999999998</v>
      </c>
      <c r="G1285" s="7">
        <v>3</v>
      </c>
      <c r="H1285" s="7">
        <v>0</v>
      </c>
      <c r="I1285" s="7">
        <v>19.989999999999998</v>
      </c>
      <c r="J1285" s="7">
        <v>59.97</v>
      </c>
      <c r="K1285" s="7" t="s">
        <v>669</v>
      </c>
      <c r="L1285" s="7" t="s">
        <v>656</v>
      </c>
      <c r="M1285" s="8">
        <v>3</v>
      </c>
      <c r="N1285">
        <f>VLOOKUP(B1285,Customers!A:J,7,0)</f>
        <v>61</v>
      </c>
      <c r="O1285" t="str">
        <f>VLOOKUP(B1285,Customers!A:J,5,0)</f>
        <v>Philadelphia</v>
      </c>
      <c r="P1285" t="str">
        <f>VLOOKUP(B1285,Customers!A:J,10,0)</f>
        <v>Silver</v>
      </c>
      <c r="Q1285" t="str">
        <f>VLOOKUP(B1285,Customers!A:J,8,0)</f>
        <v>Male</v>
      </c>
      <c r="R1285" t="b">
        <f t="shared" si="40"/>
        <v>1</v>
      </c>
      <c r="S1285" s="18">
        <f t="shared" si="41"/>
        <v>45474</v>
      </c>
    </row>
    <row r="1286" spans="1:19" x14ac:dyDescent="0.25">
      <c r="A1286" s="3" t="s">
        <v>2642</v>
      </c>
      <c r="B1286" s="4" t="s">
        <v>514</v>
      </c>
      <c r="C1286" s="14">
        <v>45294</v>
      </c>
      <c r="D1286" s="4" t="s">
        <v>710</v>
      </c>
      <c r="E1286" s="4" t="s">
        <v>730</v>
      </c>
      <c r="F1286" s="4">
        <v>39.99</v>
      </c>
      <c r="G1286" s="4">
        <v>1</v>
      </c>
      <c r="H1286" s="4">
        <v>15</v>
      </c>
      <c r="I1286" s="4">
        <v>33.99</v>
      </c>
      <c r="J1286" s="4">
        <v>33.99</v>
      </c>
      <c r="K1286" s="4" t="s">
        <v>682</v>
      </c>
      <c r="L1286" s="4" t="s">
        <v>656</v>
      </c>
      <c r="M1286" s="5">
        <v>4</v>
      </c>
      <c r="N1286">
        <f>VLOOKUP(B1286,Customers!A:J,7,0)</f>
        <v>61</v>
      </c>
      <c r="O1286" t="str">
        <f>VLOOKUP(B1286,Customers!A:J,5,0)</f>
        <v>Philadelphia</v>
      </c>
      <c r="P1286" t="str">
        <f>VLOOKUP(B1286,Customers!A:J,10,0)</f>
        <v>Silver</v>
      </c>
      <c r="Q1286" t="str">
        <f>VLOOKUP(B1286,Customers!A:J,8,0)</f>
        <v>Male</v>
      </c>
      <c r="R1286" t="b">
        <f t="shared" si="40"/>
        <v>1</v>
      </c>
      <c r="S1286" s="18">
        <f t="shared" si="41"/>
        <v>45292</v>
      </c>
    </row>
    <row r="1287" spans="1:19" x14ac:dyDescent="0.25">
      <c r="A1287" s="6" t="s">
        <v>2643</v>
      </c>
      <c r="B1287" s="7" t="s">
        <v>514</v>
      </c>
      <c r="C1287" s="15">
        <v>44660</v>
      </c>
      <c r="D1287" s="7" t="s">
        <v>659</v>
      </c>
      <c r="E1287" s="7" t="s">
        <v>762</v>
      </c>
      <c r="F1287" s="7">
        <v>49.99</v>
      </c>
      <c r="G1287" s="7">
        <v>3</v>
      </c>
      <c r="H1287" s="7">
        <v>0</v>
      </c>
      <c r="I1287" s="7">
        <v>49.99</v>
      </c>
      <c r="J1287" s="7">
        <v>149.97</v>
      </c>
      <c r="K1287" s="7" t="s">
        <v>661</v>
      </c>
      <c r="L1287" s="7" t="s">
        <v>656</v>
      </c>
      <c r="M1287" s="8">
        <v>3</v>
      </c>
      <c r="N1287">
        <f>VLOOKUP(B1287,Customers!A:J,7,0)</f>
        <v>61</v>
      </c>
      <c r="O1287" t="str">
        <f>VLOOKUP(B1287,Customers!A:J,5,0)</f>
        <v>Philadelphia</v>
      </c>
      <c r="P1287" t="str">
        <f>VLOOKUP(B1287,Customers!A:J,10,0)</f>
        <v>Silver</v>
      </c>
      <c r="Q1287" t="str">
        <f>VLOOKUP(B1287,Customers!A:J,8,0)</f>
        <v>Male</v>
      </c>
      <c r="R1287" t="b">
        <f t="shared" si="40"/>
        <v>1</v>
      </c>
      <c r="S1287" s="18">
        <f t="shared" si="41"/>
        <v>44652</v>
      </c>
    </row>
    <row r="1288" spans="1:19" x14ac:dyDescent="0.25">
      <c r="A1288" s="3" t="s">
        <v>2644</v>
      </c>
      <c r="B1288" s="4" t="s">
        <v>514</v>
      </c>
      <c r="C1288" s="14">
        <v>45041</v>
      </c>
      <c r="D1288" s="4" t="s">
        <v>680</v>
      </c>
      <c r="E1288" s="4" t="s">
        <v>688</v>
      </c>
      <c r="F1288" s="4">
        <v>29.99</v>
      </c>
      <c r="G1288" s="4">
        <v>4</v>
      </c>
      <c r="H1288" s="4">
        <v>5</v>
      </c>
      <c r="I1288" s="4">
        <v>28.49</v>
      </c>
      <c r="J1288" s="4">
        <v>113.96</v>
      </c>
      <c r="K1288" s="4" t="s">
        <v>661</v>
      </c>
      <c r="L1288" s="4" t="s">
        <v>656</v>
      </c>
      <c r="M1288" s="5"/>
      <c r="N1288">
        <f>VLOOKUP(B1288,Customers!A:J,7,0)</f>
        <v>61</v>
      </c>
      <c r="O1288" t="str">
        <f>VLOOKUP(B1288,Customers!A:J,5,0)</f>
        <v>Philadelphia</v>
      </c>
      <c r="P1288" t="str">
        <f>VLOOKUP(B1288,Customers!A:J,10,0)</f>
        <v>Silver</v>
      </c>
      <c r="Q1288" t="str">
        <f>VLOOKUP(B1288,Customers!A:J,8,0)</f>
        <v>Male</v>
      </c>
      <c r="R1288" t="b">
        <f t="shared" si="40"/>
        <v>1</v>
      </c>
      <c r="S1288" s="18">
        <f t="shared" si="41"/>
        <v>45017</v>
      </c>
    </row>
    <row r="1289" spans="1:19" x14ac:dyDescent="0.25">
      <c r="A1289" s="6" t="s">
        <v>2645</v>
      </c>
      <c r="B1289" s="7" t="s">
        <v>514</v>
      </c>
      <c r="C1289" s="15">
        <v>45240</v>
      </c>
      <c r="D1289" s="7" t="s">
        <v>667</v>
      </c>
      <c r="E1289" s="7" t="s">
        <v>714</v>
      </c>
      <c r="F1289" s="7">
        <v>44.99</v>
      </c>
      <c r="G1289" s="7">
        <v>2</v>
      </c>
      <c r="H1289" s="7">
        <v>10</v>
      </c>
      <c r="I1289" s="7">
        <v>40.49</v>
      </c>
      <c r="J1289" s="7">
        <v>80.98</v>
      </c>
      <c r="K1289" s="7" t="s">
        <v>661</v>
      </c>
      <c r="L1289" s="7" t="s">
        <v>656</v>
      </c>
      <c r="M1289" s="8">
        <v>4</v>
      </c>
      <c r="N1289">
        <f>VLOOKUP(B1289,Customers!A:J,7,0)</f>
        <v>61</v>
      </c>
      <c r="O1289" t="str">
        <f>VLOOKUP(B1289,Customers!A:J,5,0)</f>
        <v>Philadelphia</v>
      </c>
      <c r="P1289" t="str">
        <f>VLOOKUP(B1289,Customers!A:J,10,0)</f>
        <v>Silver</v>
      </c>
      <c r="Q1289" t="str">
        <f>VLOOKUP(B1289,Customers!A:J,8,0)</f>
        <v>Male</v>
      </c>
      <c r="R1289" t="b">
        <f t="shared" si="40"/>
        <v>1</v>
      </c>
      <c r="S1289" s="18">
        <f t="shared" si="41"/>
        <v>45231</v>
      </c>
    </row>
    <row r="1290" spans="1:19" x14ac:dyDescent="0.25">
      <c r="A1290" s="3" t="s">
        <v>2647</v>
      </c>
      <c r="B1290" s="4" t="s">
        <v>517</v>
      </c>
      <c r="C1290" s="14">
        <v>45440</v>
      </c>
      <c r="D1290" s="4" t="s">
        <v>672</v>
      </c>
      <c r="E1290" s="4" t="s">
        <v>724</v>
      </c>
      <c r="F1290" s="4">
        <v>89.99</v>
      </c>
      <c r="G1290" s="4">
        <v>4</v>
      </c>
      <c r="H1290" s="4">
        <v>0</v>
      </c>
      <c r="I1290" s="4">
        <v>89.99</v>
      </c>
      <c r="J1290" s="4">
        <v>359.96</v>
      </c>
      <c r="K1290" s="4" t="s">
        <v>655</v>
      </c>
      <c r="L1290" s="4" t="s">
        <v>788</v>
      </c>
      <c r="M1290" s="5">
        <v>4</v>
      </c>
      <c r="N1290">
        <f>VLOOKUP(B1290,Customers!A:J,7,0)</f>
        <v>34</v>
      </c>
      <c r="O1290" t="str">
        <f>VLOOKUP(B1290,Customers!A:J,5,0)</f>
        <v>Chicago</v>
      </c>
      <c r="P1290" t="str">
        <f>VLOOKUP(B1290,Customers!A:J,10,0)</f>
        <v>Platinum</v>
      </c>
      <c r="Q1290" t="str">
        <f>VLOOKUP(B1290,Customers!A:J,8,0)</f>
        <v>Male</v>
      </c>
      <c r="R1290" t="b">
        <f t="shared" si="40"/>
        <v>1</v>
      </c>
      <c r="S1290" s="18">
        <f t="shared" si="41"/>
        <v>45413</v>
      </c>
    </row>
    <row r="1291" spans="1:19" x14ac:dyDescent="0.25">
      <c r="A1291" s="6" t="s">
        <v>2649</v>
      </c>
      <c r="B1291" s="7" t="s">
        <v>517</v>
      </c>
      <c r="C1291" s="15">
        <v>44844</v>
      </c>
      <c r="D1291" s="7" t="s">
        <v>672</v>
      </c>
      <c r="E1291" s="7" t="s">
        <v>735</v>
      </c>
      <c r="F1291" s="7">
        <v>44.99</v>
      </c>
      <c r="G1291" s="7">
        <v>3</v>
      </c>
      <c r="H1291" s="7">
        <v>0</v>
      </c>
      <c r="I1291" s="7">
        <v>44.99</v>
      </c>
      <c r="J1291" s="7">
        <v>134.97</v>
      </c>
      <c r="K1291" s="7" t="s">
        <v>661</v>
      </c>
      <c r="L1291" s="7" t="s">
        <v>788</v>
      </c>
      <c r="M1291" s="8"/>
      <c r="N1291">
        <f>VLOOKUP(B1291,Customers!A:J,7,0)</f>
        <v>34</v>
      </c>
      <c r="O1291" t="str">
        <f>VLOOKUP(B1291,Customers!A:J,5,0)</f>
        <v>Chicago</v>
      </c>
      <c r="P1291" t="str">
        <f>VLOOKUP(B1291,Customers!A:J,10,0)</f>
        <v>Platinum</v>
      </c>
      <c r="Q1291" t="str">
        <f>VLOOKUP(B1291,Customers!A:J,8,0)</f>
        <v>Male</v>
      </c>
      <c r="R1291" t="b">
        <f t="shared" si="40"/>
        <v>1</v>
      </c>
      <c r="S1291" s="18">
        <f t="shared" si="41"/>
        <v>44835</v>
      </c>
    </row>
    <row r="1292" spans="1:19" x14ac:dyDescent="0.25">
      <c r="A1292" s="3" t="s">
        <v>2651</v>
      </c>
      <c r="B1292" s="4" t="s">
        <v>517</v>
      </c>
      <c r="C1292" s="14">
        <v>45078</v>
      </c>
      <c r="D1292" s="4" t="s">
        <v>659</v>
      </c>
      <c r="E1292" s="4" t="s">
        <v>820</v>
      </c>
      <c r="F1292" s="4">
        <v>39.99</v>
      </c>
      <c r="G1292" s="4">
        <v>4</v>
      </c>
      <c r="H1292" s="4">
        <v>20</v>
      </c>
      <c r="I1292" s="4">
        <v>31.99</v>
      </c>
      <c r="J1292" s="4">
        <v>127.96</v>
      </c>
      <c r="K1292" s="4" t="s">
        <v>682</v>
      </c>
      <c r="L1292" s="4" t="s">
        <v>656</v>
      </c>
      <c r="M1292" s="5"/>
      <c r="N1292">
        <f>VLOOKUP(B1292,Customers!A:J,7,0)</f>
        <v>34</v>
      </c>
      <c r="O1292" t="str">
        <f>VLOOKUP(B1292,Customers!A:J,5,0)</f>
        <v>Chicago</v>
      </c>
      <c r="P1292" t="str">
        <f>VLOOKUP(B1292,Customers!A:J,10,0)</f>
        <v>Platinum</v>
      </c>
      <c r="Q1292" t="str">
        <f>VLOOKUP(B1292,Customers!A:J,8,0)</f>
        <v>Male</v>
      </c>
      <c r="R1292" t="b">
        <f t="shared" si="40"/>
        <v>1</v>
      </c>
      <c r="S1292" s="18">
        <f t="shared" si="41"/>
        <v>45078</v>
      </c>
    </row>
    <row r="1293" spans="1:19" x14ac:dyDescent="0.25">
      <c r="A1293" s="6" t="s">
        <v>2652</v>
      </c>
      <c r="B1293" s="7" t="s">
        <v>517</v>
      </c>
      <c r="C1293" s="15">
        <v>45002</v>
      </c>
      <c r="D1293" s="7" t="s">
        <v>672</v>
      </c>
      <c r="E1293" s="7" t="s">
        <v>735</v>
      </c>
      <c r="F1293" s="7">
        <v>44.99</v>
      </c>
      <c r="G1293" s="7">
        <v>1</v>
      </c>
      <c r="H1293" s="7">
        <v>5</v>
      </c>
      <c r="I1293" s="7">
        <v>42.74</v>
      </c>
      <c r="J1293" s="7">
        <v>42.74</v>
      </c>
      <c r="K1293" s="7" t="s">
        <v>682</v>
      </c>
      <c r="L1293" s="7" t="s">
        <v>656</v>
      </c>
      <c r="M1293" s="8">
        <v>4</v>
      </c>
      <c r="N1293">
        <f>VLOOKUP(B1293,Customers!A:J,7,0)</f>
        <v>34</v>
      </c>
      <c r="O1293" t="str">
        <f>VLOOKUP(B1293,Customers!A:J,5,0)</f>
        <v>Chicago</v>
      </c>
      <c r="P1293" t="str">
        <f>VLOOKUP(B1293,Customers!A:J,10,0)</f>
        <v>Platinum</v>
      </c>
      <c r="Q1293" t="str">
        <f>VLOOKUP(B1293,Customers!A:J,8,0)</f>
        <v>Male</v>
      </c>
      <c r="R1293" t="b">
        <f t="shared" si="40"/>
        <v>1</v>
      </c>
      <c r="S1293" s="18">
        <f t="shared" si="41"/>
        <v>44986</v>
      </c>
    </row>
    <row r="1294" spans="1:19" x14ac:dyDescent="0.25">
      <c r="A1294" s="3" t="s">
        <v>2653</v>
      </c>
      <c r="B1294" s="4" t="s">
        <v>517</v>
      </c>
      <c r="C1294" s="14">
        <v>44693</v>
      </c>
      <c r="D1294" s="4" t="s">
        <v>680</v>
      </c>
      <c r="E1294" s="4" t="s">
        <v>749</v>
      </c>
      <c r="F1294" s="4">
        <v>14.99</v>
      </c>
      <c r="G1294" s="4">
        <v>4</v>
      </c>
      <c r="H1294" s="4">
        <v>5</v>
      </c>
      <c r="I1294" s="4">
        <v>14.24</v>
      </c>
      <c r="J1294" s="4">
        <v>56.96</v>
      </c>
      <c r="K1294" s="4" t="s">
        <v>655</v>
      </c>
      <c r="L1294" s="4" t="s">
        <v>656</v>
      </c>
      <c r="M1294" s="5">
        <v>4</v>
      </c>
      <c r="N1294">
        <f>VLOOKUP(B1294,Customers!A:J,7,0)</f>
        <v>34</v>
      </c>
      <c r="O1294" t="str">
        <f>VLOOKUP(B1294,Customers!A:J,5,0)</f>
        <v>Chicago</v>
      </c>
      <c r="P1294" t="str">
        <f>VLOOKUP(B1294,Customers!A:J,10,0)</f>
        <v>Platinum</v>
      </c>
      <c r="Q1294" t="str">
        <f>VLOOKUP(B1294,Customers!A:J,8,0)</f>
        <v>Male</v>
      </c>
      <c r="R1294" t="b">
        <f t="shared" si="40"/>
        <v>1</v>
      </c>
      <c r="S1294" s="18">
        <f t="shared" si="41"/>
        <v>44682</v>
      </c>
    </row>
    <row r="1295" spans="1:19" x14ac:dyDescent="0.25">
      <c r="A1295" s="6" t="s">
        <v>2654</v>
      </c>
      <c r="B1295" s="7" t="s">
        <v>517</v>
      </c>
      <c r="C1295" s="15">
        <v>45263</v>
      </c>
      <c r="D1295" s="7" t="s">
        <v>710</v>
      </c>
      <c r="E1295" s="7" t="s">
        <v>744</v>
      </c>
      <c r="F1295" s="7">
        <v>29.99</v>
      </c>
      <c r="G1295" s="7">
        <v>4</v>
      </c>
      <c r="H1295" s="7">
        <v>15</v>
      </c>
      <c r="I1295" s="7">
        <v>25.49</v>
      </c>
      <c r="J1295" s="7">
        <v>101.96</v>
      </c>
      <c r="K1295" s="7" t="s">
        <v>669</v>
      </c>
      <c r="L1295" s="7" t="s">
        <v>785</v>
      </c>
      <c r="M1295" s="8"/>
      <c r="N1295">
        <f>VLOOKUP(B1295,Customers!A:J,7,0)</f>
        <v>34</v>
      </c>
      <c r="O1295" t="str">
        <f>VLOOKUP(B1295,Customers!A:J,5,0)</f>
        <v>Chicago</v>
      </c>
      <c r="P1295" t="str">
        <f>VLOOKUP(B1295,Customers!A:J,10,0)</f>
        <v>Platinum</v>
      </c>
      <c r="Q1295" t="str">
        <f>VLOOKUP(B1295,Customers!A:J,8,0)</f>
        <v>Male</v>
      </c>
      <c r="R1295" t="b">
        <f t="shared" si="40"/>
        <v>1</v>
      </c>
      <c r="S1295" s="18">
        <f t="shared" si="41"/>
        <v>45261</v>
      </c>
    </row>
    <row r="1296" spans="1:19" x14ac:dyDescent="0.25">
      <c r="A1296" s="3" t="s">
        <v>2655</v>
      </c>
      <c r="B1296" s="4" t="s">
        <v>517</v>
      </c>
      <c r="C1296" s="14">
        <v>45536</v>
      </c>
      <c r="D1296" s="4" t="s">
        <v>653</v>
      </c>
      <c r="E1296" s="4" t="s">
        <v>654</v>
      </c>
      <c r="F1296" s="4">
        <v>39.99</v>
      </c>
      <c r="G1296" s="4">
        <v>4</v>
      </c>
      <c r="H1296" s="4">
        <v>10</v>
      </c>
      <c r="I1296" s="4">
        <v>35.99</v>
      </c>
      <c r="J1296" s="4">
        <v>143.96</v>
      </c>
      <c r="K1296" s="4" t="s">
        <v>675</v>
      </c>
      <c r="L1296" s="4" t="s">
        <v>656</v>
      </c>
      <c r="M1296" s="5">
        <v>5</v>
      </c>
      <c r="N1296">
        <f>VLOOKUP(B1296,Customers!A:J,7,0)</f>
        <v>34</v>
      </c>
      <c r="O1296" t="str">
        <f>VLOOKUP(B1296,Customers!A:J,5,0)</f>
        <v>Chicago</v>
      </c>
      <c r="P1296" t="str">
        <f>VLOOKUP(B1296,Customers!A:J,10,0)</f>
        <v>Platinum</v>
      </c>
      <c r="Q1296" t="str">
        <f>VLOOKUP(B1296,Customers!A:J,8,0)</f>
        <v>Male</v>
      </c>
      <c r="R1296" t="b">
        <f t="shared" si="40"/>
        <v>1</v>
      </c>
      <c r="S1296" s="18">
        <f t="shared" si="41"/>
        <v>45536</v>
      </c>
    </row>
    <row r="1297" spans="1:19" x14ac:dyDescent="0.25">
      <c r="A1297" s="6" t="s">
        <v>2656</v>
      </c>
      <c r="B1297" s="7" t="s">
        <v>517</v>
      </c>
      <c r="C1297" s="15">
        <v>44970</v>
      </c>
      <c r="D1297" s="7" t="s">
        <v>653</v>
      </c>
      <c r="E1297" s="7" t="s">
        <v>769</v>
      </c>
      <c r="F1297" s="7">
        <v>49.99</v>
      </c>
      <c r="G1297" s="7">
        <v>3</v>
      </c>
      <c r="H1297" s="7">
        <v>0</v>
      </c>
      <c r="I1297" s="7">
        <v>49.99</v>
      </c>
      <c r="J1297" s="7">
        <v>149.97</v>
      </c>
      <c r="K1297" s="7" t="s">
        <v>655</v>
      </c>
      <c r="L1297" s="7" t="s">
        <v>656</v>
      </c>
      <c r="M1297" s="8">
        <v>5</v>
      </c>
      <c r="N1297">
        <f>VLOOKUP(B1297,Customers!A:J,7,0)</f>
        <v>34</v>
      </c>
      <c r="O1297" t="str">
        <f>VLOOKUP(B1297,Customers!A:J,5,0)</f>
        <v>Chicago</v>
      </c>
      <c r="P1297" t="str">
        <f>VLOOKUP(B1297,Customers!A:J,10,0)</f>
        <v>Platinum</v>
      </c>
      <c r="Q1297" t="str">
        <f>VLOOKUP(B1297,Customers!A:J,8,0)</f>
        <v>Male</v>
      </c>
      <c r="R1297" t="b">
        <f t="shared" si="40"/>
        <v>1</v>
      </c>
      <c r="S1297" s="18">
        <f t="shared" si="41"/>
        <v>44958</v>
      </c>
    </row>
    <row r="1298" spans="1:19" x14ac:dyDescent="0.25">
      <c r="A1298" s="3" t="s">
        <v>2658</v>
      </c>
      <c r="B1298" s="4" t="s">
        <v>517</v>
      </c>
      <c r="C1298" s="14">
        <v>44588</v>
      </c>
      <c r="D1298" s="4" t="s">
        <v>659</v>
      </c>
      <c r="E1298" s="4" t="s">
        <v>664</v>
      </c>
      <c r="F1298" s="4">
        <v>24.99</v>
      </c>
      <c r="G1298" s="4">
        <v>2</v>
      </c>
      <c r="H1298" s="4">
        <v>0</v>
      </c>
      <c r="I1298" s="4">
        <v>24.99</v>
      </c>
      <c r="J1298" s="4">
        <v>49.98</v>
      </c>
      <c r="K1298" s="4" t="s">
        <v>661</v>
      </c>
      <c r="L1298" s="4" t="s">
        <v>739</v>
      </c>
      <c r="M1298" s="5">
        <v>3</v>
      </c>
      <c r="N1298">
        <f>VLOOKUP(B1298,Customers!A:J,7,0)</f>
        <v>34</v>
      </c>
      <c r="O1298" t="str">
        <f>VLOOKUP(B1298,Customers!A:J,5,0)</f>
        <v>Chicago</v>
      </c>
      <c r="P1298" t="str">
        <f>VLOOKUP(B1298,Customers!A:J,10,0)</f>
        <v>Platinum</v>
      </c>
      <c r="Q1298" t="str">
        <f>VLOOKUP(B1298,Customers!A:J,8,0)</f>
        <v>Male</v>
      </c>
      <c r="R1298" t="b">
        <f t="shared" si="40"/>
        <v>1</v>
      </c>
      <c r="S1298" s="18">
        <f t="shared" si="41"/>
        <v>44562</v>
      </c>
    </row>
    <row r="1299" spans="1:19" x14ac:dyDescent="0.25">
      <c r="A1299" s="6" t="s">
        <v>2660</v>
      </c>
      <c r="B1299" s="7" t="s">
        <v>517</v>
      </c>
      <c r="C1299" s="15">
        <v>45149</v>
      </c>
      <c r="D1299" s="7" t="s">
        <v>659</v>
      </c>
      <c r="E1299" s="7" t="s">
        <v>660</v>
      </c>
      <c r="F1299" s="7">
        <v>19.989999999999998</v>
      </c>
      <c r="G1299" s="7">
        <v>3</v>
      </c>
      <c r="H1299" s="7">
        <v>0</v>
      </c>
      <c r="I1299" s="7">
        <v>19.989999999999998</v>
      </c>
      <c r="J1299" s="7">
        <v>59.97</v>
      </c>
      <c r="K1299" s="7" t="s">
        <v>675</v>
      </c>
      <c r="L1299" s="7" t="s">
        <v>656</v>
      </c>
      <c r="M1299" s="8">
        <v>4</v>
      </c>
      <c r="N1299">
        <f>VLOOKUP(B1299,Customers!A:J,7,0)</f>
        <v>34</v>
      </c>
      <c r="O1299" t="str">
        <f>VLOOKUP(B1299,Customers!A:J,5,0)</f>
        <v>Chicago</v>
      </c>
      <c r="P1299" t="str">
        <f>VLOOKUP(B1299,Customers!A:J,10,0)</f>
        <v>Platinum</v>
      </c>
      <c r="Q1299" t="str">
        <f>VLOOKUP(B1299,Customers!A:J,8,0)</f>
        <v>Male</v>
      </c>
      <c r="R1299" t="b">
        <f t="shared" si="40"/>
        <v>1</v>
      </c>
      <c r="S1299" s="18">
        <f t="shared" si="41"/>
        <v>45139</v>
      </c>
    </row>
    <row r="1300" spans="1:19" x14ac:dyDescent="0.25">
      <c r="A1300" s="3" t="s">
        <v>2662</v>
      </c>
      <c r="B1300" s="4" t="s">
        <v>517</v>
      </c>
      <c r="C1300" s="14">
        <v>45455</v>
      </c>
      <c r="D1300" s="4" t="s">
        <v>672</v>
      </c>
      <c r="E1300" s="4" t="s">
        <v>735</v>
      </c>
      <c r="F1300" s="4">
        <v>44.99</v>
      </c>
      <c r="G1300" s="4">
        <v>4</v>
      </c>
      <c r="H1300" s="4">
        <v>0</v>
      </c>
      <c r="I1300" s="4">
        <v>44.99</v>
      </c>
      <c r="J1300" s="4">
        <v>179.96</v>
      </c>
      <c r="K1300" s="4" t="s">
        <v>682</v>
      </c>
      <c r="L1300" s="4" t="s">
        <v>656</v>
      </c>
      <c r="M1300" s="5">
        <v>5</v>
      </c>
      <c r="N1300">
        <f>VLOOKUP(B1300,Customers!A:J,7,0)</f>
        <v>34</v>
      </c>
      <c r="O1300" t="str">
        <f>VLOOKUP(B1300,Customers!A:J,5,0)</f>
        <v>Chicago</v>
      </c>
      <c r="P1300" t="str">
        <f>VLOOKUP(B1300,Customers!A:J,10,0)</f>
        <v>Platinum</v>
      </c>
      <c r="Q1300" t="str">
        <f>VLOOKUP(B1300,Customers!A:J,8,0)</f>
        <v>Male</v>
      </c>
      <c r="R1300" t="b">
        <f t="shared" si="40"/>
        <v>1</v>
      </c>
      <c r="S1300" s="18">
        <f t="shared" si="41"/>
        <v>45444</v>
      </c>
    </row>
    <row r="1301" spans="1:19" x14ac:dyDescent="0.25">
      <c r="A1301" s="6" t="s">
        <v>2664</v>
      </c>
      <c r="B1301" s="7" t="s">
        <v>517</v>
      </c>
      <c r="C1301" s="15">
        <v>45029</v>
      </c>
      <c r="D1301" s="7" t="s">
        <v>680</v>
      </c>
      <c r="E1301" s="7" t="s">
        <v>749</v>
      </c>
      <c r="F1301" s="7">
        <v>14.99</v>
      </c>
      <c r="G1301" s="7">
        <v>4</v>
      </c>
      <c r="H1301" s="7">
        <v>5</v>
      </c>
      <c r="I1301" s="7">
        <v>14.24</v>
      </c>
      <c r="J1301" s="7">
        <v>56.96</v>
      </c>
      <c r="K1301" s="7" t="s">
        <v>661</v>
      </c>
      <c r="L1301" s="7" t="s">
        <v>656</v>
      </c>
      <c r="M1301" s="8">
        <v>5</v>
      </c>
      <c r="N1301">
        <f>VLOOKUP(B1301,Customers!A:J,7,0)</f>
        <v>34</v>
      </c>
      <c r="O1301" t="str">
        <f>VLOOKUP(B1301,Customers!A:J,5,0)</f>
        <v>Chicago</v>
      </c>
      <c r="P1301" t="str">
        <f>VLOOKUP(B1301,Customers!A:J,10,0)</f>
        <v>Platinum</v>
      </c>
      <c r="Q1301" t="str">
        <f>VLOOKUP(B1301,Customers!A:J,8,0)</f>
        <v>Male</v>
      </c>
      <c r="R1301" t="b">
        <f t="shared" si="40"/>
        <v>1</v>
      </c>
      <c r="S1301" s="18">
        <f t="shared" si="41"/>
        <v>45017</v>
      </c>
    </row>
    <row r="1302" spans="1:19" x14ac:dyDescent="0.25">
      <c r="A1302" s="3" t="s">
        <v>2665</v>
      </c>
      <c r="B1302" s="4" t="s">
        <v>520</v>
      </c>
      <c r="C1302" s="14">
        <v>45315</v>
      </c>
      <c r="D1302" s="4" t="s">
        <v>684</v>
      </c>
      <c r="E1302" s="4" t="s">
        <v>705</v>
      </c>
      <c r="F1302" s="4">
        <v>79.989999999999995</v>
      </c>
      <c r="G1302" s="4">
        <v>2</v>
      </c>
      <c r="H1302" s="4">
        <v>0</v>
      </c>
      <c r="I1302" s="4">
        <v>79.989999999999995</v>
      </c>
      <c r="J1302" s="4">
        <v>159.97999999999999</v>
      </c>
      <c r="K1302" s="4" t="s">
        <v>669</v>
      </c>
      <c r="L1302" s="4" t="s">
        <v>656</v>
      </c>
      <c r="M1302" s="5">
        <v>2</v>
      </c>
      <c r="N1302">
        <f>VLOOKUP(B1302,Customers!A:J,7,0)</f>
        <v>59</v>
      </c>
      <c r="O1302" t="str">
        <f>VLOOKUP(B1302,Customers!A:J,5,0)</f>
        <v>Austin</v>
      </c>
      <c r="P1302" t="str">
        <f>VLOOKUP(B1302,Customers!A:J,10,0)</f>
        <v>Silver</v>
      </c>
      <c r="Q1302" t="str">
        <f>VLOOKUP(B1302,Customers!A:J,8,0)</f>
        <v>Female</v>
      </c>
      <c r="R1302" t="b">
        <f t="shared" si="40"/>
        <v>1</v>
      </c>
      <c r="S1302" s="18">
        <f t="shared" si="41"/>
        <v>45292</v>
      </c>
    </row>
    <row r="1303" spans="1:19" x14ac:dyDescent="0.25">
      <c r="A1303" s="6" t="s">
        <v>2666</v>
      </c>
      <c r="B1303" s="7" t="s">
        <v>520</v>
      </c>
      <c r="C1303" s="15">
        <v>45036</v>
      </c>
      <c r="D1303" s="7" t="s">
        <v>684</v>
      </c>
      <c r="E1303" s="7" t="s">
        <v>815</v>
      </c>
      <c r="F1303" s="7">
        <v>34.99</v>
      </c>
      <c r="G1303" s="7">
        <v>4</v>
      </c>
      <c r="H1303" s="7">
        <v>15</v>
      </c>
      <c r="I1303" s="7">
        <v>29.74</v>
      </c>
      <c r="J1303" s="7">
        <v>118.96</v>
      </c>
      <c r="K1303" s="7" t="s">
        <v>669</v>
      </c>
      <c r="L1303" s="7" t="s">
        <v>656</v>
      </c>
      <c r="M1303" s="8"/>
      <c r="N1303">
        <f>VLOOKUP(B1303,Customers!A:J,7,0)</f>
        <v>59</v>
      </c>
      <c r="O1303" t="str">
        <f>VLOOKUP(B1303,Customers!A:J,5,0)</f>
        <v>Austin</v>
      </c>
      <c r="P1303" t="str">
        <f>VLOOKUP(B1303,Customers!A:J,10,0)</f>
        <v>Silver</v>
      </c>
      <c r="Q1303" t="str">
        <f>VLOOKUP(B1303,Customers!A:J,8,0)</f>
        <v>Female</v>
      </c>
      <c r="R1303" t="b">
        <f t="shared" si="40"/>
        <v>1</v>
      </c>
      <c r="S1303" s="18">
        <f t="shared" si="41"/>
        <v>45017</v>
      </c>
    </row>
    <row r="1304" spans="1:19" x14ac:dyDescent="0.25">
      <c r="A1304" s="3" t="s">
        <v>2667</v>
      </c>
      <c r="B1304" s="4" t="s">
        <v>520</v>
      </c>
      <c r="C1304" s="14">
        <v>45285</v>
      </c>
      <c r="D1304" s="4" t="s">
        <v>653</v>
      </c>
      <c r="E1304" s="4" t="s">
        <v>727</v>
      </c>
      <c r="F1304" s="4">
        <v>14.99</v>
      </c>
      <c r="G1304" s="4">
        <v>2</v>
      </c>
      <c r="H1304" s="4">
        <v>0</v>
      </c>
      <c r="I1304" s="4">
        <v>14.99</v>
      </c>
      <c r="J1304" s="4">
        <v>29.98</v>
      </c>
      <c r="K1304" s="4" t="s">
        <v>669</v>
      </c>
      <c r="L1304" s="4" t="s">
        <v>656</v>
      </c>
      <c r="M1304" s="5"/>
      <c r="N1304">
        <f>VLOOKUP(B1304,Customers!A:J,7,0)</f>
        <v>59</v>
      </c>
      <c r="O1304" t="str">
        <f>VLOOKUP(B1304,Customers!A:J,5,0)</f>
        <v>Austin</v>
      </c>
      <c r="P1304" t="str">
        <f>VLOOKUP(B1304,Customers!A:J,10,0)</f>
        <v>Silver</v>
      </c>
      <c r="Q1304" t="str">
        <f>VLOOKUP(B1304,Customers!A:J,8,0)</f>
        <v>Female</v>
      </c>
      <c r="R1304" t="b">
        <f t="shared" si="40"/>
        <v>1</v>
      </c>
      <c r="S1304" s="18">
        <f t="shared" si="41"/>
        <v>45261</v>
      </c>
    </row>
    <row r="1305" spans="1:19" x14ac:dyDescent="0.25">
      <c r="A1305" s="6" t="s">
        <v>2668</v>
      </c>
      <c r="B1305" s="7" t="s">
        <v>520</v>
      </c>
      <c r="C1305" s="15">
        <v>45113</v>
      </c>
      <c r="D1305" s="7" t="s">
        <v>672</v>
      </c>
      <c r="E1305" s="7" t="s">
        <v>803</v>
      </c>
      <c r="F1305" s="7">
        <v>69.989999999999995</v>
      </c>
      <c r="G1305" s="7">
        <v>1</v>
      </c>
      <c r="H1305" s="7">
        <v>0</v>
      </c>
      <c r="I1305" s="7">
        <v>69.989999999999995</v>
      </c>
      <c r="J1305" s="7">
        <v>69.989999999999995</v>
      </c>
      <c r="K1305" s="7" t="s">
        <v>655</v>
      </c>
      <c r="L1305" s="7" t="s">
        <v>785</v>
      </c>
      <c r="M1305" s="8"/>
      <c r="N1305">
        <f>VLOOKUP(B1305,Customers!A:J,7,0)</f>
        <v>59</v>
      </c>
      <c r="O1305" t="str">
        <f>VLOOKUP(B1305,Customers!A:J,5,0)</f>
        <v>Austin</v>
      </c>
      <c r="P1305" t="str">
        <f>VLOOKUP(B1305,Customers!A:J,10,0)</f>
        <v>Silver</v>
      </c>
      <c r="Q1305" t="str">
        <f>VLOOKUP(B1305,Customers!A:J,8,0)</f>
        <v>Female</v>
      </c>
      <c r="R1305" t="b">
        <f t="shared" si="40"/>
        <v>1</v>
      </c>
      <c r="S1305" s="18">
        <f t="shared" si="41"/>
        <v>45108</v>
      </c>
    </row>
    <row r="1306" spans="1:19" x14ac:dyDescent="0.25">
      <c r="A1306" s="3" t="s">
        <v>2670</v>
      </c>
      <c r="B1306" s="4" t="s">
        <v>520</v>
      </c>
      <c r="C1306" s="14">
        <v>44860</v>
      </c>
      <c r="D1306" s="4" t="s">
        <v>684</v>
      </c>
      <c r="E1306" s="4" t="s">
        <v>815</v>
      </c>
      <c r="F1306" s="4">
        <v>34.99</v>
      </c>
      <c r="G1306" s="4">
        <v>3</v>
      </c>
      <c r="H1306" s="4">
        <v>20</v>
      </c>
      <c r="I1306" s="4">
        <v>27.99</v>
      </c>
      <c r="J1306" s="4">
        <v>83.97</v>
      </c>
      <c r="K1306" s="4" t="s">
        <v>675</v>
      </c>
      <c r="L1306" s="4" t="s">
        <v>656</v>
      </c>
      <c r="M1306" s="5">
        <v>2</v>
      </c>
      <c r="N1306">
        <f>VLOOKUP(B1306,Customers!A:J,7,0)</f>
        <v>59</v>
      </c>
      <c r="O1306" t="str">
        <f>VLOOKUP(B1306,Customers!A:J,5,0)</f>
        <v>Austin</v>
      </c>
      <c r="P1306" t="str">
        <f>VLOOKUP(B1306,Customers!A:J,10,0)</f>
        <v>Silver</v>
      </c>
      <c r="Q1306" t="str">
        <f>VLOOKUP(B1306,Customers!A:J,8,0)</f>
        <v>Female</v>
      </c>
      <c r="R1306" t="b">
        <f t="shared" si="40"/>
        <v>1</v>
      </c>
      <c r="S1306" s="18">
        <f t="shared" si="41"/>
        <v>44835</v>
      </c>
    </row>
    <row r="1307" spans="1:19" x14ac:dyDescent="0.25">
      <c r="A1307" s="6" t="s">
        <v>2671</v>
      </c>
      <c r="B1307" s="7" t="s">
        <v>520</v>
      </c>
      <c r="C1307" s="15">
        <v>45334</v>
      </c>
      <c r="D1307" s="7" t="s">
        <v>680</v>
      </c>
      <c r="E1307" s="7" t="s">
        <v>708</v>
      </c>
      <c r="F1307" s="7">
        <v>24.99</v>
      </c>
      <c r="G1307" s="7">
        <v>2</v>
      </c>
      <c r="H1307" s="7">
        <v>15</v>
      </c>
      <c r="I1307" s="7">
        <v>21.24</v>
      </c>
      <c r="J1307" s="7">
        <v>42.48</v>
      </c>
      <c r="K1307" s="7" t="s">
        <v>682</v>
      </c>
      <c r="L1307" s="7" t="s">
        <v>739</v>
      </c>
      <c r="M1307" s="8">
        <v>4</v>
      </c>
      <c r="N1307">
        <f>VLOOKUP(B1307,Customers!A:J,7,0)</f>
        <v>59</v>
      </c>
      <c r="O1307" t="str">
        <f>VLOOKUP(B1307,Customers!A:J,5,0)</f>
        <v>Austin</v>
      </c>
      <c r="P1307" t="str">
        <f>VLOOKUP(B1307,Customers!A:J,10,0)</f>
        <v>Silver</v>
      </c>
      <c r="Q1307" t="str">
        <f>VLOOKUP(B1307,Customers!A:J,8,0)</f>
        <v>Female</v>
      </c>
      <c r="R1307" t="b">
        <f t="shared" si="40"/>
        <v>1</v>
      </c>
      <c r="S1307" s="18">
        <f t="shared" si="41"/>
        <v>45323</v>
      </c>
    </row>
    <row r="1308" spans="1:19" x14ac:dyDescent="0.25">
      <c r="A1308" s="3" t="s">
        <v>2672</v>
      </c>
      <c r="B1308" s="4" t="s">
        <v>520</v>
      </c>
      <c r="C1308" s="14">
        <v>45368</v>
      </c>
      <c r="D1308" s="4" t="s">
        <v>653</v>
      </c>
      <c r="E1308" s="4" t="s">
        <v>769</v>
      </c>
      <c r="F1308" s="4">
        <v>49.99</v>
      </c>
      <c r="G1308" s="4">
        <v>3</v>
      </c>
      <c r="H1308" s="4">
        <v>15</v>
      </c>
      <c r="I1308" s="4">
        <v>42.49</v>
      </c>
      <c r="J1308" s="4">
        <v>127.47</v>
      </c>
      <c r="K1308" s="4" t="s">
        <v>675</v>
      </c>
      <c r="L1308" s="4" t="s">
        <v>656</v>
      </c>
      <c r="M1308" s="5">
        <v>5</v>
      </c>
      <c r="N1308">
        <f>VLOOKUP(B1308,Customers!A:J,7,0)</f>
        <v>59</v>
      </c>
      <c r="O1308" t="str">
        <f>VLOOKUP(B1308,Customers!A:J,5,0)</f>
        <v>Austin</v>
      </c>
      <c r="P1308" t="str">
        <f>VLOOKUP(B1308,Customers!A:J,10,0)</f>
        <v>Silver</v>
      </c>
      <c r="Q1308" t="str">
        <f>VLOOKUP(B1308,Customers!A:J,8,0)</f>
        <v>Female</v>
      </c>
      <c r="R1308" t="b">
        <f t="shared" si="40"/>
        <v>1</v>
      </c>
      <c r="S1308" s="18">
        <f t="shared" si="41"/>
        <v>45352</v>
      </c>
    </row>
    <row r="1309" spans="1:19" x14ac:dyDescent="0.25">
      <c r="A1309" s="6" t="s">
        <v>2674</v>
      </c>
      <c r="B1309" s="7" t="s">
        <v>520</v>
      </c>
      <c r="C1309" s="15">
        <v>45466</v>
      </c>
      <c r="D1309" s="7" t="s">
        <v>710</v>
      </c>
      <c r="E1309" s="7" t="s">
        <v>711</v>
      </c>
      <c r="F1309" s="7">
        <v>14.99</v>
      </c>
      <c r="G1309" s="7">
        <v>2</v>
      </c>
      <c r="H1309" s="7">
        <v>0</v>
      </c>
      <c r="I1309" s="7">
        <v>14.99</v>
      </c>
      <c r="J1309" s="7">
        <v>29.98</v>
      </c>
      <c r="K1309" s="7" t="s">
        <v>682</v>
      </c>
      <c r="L1309" s="7" t="s">
        <v>656</v>
      </c>
      <c r="M1309" s="8"/>
      <c r="N1309">
        <f>VLOOKUP(B1309,Customers!A:J,7,0)</f>
        <v>59</v>
      </c>
      <c r="O1309" t="str">
        <f>VLOOKUP(B1309,Customers!A:J,5,0)</f>
        <v>Austin</v>
      </c>
      <c r="P1309" t="str">
        <f>VLOOKUP(B1309,Customers!A:J,10,0)</f>
        <v>Silver</v>
      </c>
      <c r="Q1309" t="str">
        <f>VLOOKUP(B1309,Customers!A:J,8,0)</f>
        <v>Female</v>
      </c>
      <c r="R1309" t="b">
        <f t="shared" si="40"/>
        <v>1</v>
      </c>
      <c r="S1309" s="18">
        <f t="shared" si="41"/>
        <v>45444</v>
      </c>
    </row>
    <row r="1310" spans="1:19" x14ac:dyDescent="0.25">
      <c r="A1310" s="3" t="s">
        <v>2675</v>
      </c>
      <c r="B1310" s="4" t="s">
        <v>520</v>
      </c>
      <c r="C1310" s="14">
        <v>45379</v>
      </c>
      <c r="D1310" s="4" t="s">
        <v>667</v>
      </c>
      <c r="E1310" s="4" t="s">
        <v>668</v>
      </c>
      <c r="F1310" s="4">
        <v>64.989999999999995</v>
      </c>
      <c r="G1310" s="4">
        <v>3</v>
      </c>
      <c r="H1310" s="4">
        <v>5</v>
      </c>
      <c r="I1310" s="4">
        <v>61.74</v>
      </c>
      <c r="J1310" s="4">
        <v>185.22</v>
      </c>
      <c r="K1310" s="4" t="s">
        <v>675</v>
      </c>
      <c r="L1310" s="4" t="s">
        <v>656</v>
      </c>
      <c r="M1310" s="5">
        <v>4</v>
      </c>
      <c r="N1310">
        <f>VLOOKUP(B1310,Customers!A:J,7,0)</f>
        <v>59</v>
      </c>
      <c r="O1310" t="str">
        <f>VLOOKUP(B1310,Customers!A:J,5,0)</f>
        <v>Austin</v>
      </c>
      <c r="P1310" t="str">
        <f>VLOOKUP(B1310,Customers!A:J,10,0)</f>
        <v>Silver</v>
      </c>
      <c r="Q1310" t="str">
        <f>VLOOKUP(B1310,Customers!A:J,8,0)</f>
        <v>Female</v>
      </c>
      <c r="R1310" t="b">
        <f t="shared" si="40"/>
        <v>1</v>
      </c>
      <c r="S1310" s="18">
        <f t="shared" si="41"/>
        <v>45352</v>
      </c>
    </row>
    <row r="1311" spans="1:19" x14ac:dyDescent="0.25">
      <c r="A1311" s="6" t="s">
        <v>2676</v>
      </c>
      <c r="B1311" s="7" t="s">
        <v>523</v>
      </c>
      <c r="C1311" s="15">
        <v>45560</v>
      </c>
      <c r="D1311" s="7" t="s">
        <v>684</v>
      </c>
      <c r="E1311" s="7" t="s">
        <v>815</v>
      </c>
      <c r="F1311" s="7">
        <v>34.99</v>
      </c>
      <c r="G1311" s="7">
        <v>1</v>
      </c>
      <c r="H1311" s="7">
        <v>5</v>
      </c>
      <c r="I1311" s="7">
        <v>33.24</v>
      </c>
      <c r="J1311" s="7">
        <v>33.24</v>
      </c>
      <c r="K1311" s="7" t="s">
        <v>661</v>
      </c>
      <c r="L1311" s="7" t="s">
        <v>656</v>
      </c>
      <c r="M1311" s="8">
        <v>4</v>
      </c>
      <c r="N1311">
        <f>VLOOKUP(B1311,Customers!A:J,7,0)</f>
        <v>47</v>
      </c>
      <c r="O1311" t="str">
        <f>VLOOKUP(B1311,Customers!A:J,5,0)</f>
        <v>Los Angeles</v>
      </c>
      <c r="P1311" t="str">
        <f>VLOOKUP(B1311,Customers!A:J,10,0)</f>
        <v>Silver</v>
      </c>
      <c r="Q1311" t="str">
        <f>VLOOKUP(B1311,Customers!A:J,8,0)</f>
        <v>Female</v>
      </c>
      <c r="R1311" t="b">
        <f t="shared" si="40"/>
        <v>1</v>
      </c>
      <c r="S1311" s="18">
        <f t="shared" si="41"/>
        <v>45536</v>
      </c>
    </row>
    <row r="1312" spans="1:19" x14ac:dyDescent="0.25">
      <c r="A1312" s="3" t="s">
        <v>2677</v>
      </c>
      <c r="B1312" s="4" t="s">
        <v>523</v>
      </c>
      <c r="C1312" s="14">
        <v>45631</v>
      </c>
      <c r="D1312" s="4" t="s">
        <v>659</v>
      </c>
      <c r="E1312" s="4" t="s">
        <v>664</v>
      </c>
      <c r="F1312" s="4">
        <v>24.99</v>
      </c>
      <c r="G1312" s="4">
        <v>2</v>
      </c>
      <c r="H1312" s="4">
        <v>0</v>
      </c>
      <c r="I1312" s="4">
        <v>24.99</v>
      </c>
      <c r="J1312" s="4">
        <v>49.98</v>
      </c>
      <c r="K1312" s="4" t="s">
        <v>669</v>
      </c>
      <c r="L1312" s="4" t="s">
        <v>739</v>
      </c>
      <c r="M1312" s="5">
        <v>3</v>
      </c>
      <c r="N1312">
        <f>VLOOKUP(B1312,Customers!A:J,7,0)</f>
        <v>47</v>
      </c>
      <c r="O1312" t="str">
        <f>VLOOKUP(B1312,Customers!A:J,5,0)</f>
        <v>Los Angeles</v>
      </c>
      <c r="P1312" t="str">
        <f>VLOOKUP(B1312,Customers!A:J,10,0)</f>
        <v>Silver</v>
      </c>
      <c r="Q1312" t="str">
        <f>VLOOKUP(B1312,Customers!A:J,8,0)</f>
        <v>Female</v>
      </c>
      <c r="R1312" t="b">
        <f t="shared" si="40"/>
        <v>1</v>
      </c>
      <c r="S1312" s="18">
        <f t="shared" si="41"/>
        <v>45627</v>
      </c>
    </row>
    <row r="1313" spans="1:19" x14ac:dyDescent="0.25">
      <c r="A1313" s="6" t="s">
        <v>2678</v>
      </c>
      <c r="B1313" s="7" t="s">
        <v>523</v>
      </c>
      <c r="C1313" s="15">
        <v>45267</v>
      </c>
      <c r="D1313" s="7" t="s">
        <v>653</v>
      </c>
      <c r="E1313" s="7" t="s">
        <v>727</v>
      </c>
      <c r="F1313" s="7">
        <v>14.99</v>
      </c>
      <c r="G1313" s="7">
        <v>2</v>
      </c>
      <c r="H1313" s="7">
        <v>15</v>
      </c>
      <c r="I1313" s="7">
        <v>12.74</v>
      </c>
      <c r="J1313" s="7">
        <v>25.48</v>
      </c>
      <c r="K1313" s="7" t="s">
        <v>675</v>
      </c>
      <c r="L1313" s="7" t="s">
        <v>656</v>
      </c>
      <c r="M1313" s="8">
        <v>4</v>
      </c>
      <c r="N1313">
        <f>VLOOKUP(B1313,Customers!A:J,7,0)</f>
        <v>47</v>
      </c>
      <c r="O1313" t="str">
        <f>VLOOKUP(B1313,Customers!A:J,5,0)</f>
        <v>Los Angeles</v>
      </c>
      <c r="P1313" t="str">
        <f>VLOOKUP(B1313,Customers!A:J,10,0)</f>
        <v>Silver</v>
      </c>
      <c r="Q1313" t="str">
        <f>VLOOKUP(B1313,Customers!A:J,8,0)</f>
        <v>Female</v>
      </c>
      <c r="R1313" t="b">
        <f t="shared" si="40"/>
        <v>1</v>
      </c>
      <c r="S1313" s="18">
        <f t="shared" si="41"/>
        <v>45261</v>
      </c>
    </row>
    <row r="1314" spans="1:19" x14ac:dyDescent="0.25">
      <c r="A1314" s="3" t="s">
        <v>2679</v>
      </c>
      <c r="B1314" s="4" t="s">
        <v>523</v>
      </c>
      <c r="C1314" s="14">
        <v>45284</v>
      </c>
      <c r="D1314" s="4" t="s">
        <v>680</v>
      </c>
      <c r="E1314" s="4" t="s">
        <v>681</v>
      </c>
      <c r="F1314" s="4">
        <v>19.989999999999998</v>
      </c>
      <c r="G1314" s="4">
        <v>4</v>
      </c>
      <c r="H1314" s="4">
        <v>20</v>
      </c>
      <c r="I1314" s="4">
        <v>15.99</v>
      </c>
      <c r="J1314" s="4">
        <v>63.96</v>
      </c>
      <c r="K1314" s="4" t="s">
        <v>675</v>
      </c>
      <c r="L1314" s="4" t="s">
        <v>656</v>
      </c>
      <c r="M1314" s="5">
        <v>3</v>
      </c>
      <c r="N1314">
        <f>VLOOKUP(B1314,Customers!A:J,7,0)</f>
        <v>47</v>
      </c>
      <c r="O1314" t="str">
        <f>VLOOKUP(B1314,Customers!A:J,5,0)</f>
        <v>Los Angeles</v>
      </c>
      <c r="P1314" t="str">
        <f>VLOOKUP(B1314,Customers!A:J,10,0)</f>
        <v>Silver</v>
      </c>
      <c r="Q1314" t="str">
        <f>VLOOKUP(B1314,Customers!A:J,8,0)</f>
        <v>Female</v>
      </c>
      <c r="R1314" t="b">
        <f t="shared" si="40"/>
        <v>1</v>
      </c>
      <c r="S1314" s="18">
        <f t="shared" si="41"/>
        <v>45261</v>
      </c>
    </row>
    <row r="1315" spans="1:19" x14ac:dyDescent="0.25">
      <c r="A1315" s="6" t="s">
        <v>2681</v>
      </c>
      <c r="B1315" s="7" t="s">
        <v>523</v>
      </c>
      <c r="C1315" s="15">
        <v>45613</v>
      </c>
      <c r="D1315" s="7" t="s">
        <v>684</v>
      </c>
      <c r="E1315" s="7" t="s">
        <v>705</v>
      </c>
      <c r="F1315" s="7">
        <v>79.989999999999995</v>
      </c>
      <c r="G1315" s="7">
        <v>3</v>
      </c>
      <c r="H1315" s="7">
        <v>10</v>
      </c>
      <c r="I1315" s="7">
        <v>71.989999999999995</v>
      </c>
      <c r="J1315" s="7">
        <v>215.97</v>
      </c>
      <c r="K1315" s="7" t="s">
        <v>661</v>
      </c>
      <c r="L1315" s="7" t="s">
        <v>656</v>
      </c>
      <c r="M1315" s="8">
        <v>4</v>
      </c>
      <c r="N1315">
        <f>VLOOKUP(B1315,Customers!A:J,7,0)</f>
        <v>47</v>
      </c>
      <c r="O1315" t="str">
        <f>VLOOKUP(B1315,Customers!A:J,5,0)</f>
        <v>Los Angeles</v>
      </c>
      <c r="P1315" t="str">
        <f>VLOOKUP(B1315,Customers!A:J,10,0)</f>
        <v>Silver</v>
      </c>
      <c r="Q1315" t="str">
        <f>VLOOKUP(B1315,Customers!A:J,8,0)</f>
        <v>Female</v>
      </c>
      <c r="R1315" t="b">
        <f t="shared" si="40"/>
        <v>1</v>
      </c>
      <c r="S1315" s="18">
        <f t="shared" si="41"/>
        <v>45597</v>
      </c>
    </row>
    <row r="1316" spans="1:19" x14ac:dyDescent="0.25">
      <c r="A1316" s="3" t="s">
        <v>2682</v>
      </c>
      <c r="B1316" s="4" t="s">
        <v>523</v>
      </c>
      <c r="C1316" s="14">
        <v>44724</v>
      </c>
      <c r="D1316" s="4" t="s">
        <v>659</v>
      </c>
      <c r="E1316" s="4" t="s">
        <v>762</v>
      </c>
      <c r="F1316" s="4">
        <v>49.99</v>
      </c>
      <c r="G1316" s="4">
        <v>3</v>
      </c>
      <c r="H1316" s="4">
        <v>5</v>
      </c>
      <c r="I1316" s="4">
        <v>47.49</v>
      </c>
      <c r="J1316" s="4">
        <v>142.47</v>
      </c>
      <c r="K1316" s="4" t="s">
        <v>682</v>
      </c>
      <c r="L1316" s="4" t="s">
        <v>785</v>
      </c>
      <c r="M1316" s="5">
        <v>5</v>
      </c>
      <c r="N1316">
        <f>VLOOKUP(B1316,Customers!A:J,7,0)</f>
        <v>47</v>
      </c>
      <c r="O1316" t="str">
        <f>VLOOKUP(B1316,Customers!A:J,5,0)</f>
        <v>Los Angeles</v>
      </c>
      <c r="P1316" t="str">
        <f>VLOOKUP(B1316,Customers!A:J,10,0)</f>
        <v>Silver</v>
      </c>
      <c r="Q1316" t="str">
        <f>VLOOKUP(B1316,Customers!A:J,8,0)</f>
        <v>Female</v>
      </c>
      <c r="R1316" t="b">
        <f t="shared" si="40"/>
        <v>1</v>
      </c>
      <c r="S1316" s="18">
        <f t="shared" si="41"/>
        <v>44713</v>
      </c>
    </row>
    <row r="1317" spans="1:19" x14ac:dyDescent="0.25">
      <c r="A1317" s="6" t="s">
        <v>2683</v>
      </c>
      <c r="B1317" s="7" t="s">
        <v>523</v>
      </c>
      <c r="C1317" s="15">
        <v>44674</v>
      </c>
      <c r="D1317" s="7" t="s">
        <v>672</v>
      </c>
      <c r="E1317" s="7" t="s">
        <v>803</v>
      </c>
      <c r="F1317" s="7">
        <v>69.989999999999995</v>
      </c>
      <c r="G1317" s="7">
        <v>2</v>
      </c>
      <c r="H1317" s="7">
        <v>0</v>
      </c>
      <c r="I1317" s="7">
        <v>69.989999999999995</v>
      </c>
      <c r="J1317" s="7">
        <v>139.97999999999999</v>
      </c>
      <c r="K1317" s="7" t="s">
        <v>682</v>
      </c>
      <c r="L1317" s="7" t="s">
        <v>656</v>
      </c>
      <c r="M1317" s="8"/>
      <c r="N1317">
        <f>VLOOKUP(B1317,Customers!A:J,7,0)</f>
        <v>47</v>
      </c>
      <c r="O1317" t="str">
        <f>VLOOKUP(B1317,Customers!A:J,5,0)</f>
        <v>Los Angeles</v>
      </c>
      <c r="P1317" t="str">
        <f>VLOOKUP(B1317,Customers!A:J,10,0)</f>
        <v>Silver</v>
      </c>
      <c r="Q1317" t="str">
        <f>VLOOKUP(B1317,Customers!A:J,8,0)</f>
        <v>Female</v>
      </c>
      <c r="R1317" t="b">
        <f t="shared" si="40"/>
        <v>1</v>
      </c>
      <c r="S1317" s="18">
        <f t="shared" si="41"/>
        <v>44652</v>
      </c>
    </row>
    <row r="1318" spans="1:19" x14ac:dyDescent="0.25">
      <c r="A1318" s="3" t="s">
        <v>2685</v>
      </c>
      <c r="B1318" s="4" t="s">
        <v>523</v>
      </c>
      <c r="C1318" s="14">
        <v>45624</v>
      </c>
      <c r="D1318" s="4" t="s">
        <v>667</v>
      </c>
      <c r="E1318" s="4" t="s">
        <v>714</v>
      </c>
      <c r="F1318" s="4">
        <v>44.99</v>
      </c>
      <c r="G1318" s="4">
        <v>2</v>
      </c>
      <c r="H1318" s="4">
        <v>0</v>
      </c>
      <c r="I1318" s="4">
        <v>44.99</v>
      </c>
      <c r="J1318" s="4">
        <v>89.98</v>
      </c>
      <c r="K1318" s="4" t="s">
        <v>675</v>
      </c>
      <c r="L1318" s="4" t="s">
        <v>656</v>
      </c>
      <c r="M1318" s="5">
        <v>5</v>
      </c>
      <c r="N1318">
        <f>VLOOKUP(B1318,Customers!A:J,7,0)</f>
        <v>47</v>
      </c>
      <c r="O1318" t="str">
        <f>VLOOKUP(B1318,Customers!A:J,5,0)</f>
        <v>Los Angeles</v>
      </c>
      <c r="P1318" t="str">
        <f>VLOOKUP(B1318,Customers!A:J,10,0)</f>
        <v>Silver</v>
      </c>
      <c r="Q1318" t="str">
        <f>VLOOKUP(B1318,Customers!A:J,8,0)</f>
        <v>Female</v>
      </c>
      <c r="R1318" t="b">
        <f t="shared" si="40"/>
        <v>1</v>
      </c>
      <c r="S1318" s="18">
        <f t="shared" si="41"/>
        <v>45597</v>
      </c>
    </row>
    <row r="1319" spans="1:19" x14ac:dyDescent="0.25">
      <c r="A1319" s="6" t="s">
        <v>2686</v>
      </c>
      <c r="B1319" s="7" t="s">
        <v>525</v>
      </c>
      <c r="C1319" s="15">
        <v>44873</v>
      </c>
      <c r="D1319" s="7" t="s">
        <v>667</v>
      </c>
      <c r="E1319" s="7" t="s">
        <v>668</v>
      </c>
      <c r="F1319" s="7">
        <v>64.989999999999995</v>
      </c>
      <c r="G1319" s="7">
        <v>4</v>
      </c>
      <c r="H1319" s="7">
        <v>0</v>
      </c>
      <c r="I1319" s="7">
        <v>64.989999999999995</v>
      </c>
      <c r="J1319" s="7">
        <v>259.95999999999998</v>
      </c>
      <c r="K1319" s="7" t="s">
        <v>675</v>
      </c>
      <c r="L1319" s="7" t="s">
        <v>656</v>
      </c>
      <c r="M1319" s="8">
        <v>4</v>
      </c>
      <c r="N1319">
        <f>VLOOKUP(B1319,Customers!A:J,7,0)</f>
        <v>36</v>
      </c>
      <c r="O1319" t="str">
        <f>VLOOKUP(B1319,Customers!A:J,5,0)</f>
        <v>Los Angeles</v>
      </c>
      <c r="P1319" t="str">
        <f>VLOOKUP(B1319,Customers!A:J,10,0)</f>
        <v>Free</v>
      </c>
      <c r="Q1319" t="str">
        <f>VLOOKUP(B1319,Customers!A:J,8,0)</f>
        <v>Male</v>
      </c>
      <c r="R1319" t="b">
        <f t="shared" si="40"/>
        <v>1</v>
      </c>
      <c r="S1319" s="18">
        <f t="shared" si="41"/>
        <v>44866</v>
      </c>
    </row>
    <row r="1320" spans="1:19" x14ac:dyDescent="0.25">
      <c r="A1320" s="3" t="s">
        <v>2687</v>
      </c>
      <c r="B1320" s="4" t="s">
        <v>525</v>
      </c>
      <c r="C1320" s="14">
        <v>44902</v>
      </c>
      <c r="D1320" s="4" t="s">
        <v>659</v>
      </c>
      <c r="E1320" s="4" t="s">
        <v>762</v>
      </c>
      <c r="F1320" s="4">
        <v>49.99</v>
      </c>
      <c r="G1320" s="4">
        <v>1</v>
      </c>
      <c r="H1320" s="4">
        <v>0</v>
      </c>
      <c r="I1320" s="4">
        <v>49.99</v>
      </c>
      <c r="J1320" s="4">
        <v>49.99</v>
      </c>
      <c r="K1320" s="4" t="s">
        <v>655</v>
      </c>
      <c r="L1320" s="4" t="s">
        <v>656</v>
      </c>
      <c r="M1320" s="5">
        <v>3</v>
      </c>
      <c r="N1320">
        <f>VLOOKUP(B1320,Customers!A:J,7,0)</f>
        <v>36</v>
      </c>
      <c r="O1320" t="str">
        <f>VLOOKUP(B1320,Customers!A:J,5,0)</f>
        <v>Los Angeles</v>
      </c>
      <c r="P1320" t="str">
        <f>VLOOKUP(B1320,Customers!A:J,10,0)</f>
        <v>Free</v>
      </c>
      <c r="Q1320" t="str">
        <f>VLOOKUP(B1320,Customers!A:J,8,0)</f>
        <v>Male</v>
      </c>
      <c r="R1320" t="b">
        <f t="shared" si="40"/>
        <v>1</v>
      </c>
      <c r="S1320" s="18">
        <f t="shared" si="41"/>
        <v>44896</v>
      </c>
    </row>
    <row r="1321" spans="1:19" x14ac:dyDescent="0.25">
      <c r="A1321" s="6" t="s">
        <v>2688</v>
      </c>
      <c r="B1321" s="7" t="s">
        <v>525</v>
      </c>
      <c r="C1321" s="15">
        <v>45193</v>
      </c>
      <c r="D1321" s="7" t="s">
        <v>653</v>
      </c>
      <c r="E1321" s="7" t="s">
        <v>769</v>
      </c>
      <c r="F1321" s="7">
        <v>49.99</v>
      </c>
      <c r="G1321" s="7">
        <v>2</v>
      </c>
      <c r="H1321" s="7">
        <v>0</v>
      </c>
      <c r="I1321" s="7">
        <v>49.99</v>
      </c>
      <c r="J1321" s="7">
        <v>99.98</v>
      </c>
      <c r="K1321" s="7" t="s">
        <v>682</v>
      </c>
      <c r="L1321" s="7" t="s">
        <v>656</v>
      </c>
      <c r="M1321" s="8">
        <v>5</v>
      </c>
      <c r="N1321">
        <f>VLOOKUP(B1321,Customers!A:J,7,0)</f>
        <v>36</v>
      </c>
      <c r="O1321" t="str">
        <f>VLOOKUP(B1321,Customers!A:J,5,0)</f>
        <v>Los Angeles</v>
      </c>
      <c r="P1321" t="str">
        <f>VLOOKUP(B1321,Customers!A:J,10,0)</f>
        <v>Free</v>
      </c>
      <c r="Q1321" t="str">
        <f>VLOOKUP(B1321,Customers!A:J,8,0)</f>
        <v>Male</v>
      </c>
      <c r="R1321" t="b">
        <f t="shared" si="40"/>
        <v>1</v>
      </c>
      <c r="S1321" s="18">
        <f t="shared" si="41"/>
        <v>45170</v>
      </c>
    </row>
    <row r="1322" spans="1:19" x14ac:dyDescent="0.25">
      <c r="A1322" s="3" t="s">
        <v>2690</v>
      </c>
      <c r="B1322" s="4" t="s">
        <v>525</v>
      </c>
      <c r="C1322" s="14">
        <v>45227</v>
      </c>
      <c r="D1322" s="4" t="s">
        <v>653</v>
      </c>
      <c r="E1322" s="4" t="s">
        <v>769</v>
      </c>
      <c r="F1322" s="4">
        <v>49.99</v>
      </c>
      <c r="G1322" s="4">
        <v>2</v>
      </c>
      <c r="H1322" s="4">
        <v>15</v>
      </c>
      <c r="I1322" s="4">
        <v>42.49</v>
      </c>
      <c r="J1322" s="4">
        <v>84.98</v>
      </c>
      <c r="K1322" s="4" t="s">
        <v>655</v>
      </c>
      <c r="L1322" s="4" t="s">
        <v>656</v>
      </c>
      <c r="M1322" s="5">
        <v>2</v>
      </c>
      <c r="N1322">
        <f>VLOOKUP(B1322,Customers!A:J,7,0)</f>
        <v>36</v>
      </c>
      <c r="O1322" t="str">
        <f>VLOOKUP(B1322,Customers!A:J,5,0)</f>
        <v>Los Angeles</v>
      </c>
      <c r="P1322" t="str">
        <f>VLOOKUP(B1322,Customers!A:J,10,0)</f>
        <v>Free</v>
      </c>
      <c r="Q1322" t="str">
        <f>VLOOKUP(B1322,Customers!A:J,8,0)</f>
        <v>Male</v>
      </c>
      <c r="R1322" t="b">
        <f t="shared" si="40"/>
        <v>1</v>
      </c>
      <c r="S1322" s="18">
        <f t="shared" si="41"/>
        <v>45200</v>
      </c>
    </row>
    <row r="1323" spans="1:19" x14ac:dyDescent="0.25">
      <c r="A1323" s="6" t="s">
        <v>2692</v>
      </c>
      <c r="B1323" s="7" t="s">
        <v>525</v>
      </c>
      <c r="C1323" s="15">
        <v>44602</v>
      </c>
      <c r="D1323" s="7" t="s">
        <v>710</v>
      </c>
      <c r="E1323" s="7" t="s">
        <v>721</v>
      </c>
      <c r="F1323" s="7">
        <v>24.99</v>
      </c>
      <c r="G1323" s="7">
        <v>1</v>
      </c>
      <c r="H1323" s="7">
        <v>0</v>
      </c>
      <c r="I1323" s="7">
        <v>24.99</v>
      </c>
      <c r="J1323" s="7">
        <v>24.99</v>
      </c>
      <c r="K1323" s="7" t="s">
        <v>661</v>
      </c>
      <c r="L1323" s="7" t="s">
        <v>656</v>
      </c>
      <c r="M1323" s="8">
        <v>4</v>
      </c>
      <c r="N1323">
        <f>VLOOKUP(B1323,Customers!A:J,7,0)</f>
        <v>36</v>
      </c>
      <c r="O1323" t="str">
        <f>VLOOKUP(B1323,Customers!A:J,5,0)</f>
        <v>Los Angeles</v>
      </c>
      <c r="P1323" t="str">
        <f>VLOOKUP(B1323,Customers!A:J,10,0)</f>
        <v>Free</v>
      </c>
      <c r="Q1323" t="str">
        <f>VLOOKUP(B1323,Customers!A:J,8,0)</f>
        <v>Male</v>
      </c>
      <c r="R1323" t="b">
        <f t="shared" si="40"/>
        <v>1</v>
      </c>
      <c r="S1323" s="18">
        <f t="shared" si="41"/>
        <v>44593</v>
      </c>
    </row>
    <row r="1324" spans="1:19" x14ac:dyDescent="0.25">
      <c r="A1324" s="3" t="s">
        <v>2693</v>
      </c>
      <c r="B1324" s="4" t="s">
        <v>525</v>
      </c>
      <c r="C1324" s="14">
        <v>44886</v>
      </c>
      <c r="D1324" s="4" t="s">
        <v>684</v>
      </c>
      <c r="E1324" s="4" t="s">
        <v>685</v>
      </c>
      <c r="F1324" s="4">
        <v>49.99</v>
      </c>
      <c r="G1324" s="4">
        <v>1</v>
      </c>
      <c r="H1324" s="4">
        <v>0</v>
      </c>
      <c r="I1324" s="4">
        <v>49.99</v>
      </c>
      <c r="J1324" s="4">
        <v>49.99</v>
      </c>
      <c r="K1324" s="4" t="s">
        <v>669</v>
      </c>
      <c r="L1324" s="4" t="s">
        <v>656</v>
      </c>
      <c r="M1324" s="5">
        <v>5</v>
      </c>
      <c r="N1324">
        <f>VLOOKUP(B1324,Customers!A:J,7,0)</f>
        <v>36</v>
      </c>
      <c r="O1324" t="str">
        <f>VLOOKUP(B1324,Customers!A:J,5,0)</f>
        <v>Los Angeles</v>
      </c>
      <c r="P1324" t="str">
        <f>VLOOKUP(B1324,Customers!A:J,10,0)</f>
        <v>Free</v>
      </c>
      <c r="Q1324" t="str">
        <f>VLOOKUP(B1324,Customers!A:J,8,0)</f>
        <v>Male</v>
      </c>
      <c r="R1324" t="b">
        <f t="shared" si="40"/>
        <v>1</v>
      </c>
      <c r="S1324" s="18">
        <f t="shared" si="41"/>
        <v>44866</v>
      </c>
    </row>
    <row r="1325" spans="1:19" x14ac:dyDescent="0.25">
      <c r="A1325" s="6" t="s">
        <v>2694</v>
      </c>
      <c r="B1325" s="7" t="s">
        <v>525</v>
      </c>
      <c r="C1325" s="15">
        <v>45300</v>
      </c>
      <c r="D1325" s="7" t="s">
        <v>672</v>
      </c>
      <c r="E1325" s="7" t="s">
        <v>803</v>
      </c>
      <c r="F1325" s="7">
        <v>69.989999999999995</v>
      </c>
      <c r="G1325" s="7">
        <v>2</v>
      </c>
      <c r="H1325" s="7">
        <v>10</v>
      </c>
      <c r="I1325" s="7">
        <v>62.99</v>
      </c>
      <c r="J1325" s="7">
        <v>125.98</v>
      </c>
      <c r="K1325" s="7" t="s">
        <v>675</v>
      </c>
      <c r="L1325" s="7" t="s">
        <v>656</v>
      </c>
      <c r="M1325" s="8">
        <v>4</v>
      </c>
      <c r="N1325">
        <f>VLOOKUP(B1325,Customers!A:J,7,0)</f>
        <v>36</v>
      </c>
      <c r="O1325" t="str">
        <f>VLOOKUP(B1325,Customers!A:J,5,0)</f>
        <v>Los Angeles</v>
      </c>
      <c r="P1325" t="str">
        <f>VLOOKUP(B1325,Customers!A:J,10,0)</f>
        <v>Free</v>
      </c>
      <c r="Q1325" t="str">
        <f>VLOOKUP(B1325,Customers!A:J,8,0)</f>
        <v>Male</v>
      </c>
      <c r="R1325" t="b">
        <f t="shared" si="40"/>
        <v>1</v>
      </c>
      <c r="S1325" s="18">
        <f t="shared" si="41"/>
        <v>45292</v>
      </c>
    </row>
    <row r="1326" spans="1:19" x14ac:dyDescent="0.25">
      <c r="A1326" s="3" t="s">
        <v>2695</v>
      </c>
      <c r="B1326" s="4" t="s">
        <v>525</v>
      </c>
      <c r="C1326" s="14">
        <v>45052</v>
      </c>
      <c r="D1326" s="4" t="s">
        <v>710</v>
      </c>
      <c r="E1326" s="4" t="s">
        <v>730</v>
      </c>
      <c r="F1326" s="4">
        <v>39.99</v>
      </c>
      <c r="G1326" s="4">
        <v>3</v>
      </c>
      <c r="H1326" s="4">
        <v>5</v>
      </c>
      <c r="I1326" s="4">
        <v>37.99</v>
      </c>
      <c r="J1326" s="4">
        <v>113.97</v>
      </c>
      <c r="K1326" s="4" t="s">
        <v>675</v>
      </c>
      <c r="L1326" s="4" t="s">
        <v>656</v>
      </c>
      <c r="M1326" s="5">
        <v>5</v>
      </c>
      <c r="N1326">
        <f>VLOOKUP(B1326,Customers!A:J,7,0)</f>
        <v>36</v>
      </c>
      <c r="O1326" t="str">
        <f>VLOOKUP(B1326,Customers!A:J,5,0)</f>
        <v>Los Angeles</v>
      </c>
      <c r="P1326" t="str">
        <f>VLOOKUP(B1326,Customers!A:J,10,0)</f>
        <v>Free</v>
      </c>
      <c r="Q1326" t="str">
        <f>VLOOKUP(B1326,Customers!A:J,8,0)</f>
        <v>Male</v>
      </c>
      <c r="R1326" t="b">
        <f t="shared" si="40"/>
        <v>1</v>
      </c>
      <c r="S1326" s="18">
        <f t="shared" si="41"/>
        <v>45047</v>
      </c>
    </row>
    <row r="1327" spans="1:19" x14ac:dyDescent="0.25">
      <c r="A1327" s="6" t="s">
        <v>2697</v>
      </c>
      <c r="B1327" s="7" t="s">
        <v>525</v>
      </c>
      <c r="C1327" s="15">
        <v>44727</v>
      </c>
      <c r="D1327" s="7" t="s">
        <v>680</v>
      </c>
      <c r="E1327" s="7" t="s">
        <v>749</v>
      </c>
      <c r="F1327" s="7">
        <v>14.99</v>
      </c>
      <c r="G1327" s="7">
        <v>1</v>
      </c>
      <c r="H1327" s="7">
        <v>0</v>
      </c>
      <c r="I1327" s="7">
        <v>14.99</v>
      </c>
      <c r="J1327" s="7">
        <v>14.99</v>
      </c>
      <c r="K1327" s="7" t="s">
        <v>669</v>
      </c>
      <c r="L1327" s="7" t="s">
        <v>656</v>
      </c>
      <c r="M1327" s="8"/>
      <c r="N1327">
        <f>VLOOKUP(B1327,Customers!A:J,7,0)</f>
        <v>36</v>
      </c>
      <c r="O1327" t="str">
        <f>VLOOKUP(B1327,Customers!A:J,5,0)</f>
        <v>Los Angeles</v>
      </c>
      <c r="P1327" t="str">
        <f>VLOOKUP(B1327,Customers!A:J,10,0)</f>
        <v>Free</v>
      </c>
      <c r="Q1327" t="str">
        <f>VLOOKUP(B1327,Customers!A:J,8,0)</f>
        <v>Male</v>
      </c>
      <c r="R1327" t="b">
        <f t="shared" si="40"/>
        <v>1</v>
      </c>
      <c r="S1327" s="18">
        <f t="shared" si="41"/>
        <v>44713</v>
      </c>
    </row>
    <row r="1328" spans="1:19" x14ac:dyDescent="0.25">
      <c r="A1328" s="3" t="s">
        <v>2698</v>
      </c>
      <c r="B1328" s="4" t="s">
        <v>525</v>
      </c>
      <c r="C1328" s="14">
        <v>44671</v>
      </c>
      <c r="D1328" s="4" t="s">
        <v>667</v>
      </c>
      <c r="E1328" s="4" t="s">
        <v>696</v>
      </c>
      <c r="F1328" s="4">
        <v>59.99</v>
      </c>
      <c r="G1328" s="4">
        <v>3</v>
      </c>
      <c r="H1328" s="4">
        <v>5</v>
      </c>
      <c r="I1328" s="4">
        <v>56.99</v>
      </c>
      <c r="J1328" s="4">
        <v>170.97</v>
      </c>
      <c r="K1328" s="4" t="s">
        <v>669</v>
      </c>
      <c r="L1328" s="4" t="s">
        <v>656</v>
      </c>
      <c r="M1328" s="5"/>
      <c r="N1328">
        <f>VLOOKUP(B1328,Customers!A:J,7,0)</f>
        <v>36</v>
      </c>
      <c r="O1328" t="str">
        <f>VLOOKUP(B1328,Customers!A:J,5,0)</f>
        <v>Los Angeles</v>
      </c>
      <c r="P1328" t="str">
        <f>VLOOKUP(B1328,Customers!A:J,10,0)</f>
        <v>Free</v>
      </c>
      <c r="Q1328" t="str">
        <f>VLOOKUP(B1328,Customers!A:J,8,0)</f>
        <v>Male</v>
      </c>
      <c r="R1328" t="b">
        <f t="shared" si="40"/>
        <v>1</v>
      </c>
      <c r="S1328" s="18">
        <f t="shared" si="41"/>
        <v>44652</v>
      </c>
    </row>
    <row r="1329" spans="1:19" x14ac:dyDescent="0.25">
      <c r="A1329" s="6" t="s">
        <v>2699</v>
      </c>
      <c r="B1329" s="7" t="s">
        <v>525</v>
      </c>
      <c r="C1329" s="15">
        <v>44908</v>
      </c>
      <c r="D1329" s="7" t="s">
        <v>667</v>
      </c>
      <c r="E1329" s="7" t="s">
        <v>668</v>
      </c>
      <c r="F1329" s="7">
        <v>64.989999999999995</v>
      </c>
      <c r="G1329" s="7">
        <v>1</v>
      </c>
      <c r="H1329" s="7">
        <v>20</v>
      </c>
      <c r="I1329" s="7">
        <v>51.99</v>
      </c>
      <c r="J1329" s="7">
        <v>51.99</v>
      </c>
      <c r="K1329" s="7" t="s">
        <v>669</v>
      </c>
      <c r="L1329" s="7" t="s">
        <v>656</v>
      </c>
      <c r="M1329" s="8">
        <v>4</v>
      </c>
      <c r="N1329">
        <f>VLOOKUP(B1329,Customers!A:J,7,0)</f>
        <v>36</v>
      </c>
      <c r="O1329" t="str">
        <f>VLOOKUP(B1329,Customers!A:J,5,0)</f>
        <v>Los Angeles</v>
      </c>
      <c r="P1329" t="str">
        <f>VLOOKUP(B1329,Customers!A:J,10,0)</f>
        <v>Free</v>
      </c>
      <c r="Q1329" t="str">
        <f>VLOOKUP(B1329,Customers!A:J,8,0)</f>
        <v>Male</v>
      </c>
      <c r="R1329" t="b">
        <f t="shared" si="40"/>
        <v>1</v>
      </c>
      <c r="S1329" s="18">
        <f t="shared" si="41"/>
        <v>44896</v>
      </c>
    </row>
    <row r="1330" spans="1:19" x14ac:dyDescent="0.25">
      <c r="A1330" s="3" t="s">
        <v>2701</v>
      </c>
      <c r="B1330" s="4" t="s">
        <v>525</v>
      </c>
      <c r="C1330" s="14">
        <v>44632</v>
      </c>
      <c r="D1330" s="4" t="s">
        <v>659</v>
      </c>
      <c r="E1330" s="4" t="s">
        <v>660</v>
      </c>
      <c r="F1330" s="4">
        <v>19.989999999999998</v>
      </c>
      <c r="G1330" s="4">
        <v>1</v>
      </c>
      <c r="H1330" s="4">
        <v>20</v>
      </c>
      <c r="I1330" s="4">
        <v>15.99</v>
      </c>
      <c r="J1330" s="4">
        <v>15.99</v>
      </c>
      <c r="K1330" s="4" t="s">
        <v>682</v>
      </c>
      <c r="L1330" s="4" t="s">
        <v>656</v>
      </c>
      <c r="M1330" s="5">
        <v>4</v>
      </c>
      <c r="N1330">
        <f>VLOOKUP(B1330,Customers!A:J,7,0)</f>
        <v>36</v>
      </c>
      <c r="O1330" t="str">
        <f>VLOOKUP(B1330,Customers!A:J,5,0)</f>
        <v>Los Angeles</v>
      </c>
      <c r="P1330" t="str">
        <f>VLOOKUP(B1330,Customers!A:J,10,0)</f>
        <v>Free</v>
      </c>
      <c r="Q1330" t="str">
        <f>VLOOKUP(B1330,Customers!A:J,8,0)</f>
        <v>Male</v>
      </c>
      <c r="R1330" t="b">
        <f t="shared" si="40"/>
        <v>1</v>
      </c>
      <c r="S1330" s="18">
        <f t="shared" si="41"/>
        <v>44621</v>
      </c>
    </row>
    <row r="1331" spans="1:19" x14ac:dyDescent="0.25">
      <c r="A1331" s="6" t="s">
        <v>2703</v>
      </c>
      <c r="B1331" s="7" t="s">
        <v>525</v>
      </c>
      <c r="C1331" s="15">
        <v>45181</v>
      </c>
      <c r="D1331" s="7" t="s">
        <v>710</v>
      </c>
      <c r="E1331" s="7" t="s">
        <v>721</v>
      </c>
      <c r="F1331" s="7">
        <v>24.99</v>
      </c>
      <c r="G1331" s="7">
        <v>1</v>
      </c>
      <c r="H1331" s="7">
        <v>5</v>
      </c>
      <c r="I1331" s="7">
        <v>23.74</v>
      </c>
      <c r="J1331" s="7">
        <v>23.74</v>
      </c>
      <c r="K1331" s="7" t="s">
        <v>661</v>
      </c>
      <c r="L1331" s="7" t="s">
        <v>785</v>
      </c>
      <c r="M1331" s="8">
        <v>5</v>
      </c>
      <c r="N1331">
        <f>VLOOKUP(B1331,Customers!A:J,7,0)</f>
        <v>36</v>
      </c>
      <c r="O1331" t="str">
        <f>VLOOKUP(B1331,Customers!A:J,5,0)</f>
        <v>Los Angeles</v>
      </c>
      <c r="P1331" t="str">
        <f>VLOOKUP(B1331,Customers!A:J,10,0)</f>
        <v>Free</v>
      </c>
      <c r="Q1331" t="str">
        <f>VLOOKUP(B1331,Customers!A:J,8,0)</f>
        <v>Male</v>
      </c>
      <c r="R1331" t="b">
        <f t="shared" si="40"/>
        <v>1</v>
      </c>
      <c r="S1331" s="18">
        <f t="shared" si="41"/>
        <v>45170</v>
      </c>
    </row>
    <row r="1332" spans="1:19" x14ac:dyDescent="0.25">
      <c r="A1332" s="3" t="s">
        <v>2704</v>
      </c>
      <c r="B1332" s="4" t="s">
        <v>528</v>
      </c>
      <c r="C1332" s="14">
        <v>45148</v>
      </c>
      <c r="D1332" s="4" t="s">
        <v>710</v>
      </c>
      <c r="E1332" s="4" t="s">
        <v>730</v>
      </c>
      <c r="F1332" s="4">
        <v>39.99</v>
      </c>
      <c r="G1332" s="4">
        <v>3</v>
      </c>
      <c r="H1332" s="4">
        <v>0</v>
      </c>
      <c r="I1332" s="4">
        <v>39.99</v>
      </c>
      <c r="J1332" s="4">
        <v>119.97</v>
      </c>
      <c r="K1332" s="4" t="s">
        <v>661</v>
      </c>
      <c r="L1332" s="4" t="s">
        <v>656</v>
      </c>
      <c r="M1332" s="5"/>
      <c r="N1332">
        <f>VLOOKUP(B1332,Customers!A:J,7,0)</f>
        <v>51</v>
      </c>
      <c r="O1332" t="str">
        <f>VLOOKUP(B1332,Customers!A:J,5,0)</f>
        <v>San Antonio</v>
      </c>
      <c r="P1332" t="str">
        <f>VLOOKUP(B1332,Customers!A:J,10,0)</f>
        <v>Platinum</v>
      </c>
      <c r="Q1332" t="str">
        <f>VLOOKUP(B1332,Customers!A:J,8,0)</f>
        <v>Male</v>
      </c>
      <c r="R1332" t="b">
        <f t="shared" si="40"/>
        <v>1</v>
      </c>
      <c r="S1332" s="18">
        <f t="shared" si="41"/>
        <v>45139</v>
      </c>
    </row>
    <row r="1333" spans="1:19" x14ac:dyDescent="0.25">
      <c r="A1333" s="6" t="s">
        <v>2706</v>
      </c>
      <c r="B1333" s="7" t="s">
        <v>528</v>
      </c>
      <c r="C1333" s="15">
        <v>45356</v>
      </c>
      <c r="D1333" s="7" t="s">
        <v>653</v>
      </c>
      <c r="E1333" s="7" t="s">
        <v>727</v>
      </c>
      <c r="F1333" s="7">
        <v>14.99</v>
      </c>
      <c r="G1333" s="7">
        <v>4</v>
      </c>
      <c r="H1333" s="7">
        <v>0</v>
      </c>
      <c r="I1333" s="7">
        <v>14.99</v>
      </c>
      <c r="J1333" s="7">
        <v>59.96</v>
      </c>
      <c r="K1333" s="7" t="s">
        <v>682</v>
      </c>
      <c r="L1333" s="7" t="s">
        <v>656</v>
      </c>
      <c r="M1333" s="8">
        <v>4</v>
      </c>
      <c r="N1333">
        <f>VLOOKUP(B1333,Customers!A:J,7,0)</f>
        <v>51</v>
      </c>
      <c r="O1333" t="str">
        <f>VLOOKUP(B1333,Customers!A:J,5,0)</f>
        <v>San Antonio</v>
      </c>
      <c r="P1333" t="str">
        <f>VLOOKUP(B1333,Customers!A:J,10,0)</f>
        <v>Platinum</v>
      </c>
      <c r="Q1333" t="str">
        <f>VLOOKUP(B1333,Customers!A:J,8,0)</f>
        <v>Male</v>
      </c>
      <c r="R1333" t="b">
        <f t="shared" si="40"/>
        <v>1</v>
      </c>
      <c r="S1333" s="18">
        <f t="shared" si="41"/>
        <v>45352</v>
      </c>
    </row>
    <row r="1334" spans="1:19" x14ac:dyDescent="0.25">
      <c r="A1334" s="3" t="s">
        <v>2707</v>
      </c>
      <c r="B1334" s="4" t="s">
        <v>528</v>
      </c>
      <c r="C1334" s="14">
        <v>45349</v>
      </c>
      <c r="D1334" s="4" t="s">
        <v>710</v>
      </c>
      <c r="E1334" s="4" t="s">
        <v>711</v>
      </c>
      <c r="F1334" s="4">
        <v>14.99</v>
      </c>
      <c r="G1334" s="4">
        <v>4</v>
      </c>
      <c r="H1334" s="4">
        <v>0</v>
      </c>
      <c r="I1334" s="4">
        <v>14.99</v>
      </c>
      <c r="J1334" s="4">
        <v>59.96</v>
      </c>
      <c r="K1334" s="4" t="s">
        <v>661</v>
      </c>
      <c r="L1334" s="4" t="s">
        <v>656</v>
      </c>
      <c r="M1334" s="5">
        <v>4</v>
      </c>
      <c r="N1334">
        <f>VLOOKUP(B1334,Customers!A:J,7,0)</f>
        <v>51</v>
      </c>
      <c r="O1334" t="str">
        <f>VLOOKUP(B1334,Customers!A:J,5,0)</f>
        <v>San Antonio</v>
      </c>
      <c r="P1334" t="str">
        <f>VLOOKUP(B1334,Customers!A:J,10,0)</f>
        <v>Platinum</v>
      </c>
      <c r="Q1334" t="str">
        <f>VLOOKUP(B1334,Customers!A:J,8,0)</f>
        <v>Male</v>
      </c>
      <c r="R1334" t="b">
        <f t="shared" si="40"/>
        <v>1</v>
      </c>
      <c r="S1334" s="18">
        <f t="shared" si="41"/>
        <v>45323</v>
      </c>
    </row>
    <row r="1335" spans="1:19" x14ac:dyDescent="0.25">
      <c r="A1335" s="6" t="s">
        <v>2708</v>
      </c>
      <c r="B1335" s="7" t="s">
        <v>528</v>
      </c>
      <c r="C1335" s="15">
        <v>44778</v>
      </c>
      <c r="D1335" s="7" t="s">
        <v>684</v>
      </c>
      <c r="E1335" s="7" t="s">
        <v>705</v>
      </c>
      <c r="F1335" s="7">
        <v>79.989999999999995</v>
      </c>
      <c r="G1335" s="7">
        <v>4</v>
      </c>
      <c r="H1335" s="7">
        <v>0</v>
      </c>
      <c r="I1335" s="7">
        <v>79.989999999999995</v>
      </c>
      <c r="J1335" s="7">
        <v>319.95999999999998</v>
      </c>
      <c r="K1335" s="7" t="s">
        <v>682</v>
      </c>
      <c r="L1335" s="7" t="s">
        <v>739</v>
      </c>
      <c r="M1335" s="8"/>
      <c r="N1335">
        <f>VLOOKUP(B1335,Customers!A:J,7,0)</f>
        <v>51</v>
      </c>
      <c r="O1335" t="str">
        <f>VLOOKUP(B1335,Customers!A:J,5,0)</f>
        <v>San Antonio</v>
      </c>
      <c r="P1335" t="str">
        <f>VLOOKUP(B1335,Customers!A:J,10,0)</f>
        <v>Platinum</v>
      </c>
      <c r="Q1335" t="str">
        <f>VLOOKUP(B1335,Customers!A:J,8,0)</f>
        <v>Male</v>
      </c>
      <c r="R1335" t="b">
        <f t="shared" si="40"/>
        <v>1</v>
      </c>
      <c r="S1335" s="18">
        <f t="shared" si="41"/>
        <v>44774</v>
      </c>
    </row>
    <row r="1336" spans="1:19" x14ac:dyDescent="0.25">
      <c r="A1336" s="3" t="s">
        <v>2710</v>
      </c>
      <c r="B1336" s="4" t="s">
        <v>528</v>
      </c>
      <c r="C1336" s="14">
        <v>45005</v>
      </c>
      <c r="D1336" s="4" t="s">
        <v>672</v>
      </c>
      <c r="E1336" s="4" t="s">
        <v>735</v>
      </c>
      <c r="F1336" s="4">
        <v>44.99</v>
      </c>
      <c r="G1336" s="4">
        <v>4</v>
      </c>
      <c r="H1336" s="4">
        <v>15</v>
      </c>
      <c r="I1336" s="4">
        <v>38.24</v>
      </c>
      <c r="J1336" s="4">
        <v>152.96</v>
      </c>
      <c r="K1336" s="4" t="s">
        <v>682</v>
      </c>
      <c r="L1336" s="4" t="s">
        <v>656</v>
      </c>
      <c r="M1336" s="5"/>
      <c r="N1336">
        <f>VLOOKUP(B1336,Customers!A:J,7,0)</f>
        <v>51</v>
      </c>
      <c r="O1336" t="str">
        <f>VLOOKUP(B1336,Customers!A:J,5,0)</f>
        <v>San Antonio</v>
      </c>
      <c r="P1336" t="str">
        <f>VLOOKUP(B1336,Customers!A:J,10,0)</f>
        <v>Platinum</v>
      </c>
      <c r="Q1336" t="str">
        <f>VLOOKUP(B1336,Customers!A:J,8,0)</f>
        <v>Male</v>
      </c>
      <c r="R1336" t="b">
        <f t="shared" si="40"/>
        <v>1</v>
      </c>
      <c r="S1336" s="18">
        <f t="shared" si="41"/>
        <v>44986</v>
      </c>
    </row>
    <row r="1337" spans="1:19" x14ac:dyDescent="0.25">
      <c r="A1337" s="6" t="s">
        <v>2711</v>
      </c>
      <c r="B1337" s="7" t="s">
        <v>528</v>
      </c>
      <c r="C1337" s="15">
        <v>44968</v>
      </c>
      <c r="D1337" s="7" t="s">
        <v>653</v>
      </c>
      <c r="E1337" s="7" t="s">
        <v>654</v>
      </c>
      <c r="F1337" s="7">
        <v>39.99</v>
      </c>
      <c r="G1337" s="7">
        <v>4</v>
      </c>
      <c r="H1337" s="7">
        <v>15</v>
      </c>
      <c r="I1337" s="7">
        <v>33.99</v>
      </c>
      <c r="J1337" s="7">
        <v>135.96</v>
      </c>
      <c r="K1337" s="7" t="s">
        <v>655</v>
      </c>
      <c r="L1337" s="7" t="s">
        <v>656</v>
      </c>
      <c r="M1337" s="8"/>
      <c r="N1337">
        <f>VLOOKUP(B1337,Customers!A:J,7,0)</f>
        <v>51</v>
      </c>
      <c r="O1337" t="str">
        <f>VLOOKUP(B1337,Customers!A:J,5,0)</f>
        <v>San Antonio</v>
      </c>
      <c r="P1337" t="str">
        <f>VLOOKUP(B1337,Customers!A:J,10,0)</f>
        <v>Platinum</v>
      </c>
      <c r="Q1337" t="str">
        <f>VLOOKUP(B1337,Customers!A:J,8,0)</f>
        <v>Male</v>
      </c>
      <c r="R1337" t="b">
        <f t="shared" si="40"/>
        <v>1</v>
      </c>
      <c r="S1337" s="18">
        <f t="shared" si="41"/>
        <v>44958</v>
      </c>
    </row>
    <row r="1338" spans="1:19" x14ac:dyDescent="0.25">
      <c r="A1338" s="3" t="s">
        <v>2712</v>
      </c>
      <c r="B1338" s="4" t="s">
        <v>528</v>
      </c>
      <c r="C1338" s="14">
        <v>45000</v>
      </c>
      <c r="D1338" s="4" t="s">
        <v>659</v>
      </c>
      <c r="E1338" s="4" t="s">
        <v>660</v>
      </c>
      <c r="F1338" s="4">
        <v>19.989999999999998</v>
      </c>
      <c r="G1338" s="4">
        <v>1</v>
      </c>
      <c r="H1338" s="4">
        <v>5</v>
      </c>
      <c r="I1338" s="4">
        <v>18.989999999999998</v>
      </c>
      <c r="J1338" s="4">
        <v>18.989999999999998</v>
      </c>
      <c r="K1338" s="4" t="s">
        <v>661</v>
      </c>
      <c r="L1338" s="4" t="s">
        <v>656</v>
      </c>
      <c r="M1338" s="5">
        <v>4</v>
      </c>
      <c r="N1338">
        <f>VLOOKUP(B1338,Customers!A:J,7,0)</f>
        <v>51</v>
      </c>
      <c r="O1338" t="str">
        <f>VLOOKUP(B1338,Customers!A:J,5,0)</f>
        <v>San Antonio</v>
      </c>
      <c r="P1338" t="str">
        <f>VLOOKUP(B1338,Customers!A:J,10,0)</f>
        <v>Platinum</v>
      </c>
      <c r="Q1338" t="str">
        <f>VLOOKUP(B1338,Customers!A:J,8,0)</f>
        <v>Male</v>
      </c>
      <c r="R1338" t="b">
        <f t="shared" si="40"/>
        <v>1</v>
      </c>
      <c r="S1338" s="18">
        <f t="shared" si="41"/>
        <v>44986</v>
      </c>
    </row>
    <row r="1339" spans="1:19" x14ac:dyDescent="0.25">
      <c r="A1339" s="6" t="s">
        <v>2713</v>
      </c>
      <c r="B1339" s="7" t="s">
        <v>528</v>
      </c>
      <c r="C1339" s="15">
        <v>45171</v>
      </c>
      <c r="D1339" s="7" t="s">
        <v>653</v>
      </c>
      <c r="E1339" s="7" t="s">
        <v>769</v>
      </c>
      <c r="F1339" s="7">
        <v>49.99</v>
      </c>
      <c r="G1339" s="7">
        <v>4</v>
      </c>
      <c r="H1339" s="7">
        <v>10</v>
      </c>
      <c r="I1339" s="7">
        <v>44.99</v>
      </c>
      <c r="J1339" s="7">
        <v>179.96</v>
      </c>
      <c r="K1339" s="7" t="s">
        <v>655</v>
      </c>
      <c r="L1339" s="7" t="s">
        <v>656</v>
      </c>
      <c r="M1339" s="8">
        <v>4</v>
      </c>
      <c r="N1339">
        <f>VLOOKUP(B1339,Customers!A:J,7,0)</f>
        <v>51</v>
      </c>
      <c r="O1339" t="str">
        <f>VLOOKUP(B1339,Customers!A:J,5,0)</f>
        <v>San Antonio</v>
      </c>
      <c r="P1339" t="str">
        <f>VLOOKUP(B1339,Customers!A:J,10,0)</f>
        <v>Platinum</v>
      </c>
      <c r="Q1339" t="str">
        <f>VLOOKUP(B1339,Customers!A:J,8,0)</f>
        <v>Male</v>
      </c>
      <c r="R1339" t="b">
        <f t="shared" si="40"/>
        <v>1</v>
      </c>
      <c r="S1339" s="18">
        <f t="shared" si="41"/>
        <v>45170</v>
      </c>
    </row>
    <row r="1340" spans="1:19" x14ac:dyDescent="0.25">
      <c r="A1340" s="3" t="s">
        <v>2714</v>
      </c>
      <c r="B1340" s="4" t="s">
        <v>528</v>
      </c>
      <c r="C1340" s="14">
        <v>44933</v>
      </c>
      <c r="D1340" s="4" t="s">
        <v>653</v>
      </c>
      <c r="E1340" s="4" t="s">
        <v>827</v>
      </c>
      <c r="F1340" s="4">
        <v>29.99</v>
      </c>
      <c r="G1340" s="4">
        <v>4</v>
      </c>
      <c r="H1340" s="4">
        <v>0</v>
      </c>
      <c r="I1340" s="4">
        <v>29.99</v>
      </c>
      <c r="J1340" s="4">
        <v>119.96</v>
      </c>
      <c r="K1340" s="4" t="s">
        <v>655</v>
      </c>
      <c r="L1340" s="4" t="s">
        <v>656</v>
      </c>
      <c r="M1340" s="5"/>
      <c r="N1340">
        <f>VLOOKUP(B1340,Customers!A:J,7,0)</f>
        <v>51</v>
      </c>
      <c r="O1340" t="str">
        <f>VLOOKUP(B1340,Customers!A:J,5,0)</f>
        <v>San Antonio</v>
      </c>
      <c r="P1340" t="str">
        <f>VLOOKUP(B1340,Customers!A:J,10,0)</f>
        <v>Platinum</v>
      </c>
      <c r="Q1340" t="str">
        <f>VLOOKUP(B1340,Customers!A:J,8,0)</f>
        <v>Male</v>
      </c>
      <c r="R1340" t="b">
        <f t="shared" si="40"/>
        <v>1</v>
      </c>
      <c r="S1340" s="18">
        <f t="shared" si="41"/>
        <v>44927</v>
      </c>
    </row>
    <row r="1341" spans="1:19" x14ac:dyDescent="0.25">
      <c r="A1341" s="6" t="s">
        <v>2716</v>
      </c>
      <c r="B1341" s="7" t="s">
        <v>528</v>
      </c>
      <c r="C1341" s="15">
        <v>45242</v>
      </c>
      <c r="D1341" s="7" t="s">
        <v>659</v>
      </c>
      <c r="E1341" s="7" t="s">
        <v>820</v>
      </c>
      <c r="F1341" s="7">
        <v>39.99</v>
      </c>
      <c r="G1341" s="7">
        <v>1</v>
      </c>
      <c r="H1341" s="7">
        <v>5</v>
      </c>
      <c r="I1341" s="7">
        <v>37.99</v>
      </c>
      <c r="J1341" s="7">
        <v>37.99</v>
      </c>
      <c r="K1341" s="7" t="s">
        <v>682</v>
      </c>
      <c r="L1341" s="7" t="s">
        <v>656</v>
      </c>
      <c r="M1341" s="8">
        <v>4</v>
      </c>
      <c r="N1341">
        <f>VLOOKUP(B1341,Customers!A:J,7,0)</f>
        <v>51</v>
      </c>
      <c r="O1341" t="str">
        <f>VLOOKUP(B1341,Customers!A:J,5,0)</f>
        <v>San Antonio</v>
      </c>
      <c r="P1341" t="str">
        <f>VLOOKUP(B1341,Customers!A:J,10,0)</f>
        <v>Platinum</v>
      </c>
      <c r="Q1341" t="str">
        <f>VLOOKUP(B1341,Customers!A:J,8,0)</f>
        <v>Male</v>
      </c>
      <c r="R1341" t="b">
        <f t="shared" si="40"/>
        <v>1</v>
      </c>
      <c r="S1341" s="18">
        <f t="shared" si="41"/>
        <v>45231</v>
      </c>
    </row>
    <row r="1342" spans="1:19" x14ac:dyDescent="0.25">
      <c r="A1342" s="3" t="s">
        <v>2717</v>
      </c>
      <c r="B1342" s="4" t="s">
        <v>528</v>
      </c>
      <c r="C1342" s="14">
        <v>44843</v>
      </c>
      <c r="D1342" s="4" t="s">
        <v>672</v>
      </c>
      <c r="E1342" s="4" t="s">
        <v>735</v>
      </c>
      <c r="F1342" s="4">
        <v>44.99</v>
      </c>
      <c r="G1342" s="4">
        <v>1</v>
      </c>
      <c r="H1342" s="4">
        <v>0</v>
      </c>
      <c r="I1342" s="4">
        <v>44.99</v>
      </c>
      <c r="J1342" s="4">
        <v>44.99</v>
      </c>
      <c r="K1342" s="4" t="s">
        <v>682</v>
      </c>
      <c r="L1342" s="4" t="s">
        <v>656</v>
      </c>
      <c r="M1342" s="5">
        <v>4</v>
      </c>
      <c r="N1342">
        <f>VLOOKUP(B1342,Customers!A:J,7,0)</f>
        <v>51</v>
      </c>
      <c r="O1342" t="str">
        <f>VLOOKUP(B1342,Customers!A:J,5,0)</f>
        <v>San Antonio</v>
      </c>
      <c r="P1342" t="str">
        <f>VLOOKUP(B1342,Customers!A:J,10,0)</f>
        <v>Platinum</v>
      </c>
      <c r="Q1342" t="str">
        <f>VLOOKUP(B1342,Customers!A:J,8,0)</f>
        <v>Male</v>
      </c>
      <c r="R1342" t="b">
        <f t="shared" si="40"/>
        <v>1</v>
      </c>
      <c r="S1342" s="18">
        <f t="shared" si="41"/>
        <v>44835</v>
      </c>
    </row>
    <row r="1343" spans="1:19" x14ac:dyDescent="0.25">
      <c r="A1343" s="6" t="s">
        <v>2719</v>
      </c>
      <c r="B1343" s="7" t="s">
        <v>530</v>
      </c>
      <c r="C1343" s="15">
        <v>45347</v>
      </c>
      <c r="D1343" s="7" t="s">
        <v>684</v>
      </c>
      <c r="E1343" s="7" t="s">
        <v>705</v>
      </c>
      <c r="F1343" s="7">
        <v>79.989999999999995</v>
      </c>
      <c r="G1343" s="7">
        <v>1</v>
      </c>
      <c r="H1343" s="7">
        <v>10</v>
      </c>
      <c r="I1343" s="7">
        <v>71.989999999999995</v>
      </c>
      <c r="J1343" s="7">
        <v>71.989999999999995</v>
      </c>
      <c r="K1343" s="7" t="s">
        <v>682</v>
      </c>
      <c r="L1343" s="7" t="s">
        <v>656</v>
      </c>
      <c r="M1343" s="8"/>
      <c r="N1343">
        <f>VLOOKUP(B1343,Customers!A:J,7,0)</f>
        <v>50</v>
      </c>
      <c r="O1343" t="str">
        <f>VLOOKUP(B1343,Customers!A:J,5,0)</f>
        <v>San Diego</v>
      </c>
      <c r="P1343" t="str">
        <f>VLOOKUP(B1343,Customers!A:J,10,0)</f>
        <v>Silver</v>
      </c>
      <c r="Q1343" t="str">
        <f>VLOOKUP(B1343,Customers!A:J,8,0)</f>
        <v>Female</v>
      </c>
      <c r="R1343" t="b">
        <f t="shared" si="40"/>
        <v>1</v>
      </c>
      <c r="S1343" s="18">
        <f t="shared" si="41"/>
        <v>45323</v>
      </c>
    </row>
    <row r="1344" spans="1:19" x14ac:dyDescent="0.25">
      <c r="A1344" s="3" t="s">
        <v>2721</v>
      </c>
      <c r="B1344" s="4" t="s">
        <v>530</v>
      </c>
      <c r="C1344" s="14">
        <v>45579</v>
      </c>
      <c r="D1344" s="4" t="s">
        <v>672</v>
      </c>
      <c r="E1344" s="4" t="s">
        <v>735</v>
      </c>
      <c r="F1344" s="4">
        <v>44.99</v>
      </c>
      <c r="G1344" s="4">
        <v>3</v>
      </c>
      <c r="H1344" s="4">
        <v>15</v>
      </c>
      <c r="I1344" s="4">
        <v>38.24</v>
      </c>
      <c r="J1344" s="4">
        <v>114.72</v>
      </c>
      <c r="K1344" s="4" t="s">
        <v>675</v>
      </c>
      <c r="L1344" s="4" t="s">
        <v>788</v>
      </c>
      <c r="M1344" s="5">
        <v>4</v>
      </c>
      <c r="N1344">
        <f>VLOOKUP(B1344,Customers!A:J,7,0)</f>
        <v>50</v>
      </c>
      <c r="O1344" t="str">
        <f>VLOOKUP(B1344,Customers!A:J,5,0)</f>
        <v>San Diego</v>
      </c>
      <c r="P1344" t="str">
        <f>VLOOKUP(B1344,Customers!A:J,10,0)</f>
        <v>Silver</v>
      </c>
      <c r="Q1344" t="str">
        <f>VLOOKUP(B1344,Customers!A:J,8,0)</f>
        <v>Female</v>
      </c>
      <c r="R1344" t="b">
        <f t="shared" si="40"/>
        <v>1</v>
      </c>
      <c r="S1344" s="18">
        <f t="shared" si="41"/>
        <v>45566</v>
      </c>
    </row>
    <row r="1345" spans="1:19" x14ac:dyDescent="0.25">
      <c r="A1345" s="6" t="s">
        <v>2722</v>
      </c>
      <c r="B1345" s="7" t="s">
        <v>530</v>
      </c>
      <c r="C1345" s="15">
        <v>44688</v>
      </c>
      <c r="D1345" s="7" t="s">
        <v>680</v>
      </c>
      <c r="E1345" s="7" t="s">
        <v>688</v>
      </c>
      <c r="F1345" s="7">
        <v>29.99</v>
      </c>
      <c r="G1345" s="7">
        <v>2</v>
      </c>
      <c r="H1345" s="7">
        <v>0</v>
      </c>
      <c r="I1345" s="7">
        <v>29.99</v>
      </c>
      <c r="J1345" s="7">
        <v>59.98</v>
      </c>
      <c r="K1345" s="7" t="s">
        <v>661</v>
      </c>
      <c r="L1345" s="7" t="s">
        <v>656</v>
      </c>
      <c r="M1345" s="8"/>
      <c r="N1345">
        <f>VLOOKUP(B1345,Customers!A:J,7,0)</f>
        <v>50</v>
      </c>
      <c r="O1345" t="str">
        <f>VLOOKUP(B1345,Customers!A:J,5,0)</f>
        <v>San Diego</v>
      </c>
      <c r="P1345" t="str">
        <f>VLOOKUP(B1345,Customers!A:J,10,0)</f>
        <v>Silver</v>
      </c>
      <c r="Q1345" t="str">
        <f>VLOOKUP(B1345,Customers!A:J,8,0)</f>
        <v>Female</v>
      </c>
      <c r="R1345" t="b">
        <f t="shared" si="40"/>
        <v>1</v>
      </c>
      <c r="S1345" s="18">
        <f t="shared" si="41"/>
        <v>44682</v>
      </c>
    </row>
    <row r="1346" spans="1:19" x14ac:dyDescent="0.25">
      <c r="A1346" s="3" t="s">
        <v>2723</v>
      </c>
      <c r="B1346" s="4" t="s">
        <v>530</v>
      </c>
      <c r="C1346" s="14">
        <v>45058</v>
      </c>
      <c r="D1346" s="4" t="s">
        <v>710</v>
      </c>
      <c r="E1346" s="4" t="s">
        <v>721</v>
      </c>
      <c r="F1346" s="4">
        <v>24.99</v>
      </c>
      <c r="G1346" s="4">
        <v>3</v>
      </c>
      <c r="H1346" s="4">
        <v>0</v>
      </c>
      <c r="I1346" s="4">
        <v>24.99</v>
      </c>
      <c r="J1346" s="4">
        <v>74.97</v>
      </c>
      <c r="K1346" s="4" t="s">
        <v>675</v>
      </c>
      <c r="L1346" s="4" t="s">
        <v>656</v>
      </c>
      <c r="M1346" s="5">
        <v>5</v>
      </c>
      <c r="N1346">
        <f>VLOOKUP(B1346,Customers!A:J,7,0)</f>
        <v>50</v>
      </c>
      <c r="O1346" t="str">
        <f>VLOOKUP(B1346,Customers!A:J,5,0)</f>
        <v>San Diego</v>
      </c>
      <c r="P1346" t="str">
        <f>VLOOKUP(B1346,Customers!A:J,10,0)</f>
        <v>Silver</v>
      </c>
      <c r="Q1346" t="str">
        <f>VLOOKUP(B1346,Customers!A:J,8,0)</f>
        <v>Female</v>
      </c>
      <c r="R1346" t="b">
        <f t="shared" si="40"/>
        <v>1</v>
      </c>
      <c r="S1346" s="18">
        <f t="shared" si="41"/>
        <v>45047</v>
      </c>
    </row>
    <row r="1347" spans="1:19" x14ac:dyDescent="0.25">
      <c r="A1347" s="6" t="s">
        <v>2724</v>
      </c>
      <c r="B1347" s="7" t="s">
        <v>530</v>
      </c>
      <c r="C1347" s="15">
        <v>44671</v>
      </c>
      <c r="D1347" s="7" t="s">
        <v>684</v>
      </c>
      <c r="E1347" s="7" t="s">
        <v>705</v>
      </c>
      <c r="F1347" s="7">
        <v>79.989999999999995</v>
      </c>
      <c r="G1347" s="7">
        <v>1</v>
      </c>
      <c r="H1347" s="7">
        <v>10</v>
      </c>
      <c r="I1347" s="7">
        <v>71.989999999999995</v>
      </c>
      <c r="J1347" s="7">
        <v>71.989999999999995</v>
      </c>
      <c r="K1347" s="7" t="s">
        <v>661</v>
      </c>
      <c r="L1347" s="7" t="s">
        <v>656</v>
      </c>
      <c r="M1347" s="8">
        <v>5</v>
      </c>
      <c r="N1347">
        <f>VLOOKUP(B1347,Customers!A:J,7,0)</f>
        <v>50</v>
      </c>
      <c r="O1347" t="str">
        <f>VLOOKUP(B1347,Customers!A:J,5,0)</f>
        <v>San Diego</v>
      </c>
      <c r="P1347" t="str">
        <f>VLOOKUP(B1347,Customers!A:J,10,0)</f>
        <v>Silver</v>
      </c>
      <c r="Q1347" t="str">
        <f>VLOOKUP(B1347,Customers!A:J,8,0)</f>
        <v>Female</v>
      </c>
      <c r="R1347" t="b">
        <f t="shared" ref="R1347:R1410" si="42">ISNUMBER(C1347)</f>
        <v>1</v>
      </c>
      <c r="S1347" s="18">
        <f t="shared" ref="S1347:S1410" si="43">DATE(YEAR(C1347),MONTH(C1347),1)</f>
        <v>44652</v>
      </c>
    </row>
    <row r="1348" spans="1:19" x14ac:dyDescent="0.25">
      <c r="A1348" s="3" t="s">
        <v>2725</v>
      </c>
      <c r="B1348" s="4" t="s">
        <v>530</v>
      </c>
      <c r="C1348" s="14">
        <v>45184</v>
      </c>
      <c r="D1348" s="4" t="s">
        <v>659</v>
      </c>
      <c r="E1348" s="4" t="s">
        <v>664</v>
      </c>
      <c r="F1348" s="4">
        <v>24.99</v>
      </c>
      <c r="G1348" s="4">
        <v>4</v>
      </c>
      <c r="H1348" s="4">
        <v>0</v>
      </c>
      <c r="I1348" s="4">
        <v>24.99</v>
      </c>
      <c r="J1348" s="4">
        <v>99.96</v>
      </c>
      <c r="K1348" s="4" t="s">
        <v>661</v>
      </c>
      <c r="L1348" s="4" t="s">
        <v>656</v>
      </c>
      <c r="M1348" s="5">
        <v>2</v>
      </c>
      <c r="N1348">
        <f>VLOOKUP(B1348,Customers!A:J,7,0)</f>
        <v>50</v>
      </c>
      <c r="O1348" t="str">
        <f>VLOOKUP(B1348,Customers!A:J,5,0)</f>
        <v>San Diego</v>
      </c>
      <c r="P1348" t="str">
        <f>VLOOKUP(B1348,Customers!A:J,10,0)</f>
        <v>Silver</v>
      </c>
      <c r="Q1348" t="str">
        <f>VLOOKUP(B1348,Customers!A:J,8,0)</f>
        <v>Female</v>
      </c>
      <c r="R1348" t="b">
        <f t="shared" si="42"/>
        <v>1</v>
      </c>
      <c r="S1348" s="18">
        <f t="shared" si="43"/>
        <v>45170</v>
      </c>
    </row>
    <row r="1349" spans="1:19" x14ac:dyDescent="0.25">
      <c r="A1349" s="6" t="s">
        <v>2726</v>
      </c>
      <c r="B1349" s="7" t="s">
        <v>530</v>
      </c>
      <c r="C1349" s="15">
        <v>44964</v>
      </c>
      <c r="D1349" s="7" t="s">
        <v>680</v>
      </c>
      <c r="E1349" s="7" t="s">
        <v>708</v>
      </c>
      <c r="F1349" s="7">
        <v>24.99</v>
      </c>
      <c r="G1349" s="7">
        <v>4</v>
      </c>
      <c r="H1349" s="7">
        <v>0</v>
      </c>
      <c r="I1349" s="7">
        <v>24.99</v>
      </c>
      <c r="J1349" s="7">
        <v>99.96</v>
      </c>
      <c r="K1349" s="7" t="s">
        <v>682</v>
      </c>
      <c r="L1349" s="7" t="s">
        <v>656</v>
      </c>
      <c r="M1349" s="8">
        <v>5</v>
      </c>
      <c r="N1349">
        <f>VLOOKUP(B1349,Customers!A:J,7,0)</f>
        <v>50</v>
      </c>
      <c r="O1349" t="str">
        <f>VLOOKUP(B1349,Customers!A:J,5,0)</f>
        <v>San Diego</v>
      </c>
      <c r="P1349" t="str">
        <f>VLOOKUP(B1349,Customers!A:J,10,0)</f>
        <v>Silver</v>
      </c>
      <c r="Q1349" t="str">
        <f>VLOOKUP(B1349,Customers!A:J,8,0)</f>
        <v>Female</v>
      </c>
      <c r="R1349" t="b">
        <f t="shared" si="42"/>
        <v>1</v>
      </c>
      <c r="S1349" s="18">
        <f t="shared" si="43"/>
        <v>44958</v>
      </c>
    </row>
    <row r="1350" spans="1:19" x14ac:dyDescent="0.25">
      <c r="A1350" s="3" t="s">
        <v>2727</v>
      </c>
      <c r="B1350" s="4" t="s">
        <v>530</v>
      </c>
      <c r="C1350" s="14">
        <v>45118</v>
      </c>
      <c r="D1350" s="4" t="s">
        <v>672</v>
      </c>
      <c r="E1350" s="4" t="s">
        <v>724</v>
      </c>
      <c r="F1350" s="4">
        <v>89.99</v>
      </c>
      <c r="G1350" s="4">
        <v>4</v>
      </c>
      <c r="H1350" s="4">
        <v>0</v>
      </c>
      <c r="I1350" s="4">
        <v>89.99</v>
      </c>
      <c r="J1350" s="4">
        <v>359.96</v>
      </c>
      <c r="K1350" s="4" t="s">
        <v>675</v>
      </c>
      <c r="L1350" s="4" t="s">
        <v>656</v>
      </c>
      <c r="M1350" s="5">
        <v>4</v>
      </c>
      <c r="N1350">
        <f>VLOOKUP(B1350,Customers!A:J,7,0)</f>
        <v>50</v>
      </c>
      <c r="O1350" t="str">
        <f>VLOOKUP(B1350,Customers!A:J,5,0)</f>
        <v>San Diego</v>
      </c>
      <c r="P1350" t="str">
        <f>VLOOKUP(B1350,Customers!A:J,10,0)</f>
        <v>Silver</v>
      </c>
      <c r="Q1350" t="str">
        <f>VLOOKUP(B1350,Customers!A:J,8,0)</f>
        <v>Female</v>
      </c>
      <c r="R1350" t="b">
        <f t="shared" si="42"/>
        <v>1</v>
      </c>
      <c r="S1350" s="18">
        <f t="shared" si="43"/>
        <v>45108</v>
      </c>
    </row>
    <row r="1351" spans="1:19" x14ac:dyDescent="0.25">
      <c r="A1351" s="6" t="s">
        <v>2728</v>
      </c>
      <c r="B1351" s="7" t="s">
        <v>530</v>
      </c>
      <c r="C1351" s="15">
        <v>44892</v>
      </c>
      <c r="D1351" s="7" t="s">
        <v>710</v>
      </c>
      <c r="E1351" s="7" t="s">
        <v>721</v>
      </c>
      <c r="F1351" s="7">
        <v>24.99</v>
      </c>
      <c r="G1351" s="7">
        <v>4</v>
      </c>
      <c r="H1351" s="7">
        <v>5</v>
      </c>
      <c r="I1351" s="7">
        <v>23.74</v>
      </c>
      <c r="J1351" s="7">
        <v>94.96</v>
      </c>
      <c r="K1351" s="7" t="s">
        <v>669</v>
      </c>
      <c r="L1351" s="7" t="s">
        <v>656</v>
      </c>
      <c r="M1351" s="8">
        <v>3</v>
      </c>
      <c r="N1351">
        <f>VLOOKUP(B1351,Customers!A:J,7,0)</f>
        <v>50</v>
      </c>
      <c r="O1351" t="str">
        <f>VLOOKUP(B1351,Customers!A:J,5,0)</f>
        <v>San Diego</v>
      </c>
      <c r="P1351" t="str">
        <f>VLOOKUP(B1351,Customers!A:J,10,0)</f>
        <v>Silver</v>
      </c>
      <c r="Q1351" t="str">
        <f>VLOOKUP(B1351,Customers!A:J,8,0)</f>
        <v>Female</v>
      </c>
      <c r="R1351" t="b">
        <f t="shared" si="42"/>
        <v>1</v>
      </c>
      <c r="S1351" s="18">
        <f t="shared" si="43"/>
        <v>44866</v>
      </c>
    </row>
    <row r="1352" spans="1:19" x14ac:dyDescent="0.25">
      <c r="A1352" s="3" t="s">
        <v>2730</v>
      </c>
      <c r="B1352" s="4" t="s">
        <v>530</v>
      </c>
      <c r="C1352" s="14">
        <v>44572</v>
      </c>
      <c r="D1352" s="4" t="s">
        <v>659</v>
      </c>
      <c r="E1352" s="4" t="s">
        <v>660</v>
      </c>
      <c r="F1352" s="4">
        <v>19.989999999999998</v>
      </c>
      <c r="G1352" s="4">
        <v>4</v>
      </c>
      <c r="H1352" s="4">
        <v>20</v>
      </c>
      <c r="I1352" s="4">
        <v>15.99</v>
      </c>
      <c r="J1352" s="4">
        <v>63.96</v>
      </c>
      <c r="K1352" s="4" t="s">
        <v>669</v>
      </c>
      <c r="L1352" s="4" t="s">
        <v>656</v>
      </c>
      <c r="M1352" s="5">
        <v>4</v>
      </c>
      <c r="N1352">
        <f>VLOOKUP(B1352,Customers!A:J,7,0)</f>
        <v>50</v>
      </c>
      <c r="O1352" t="str">
        <f>VLOOKUP(B1352,Customers!A:J,5,0)</f>
        <v>San Diego</v>
      </c>
      <c r="P1352" t="str">
        <f>VLOOKUP(B1352,Customers!A:J,10,0)</f>
        <v>Silver</v>
      </c>
      <c r="Q1352" t="str">
        <f>VLOOKUP(B1352,Customers!A:J,8,0)</f>
        <v>Female</v>
      </c>
      <c r="R1352" t="b">
        <f t="shared" si="42"/>
        <v>1</v>
      </c>
      <c r="S1352" s="18">
        <f t="shared" si="43"/>
        <v>44562</v>
      </c>
    </row>
    <row r="1353" spans="1:19" x14ac:dyDescent="0.25">
      <c r="A1353" s="6" t="s">
        <v>2731</v>
      </c>
      <c r="B1353" s="7" t="s">
        <v>533</v>
      </c>
      <c r="C1353" s="15">
        <v>44994</v>
      </c>
      <c r="D1353" s="7" t="s">
        <v>710</v>
      </c>
      <c r="E1353" s="7" t="s">
        <v>711</v>
      </c>
      <c r="F1353" s="7">
        <v>14.99</v>
      </c>
      <c r="G1353" s="7">
        <v>2</v>
      </c>
      <c r="H1353" s="7">
        <v>15</v>
      </c>
      <c r="I1353" s="7">
        <v>12.74</v>
      </c>
      <c r="J1353" s="7">
        <v>25.48</v>
      </c>
      <c r="K1353" s="7" t="s">
        <v>675</v>
      </c>
      <c r="L1353" s="7" t="s">
        <v>656</v>
      </c>
      <c r="M1353" s="8">
        <v>3</v>
      </c>
      <c r="N1353">
        <f>VLOOKUP(B1353,Customers!A:J,7,0)</f>
        <v>41</v>
      </c>
      <c r="O1353" t="str">
        <f>VLOOKUP(B1353,Customers!A:J,5,0)</f>
        <v>Dallas</v>
      </c>
      <c r="P1353" t="str">
        <f>VLOOKUP(B1353,Customers!A:J,10,0)</f>
        <v>Gold</v>
      </c>
      <c r="Q1353" t="str">
        <f>VLOOKUP(B1353,Customers!A:J,8,0)</f>
        <v>Male</v>
      </c>
      <c r="R1353" t="b">
        <f t="shared" si="42"/>
        <v>1</v>
      </c>
      <c r="S1353" s="18">
        <f t="shared" si="43"/>
        <v>44986</v>
      </c>
    </row>
    <row r="1354" spans="1:19" x14ac:dyDescent="0.25">
      <c r="A1354" s="3" t="s">
        <v>2732</v>
      </c>
      <c r="B1354" s="4" t="s">
        <v>533</v>
      </c>
      <c r="C1354" s="14">
        <v>45051</v>
      </c>
      <c r="D1354" s="4" t="s">
        <v>653</v>
      </c>
      <c r="E1354" s="4" t="s">
        <v>769</v>
      </c>
      <c r="F1354" s="4">
        <v>49.99</v>
      </c>
      <c r="G1354" s="4">
        <v>1</v>
      </c>
      <c r="H1354" s="4">
        <v>0</v>
      </c>
      <c r="I1354" s="4">
        <v>49.99</v>
      </c>
      <c r="J1354" s="4">
        <v>49.99</v>
      </c>
      <c r="K1354" s="4" t="s">
        <v>655</v>
      </c>
      <c r="L1354" s="4" t="s">
        <v>656</v>
      </c>
      <c r="M1354" s="5"/>
      <c r="N1354">
        <f>VLOOKUP(B1354,Customers!A:J,7,0)</f>
        <v>41</v>
      </c>
      <c r="O1354" t="str">
        <f>VLOOKUP(B1354,Customers!A:J,5,0)</f>
        <v>Dallas</v>
      </c>
      <c r="P1354" t="str">
        <f>VLOOKUP(B1354,Customers!A:J,10,0)</f>
        <v>Gold</v>
      </c>
      <c r="Q1354" t="str">
        <f>VLOOKUP(B1354,Customers!A:J,8,0)</f>
        <v>Male</v>
      </c>
      <c r="R1354" t="b">
        <f t="shared" si="42"/>
        <v>1</v>
      </c>
      <c r="S1354" s="18">
        <f t="shared" si="43"/>
        <v>45047</v>
      </c>
    </row>
    <row r="1355" spans="1:19" x14ac:dyDescent="0.25">
      <c r="A1355" s="6" t="s">
        <v>2733</v>
      </c>
      <c r="B1355" s="7" t="s">
        <v>533</v>
      </c>
      <c r="C1355" s="15">
        <v>45620</v>
      </c>
      <c r="D1355" s="7" t="s">
        <v>653</v>
      </c>
      <c r="E1355" s="7" t="s">
        <v>654</v>
      </c>
      <c r="F1355" s="7">
        <v>39.99</v>
      </c>
      <c r="G1355" s="7">
        <v>4</v>
      </c>
      <c r="H1355" s="7">
        <v>0</v>
      </c>
      <c r="I1355" s="7">
        <v>39.99</v>
      </c>
      <c r="J1355" s="7">
        <v>159.96</v>
      </c>
      <c r="K1355" s="7" t="s">
        <v>682</v>
      </c>
      <c r="L1355" s="7" t="s">
        <v>788</v>
      </c>
      <c r="M1355" s="8">
        <v>5</v>
      </c>
      <c r="N1355">
        <f>VLOOKUP(B1355,Customers!A:J,7,0)</f>
        <v>41</v>
      </c>
      <c r="O1355" t="str">
        <f>VLOOKUP(B1355,Customers!A:J,5,0)</f>
        <v>Dallas</v>
      </c>
      <c r="P1355" t="str">
        <f>VLOOKUP(B1355,Customers!A:J,10,0)</f>
        <v>Gold</v>
      </c>
      <c r="Q1355" t="str">
        <f>VLOOKUP(B1355,Customers!A:J,8,0)</f>
        <v>Male</v>
      </c>
      <c r="R1355" t="b">
        <f t="shared" si="42"/>
        <v>1</v>
      </c>
      <c r="S1355" s="18">
        <f t="shared" si="43"/>
        <v>45597</v>
      </c>
    </row>
    <row r="1356" spans="1:19" x14ac:dyDescent="0.25">
      <c r="A1356" s="3" t="s">
        <v>2734</v>
      </c>
      <c r="B1356" s="4" t="s">
        <v>533</v>
      </c>
      <c r="C1356" s="14">
        <v>45404</v>
      </c>
      <c r="D1356" s="4" t="s">
        <v>659</v>
      </c>
      <c r="E1356" s="4" t="s">
        <v>762</v>
      </c>
      <c r="F1356" s="4">
        <v>49.99</v>
      </c>
      <c r="G1356" s="4">
        <v>3</v>
      </c>
      <c r="H1356" s="4">
        <v>15</v>
      </c>
      <c r="I1356" s="4">
        <v>42.49</v>
      </c>
      <c r="J1356" s="4">
        <v>127.47</v>
      </c>
      <c r="K1356" s="4" t="s">
        <v>655</v>
      </c>
      <c r="L1356" s="4" t="s">
        <v>739</v>
      </c>
      <c r="M1356" s="5"/>
      <c r="N1356">
        <f>VLOOKUP(B1356,Customers!A:J,7,0)</f>
        <v>41</v>
      </c>
      <c r="O1356" t="str">
        <f>VLOOKUP(B1356,Customers!A:J,5,0)</f>
        <v>Dallas</v>
      </c>
      <c r="P1356" t="str">
        <f>VLOOKUP(B1356,Customers!A:J,10,0)</f>
        <v>Gold</v>
      </c>
      <c r="Q1356" t="str">
        <f>VLOOKUP(B1356,Customers!A:J,8,0)</f>
        <v>Male</v>
      </c>
      <c r="R1356" t="b">
        <f t="shared" si="42"/>
        <v>1</v>
      </c>
      <c r="S1356" s="18">
        <f t="shared" si="43"/>
        <v>45383</v>
      </c>
    </row>
    <row r="1357" spans="1:19" x14ac:dyDescent="0.25">
      <c r="A1357" s="6" t="s">
        <v>2735</v>
      </c>
      <c r="B1357" s="7" t="s">
        <v>536</v>
      </c>
      <c r="C1357" s="15">
        <v>45294</v>
      </c>
      <c r="D1357" s="7" t="s">
        <v>684</v>
      </c>
      <c r="E1357" s="7" t="s">
        <v>685</v>
      </c>
      <c r="F1357" s="7">
        <v>49.99</v>
      </c>
      <c r="G1357" s="7">
        <v>4</v>
      </c>
      <c r="H1357" s="7">
        <v>5</v>
      </c>
      <c r="I1357" s="7">
        <v>47.49</v>
      </c>
      <c r="J1357" s="7">
        <v>189.96</v>
      </c>
      <c r="K1357" s="7" t="s">
        <v>682</v>
      </c>
      <c r="L1357" s="7" t="s">
        <v>656</v>
      </c>
      <c r="M1357" s="8">
        <v>5</v>
      </c>
      <c r="N1357">
        <f>VLOOKUP(B1357,Customers!A:J,7,0)</f>
        <v>54</v>
      </c>
      <c r="O1357" t="str">
        <f>VLOOKUP(B1357,Customers!A:J,5,0)</f>
        <v>Jacksonville</v>
      </c>
      <c r="P1357" t="str">
        <f>VLOOKUP(B1357,Customers!A:J,10,0)</f>
        <v>Free</v>
      </c>
      <c r="Q1357" t="str">
        <f>VLOOKUP(B1357,Customers!A:J,8,0)</f>
        <v>Female</v>
      </c>
      <c r="R1357" t="b">
        <f t="shared" si="42"/>
        <v>1</v>
      </c>
      <c r="S1357" s="18">
        <f t="shared" si="43"/>
        <v>45292</v>
      </c>
    </row>
    <row r="1358" spans="1:19" x14ac:dyDescent="0.25">
      <c r="A1358" s="3" t="s">
        <v>2736</v>
      </c>
      <c r="B1358" s="4" t="s">
        <v>536</v>
      </c>
      <c r="C1358" s="14">
        <v>45572</v>
      </c>
      <c r="D1358" s="4" t="s">
        <v>684</v>
      </c>
      <c r="E1358" s="4" t="s">
        <v>815</v>
      </c>
      <c r="F1358" s="4">
        <v>34.99</v>
      </c>
      <c r="G1358" s="4">
        <v>1</v>
      </c>
      <c r="H1358" s="4">
        <v>10</v>
      </c>
      <c r="I1358" s="4">
        <v>31.49</v>
      </c>
      <c r="J1358" s="4">
        <v>31.49</v>
      </c>
      <c r="K1358" s="4" t="s">
        <v>669</v>
      </c>
      <c r="L1358" s="4" t="s">
        <v>656</v>
      </c>
      <c r="M1358" s="5">
        <v>5</v>
      </c>
      <c r="N1358">
        <f>VLOOKUP(B1358,Customers!A:J,7,0)</f>
        <v>54</v>
      </c>
      <c r="O1358" t="str">
        <f>VLOOKUP(B1358,Customers!A:J,5,0)</f>
        <v>Jacksonville</v>
      </c>
      <c r="P1358" t="str">
        <f>VLOOKUP(B1358,Customers!A:J,10,0)</f>
        <v>Free</v>
      </c>
      <c r="Q1358" t="str">
        <f>VLOOKUP(B1358,Customers!A:J,8,0)</f>
        <v>Female</v>
      </c>
      <c r="R1358" t="b">
        <f t="shared" si="42"/>
        <v>1</v>
      </c>
      <c r="S1358" s="18">
        <f t="shared" si="43"/>
        <v>45566</v>
      </c>
    </row>
    <row r="1359" spans="1:19" x14ac:dyDescent="0.25">
      <c r="A1359" s="6" t="s">
        <v>2737</v>
      </c>
      <c r="B1359" s="7" t="s">
        <v>536</v>
      </c>
      <c r="C1359" s="15">
        <v>44747</v>
      </c>
      <c r="D1359" s="7" t="s">
        <v>672</v>
      </c>
      <c r="E1359" s="7" t="s">
        <v>673</v>
      </c>
      <c r="F1359" s="7">
        <v>24.99</v>
      </c>
      <c r="G1359" s="7">
        <v>1</v>
      </c>
      <c r="H1359" s="7">
        <v>0</v>
      </c>
      <c r="I1359" s="7">
        <v>24.99</v>
      </c>
      <c r="J1359" s="7">
        <v>24.99</v>
      </c>
      <c r="K1359" s="7" t="s">
        <v>661</v>
      </c>
      <c r="L1359" s="7" t="s">
        <v>656</v>
      </c>
      <c r="M1359" s="8">
        <v>5</v>
      </c>
      <c r="N1359">
        <f>VLOOKUP(B1359,Customers!A:J,7,0)</f>
        <v>54</v>
      </c>
      <c r="O1359" t="str">
        <f>VLOOKUP(B1359,Customers!A:J,5,0)</f>
        <v>Jacksonville</v>
      </c>
      <c r="P1359" t="str">
        <f>VLOOKUP(B1359,Customers!A:J,10,0)</f>
        <v>Free</v>
      </c>
      <c r="Q1359" t="str">
        <f>VLOOKUP(B1359,Customers!A:J,8,0)</f>
        <v>Female</v>
      </c>
      <c r="R1359" t="b">
        <f t="shared" si="42"/>
        <v>1</v>
      </c>
      <c r="S1359" s="18">
        <f t="shared" si="43"/>
        <v>44743</v>
      </c>
    </row>
    <row r="1360" spans="1:19" x14ac:dyDescent="0.25">
      <c r="A1360" s="3" t="s">
        <v>2738</v>
      </c>
      <c r="B1360" s="4" t="s">
        <v>536</v>
      </c>
      <c r="C1360" s="14">
        <v>45577</v>
      </c>
      <c r="D1360" s="4" t="s">
        <v>710</v>
      </c>
      <c r="E1360" s="4" t="s">
        <v>730</v>
      </c>
      <c r="F1360" s="4">
        <v>39.99</v>
      </c>
      <c r="G1360" s="4">
        <v>1</v>
      </c>
      <c r="H1360" s="4">
        <v>15</v>
      </c>
      <c r="I1360" s="4">
        <v>33.99</v>
      </c>
      <c r="J1360" s="4">
        <v>33.99</v>
      </c>
      <c r="K1360" s="4" t="s">
        <v>661</v>
      </c>
      <c r="L1360" s="4" t="s">
        <v>656</v>
      </c>
      <c r="M1360" s="5">
        <v>2</v>
      </c>
      <c r="N1360">
        <f>VLOOKUP(B1360,Customers!A:J,7,0)</f>
        <v>54</v>
      </c>
      <c r="O1360" t="str">
        <f>VLOOKUP(B1360,Customers!A:J,5,0)</f>
        <v>Jacksonville</v>
      </c>
      <c r="P1360" t="str">
        <f>VLOOKUP(B1360,Customers!A:J,10,0)</f>
        <v>Free</v>
      </c>
      <c r="Q1360" t="str">
        <f>VLOOKUP(B1360,Customers!A:J,8,0)</f>
        <v>Female</v>
      </c>
      <c r="R1360" t="b">
        <f t="shared" si="42"/>
        <v>1</v>
      </c>
      <c r="S1360" s="18">
        <f t="shared" si="43"/>
        <v>45566</v>
      </c>
    </row>
    <row r="1361" spans="1:19" x14ac:dyDescent="0.25">
      <c r="A1361" s="6" t="s">
        <v>2739</v>
      </c>
      <c r="B1361" s="7" t="s">
        <v>539</v>
      </c>
      <c r="C1361" s="15">
        <v>45112</v>
      </c>
      <c r="D1361" s="7" t="s">
        <v>680</v>
      </c>
      <c r="E1361" s="7" t="s">
        <v>708</v>
      </c>
      <c r="F1361" s="7">
        <v>24.99</v>
      </c>
      <c r="G1361" s="7">
        <v>1</v>
      </c>
      <c r="H1361" s="7">
        <v>0</v>
      </c>
      <c r="I1361" s="7">
        <v>24.99</v>
      </c>
      <c r="J1361" s="7">
        <v>24.99</v>
      </c>
      <c r="K1361" s="7" t="s">
        <v>682</v>
      </c>
      <c r="L1361" s="7" t="s">
        <v>656</v>
      </c>
      <c r="M1361" s="8">
        <v>5</v>
      </c>
      <c r="N1361">
        <f>VLOOKUP(B1361,Customers!A:J,7,0)</f>
        <v>20</v>
      </c>
      <c r="O1361" t="str">
        <f>VLOOKUP(B1361,Customers!A:J,5,0)</f>
        <v>Chicago</v>
      </c>
      <c r="P1361" t="str">
        <f>VLOOKUP(B1361,Customers!A:J,10,0)</f>
        <v>Silver</v>
      </c>
      <c r="Q1361" t="str">
        <f>VLOOKUP(B1361,Customers!A:J,8,0)</f>
        <v>Female</v>
      </c>
      <c r="R1361" t="b">
        <f t="shared" si="42"/>
        <v>1</v>
      </c>
      <c r="S1361" s="18">
        <f t="shared" si="43"/>
        <v>45108</v>
      </c>
    </row>
    <row r="1362" spans="1:19" x14ac:dyDescent="0.25">
      <c r="A1362" s="3" t="s">
        <v>2741</v>
      </c>
      <c r="B1362" s="4" t="s">
        <v>539</v>
      </c>
      <c r="C1362" s="14">
        <v>45296</v>
      </c>
      <c r="D1362" s="4" t="s">
        <v>680</v>
      </c>
      <c r="E1362" s="4" t="s">
        <v>749</v>
      </c>
      <c r="F1362" s="4">
        <v>14.99</v>
      </c>
      <c r="G1362" s="4">
        <v>2</v>
      </c>
      <c r="H1362" s="4">
        <v>5</v>
      </c>
      <c r="I1362" s="4">
        <v>14.24</v>
      </c>
      <c r="J1362" s="4">
        <v>28.48</v>
      </c>
      <c r="K1362" s="4" t="s">
        <v>661</v>
      </c>
      <c r="L1362" s="4" t="s">
        <v>739</v>
      </c>
      <c r="M1362" s="5">
        <v>1</v>
      </c>
      <c r="N1362">
        <f>VLOOKUP(B1362,Customers!A:J,7,0)</f>
        <v>20</v>
      </c>
      <c r="O1362" t="str">
        <f>VLOOKUP(B1362,Customers!A:J,5,0)</f>
        <v>Chicago</v>
      </c>
      <c r="P1362" t="str">
        <f>VLOOKUP(B1362,Customers!A:J,10,0)</f>
        <v>Silver</v>
      </c>
      <c r="Q1362" t="str">
        <f>VLOOKUP(B1362,Customers!A:J,8,0)</f>
        <v>Female</v>
      </c>
      <c r="R1362" t="b">
        <f t="shared" si="42"/>
        <v>1</v>
      </c>
      <c r="S1362" s="18">
        <f t="shared" si="43"/>
        <v>45292</v>
      </c>
    </row>
    <row r="1363" spans="1:19" x14ac:dyDescent="0.25">
      <c r="A1363" s="6" t="s">
        <v>2743</v>
      </c>
      <c r="B1363" s="7" t="s">
        <v>539</v>
      </c>
      <c r="C1363" s="15">
        <v>44775</v>
      </c>
      <c r="D1363" s="7" t="s">
        <v>710</v>
      </c>
      <c r="E1363" s="7" t="s">
        <v>721</v>
      </c>
      <c r="F1363" s="7">
        <v>24.99</v>
      </c>
      <c r="G1363" s="7">
        <v>3</v>
      </c>
      <c r="H1363" s="7">
        <v>10</v>
      </c>
      <c r="I1363" s="7">
        <v>22.49</v>
      </c>
      <c r="J1363" s="7">
        <v>67.47</v>
      </c>
      <c r="K1363" s="7" t="s">
        <v>682</v>
      </c>
      <c r="L1363" s="7" t="s">
        <v>656</v>
      </c>
      <c r="M1363" s="8">
        <v>5</v>
      </c>
      <c r="N1363">
        <f>VLOOKUP(B1363,Customers!A:J,7,0)</f>
        <v>20</v>
      </c>
      <c r="O1363" t="str">
        <f>VLOOKUP(B1363,Customers!A:J,5,0)</f>
        <v>Chicago</v>
      </c>
      <c r="P1363" t="str">
        <f>VLOOKUP(B1363,Customers!A:J,10,0)</f>
        <v>Silver</v>
      </c>
      <c r="Q1363" t="str">
        <f>VLOOKUP(B1363,Customers!A:J,8,0)</f>
        <v>Female</v>
      </c>
      <c r="R1363" t="b">
        <f t="shared" si="42"/>
        <v>1</v>
      </c>
      <c r="S1363" s="18">
        <f t="shared" si="43"/>
        <v>44774</v>
      </c>
    </row>
    <row r="1364" spans="1:19" x14ac:dyDescent="0.25">
      <c r="A1364" s="3" t="s">
        <v>2744</v>
      </c>
      <c r="B1364" s="4" t="s">
        <v>539</v>
      </c>
      <c r="C1364" s="14">
        <v>44975</v>
      </c>
      <c r="D1364" s="4" t="s">
        <v>680</v>
      </c>
      <c r="E1364" s="4" t="s">
        <v>681</v>
      </c>
      <c r="F1364" s="4">
        <v>19.989999999999998</v>
      </c>
      <c r="G1364" s="4">
        <v>1</v>
      </c>
      <c r="H1364" s="4">
        <v>0</v>
      </c>
      <c r="I1364" s="4">
        <v>19.989999999999998</v>
      </c>
      <c r="J1364" s="4">
        <v>19.989999999999998</v>
      </c>
      <c r="K1364" s="4" t="s">
        <v>655</v>
      </c>
      <c r="L1364" s="4" t="s">
        <v>656</v>
      </c>
      <c r="M1364" s="5"/>
      <c r="N1364">
        <f>VLOOKUP(B1364,Customers!A:J,7,0)</f>
        <v>20</v>
      </c>
      <c r="O1364" t="str">
        <f>VLOOKUP(B1364,Customers!A:J,5,0)</f>
        <v>Chicago</v>
      </c>
      <c r="P1364" t="str">
        <f>VLOOKUP(B1364,Customers!A:J,10,0)</f>
        <v>Silver</v>
      </c>
      <c r="Q1364" t="str">
        <f>VLOOKUP(B1364,Customers!A:J,8,0)</f>
        <v>Female</v>
      </c>
      <c r="R1364" t="b">
        <f t="shared" si="42"/>
        <v>1</v>
      </c>
      <c r="S1364" s="18">
        <f t="shared" si="43"/>
        <v>44958</v>
      </c>
    </row>
    <row r="1365" spans="1:19" x14ac:dyDescent="0.25">
      <c r="A1365" s="6" t="s">
        <v>2745</v>
      </c>
      <c r="B1365" s="7" t="s">
        <v>539</v>
      </c>
      <c r="C1365" s="15">
        <v>45080</v>
      </c>
      <c r="D1365" s="7" t="s">
        <v>684</v>
      </c>
      <c r="E1365" s="7" t="s">
        <v>702</v>
      </c>
      <c r="F1365" s="7">
        <v>199.99</v>
      </c>
      <c r="G1365" s="7">
        <v>1</v>
      </c>
      <c r="H1365" s="7">
        <v>0</v>
      </c>
      <c r="I1365" s="7">
        <v>199.99</v>
      </c>
      <c r="J1365" s="7">
        <v>199.99</v>
      </c>
      <c r="K1365" s="7" t="s">
        <v>669</v>
      </c>
      <c r="L1365" s="7" t="s">
        <v>656</v>
      </c>
      <c r="M1365" s="8">
        <v>4</v>
      </c>
      <c r="N1365">
        <f>VLOOKUP(B1365,Customers!A:J,7,0)</f>
        <v>20</v>
      </c>
      <c r="O1365" t="str">
        <f>VLOOKUP(B1365,Customers!A:J,5,0)</f>
        <v>Chicago</v>
      </c>
      <c r="P1365" t="str">
        <f>VLOOKUP(B1365,Customers!A:J,10,0)</f>
        <v>Silver</v>
      </c>
      <c r="Q1365" t="str">
        <f>VLOOKUP(B1365,Customers!A:J,8,0)</f>
        <v>Female</v>
      </c>
      <c r="R1365" t="b">
        <f t="shared" si="42"/>
        <v>1</v>
      </c>
      <c r="S1365" s="18">
        <f t="shared" si="43"/>
        <v>45078</v>
      </c>
    </row>
    <row r="1366" spans="1:19" x14ac:dyDescent="0.25">
      <c r="A1366" s="3" t="s">
        <v>2746</v>
      </c>
      <c r="B1366" s="4" t="s">
        <v>539</v>
      </c>
      <c r="C1366" s="14">
        <v>45212</v>
      </c>
      <c r="D1366" s="4" t="s">
        <v>653</v>
      </c>
      <c r="E1366" s="4" t="s">
        <v>654</v>
      </c>
      <c r="F1366" s="4">
        <v>39.99</v>
      </c>
      <c r="G1366" s="4">
        <v>1</v>
      </c>
      <c r="H1366" s="4">
        <v>10</v>
      </c>
      <c r="I1366" s="4">
        <v>35.99</v>
      </c>
      <c r="J1366" s="4">
        <v>35.99</v>
      </c>
      <c r="K1366" s="4" t="s">
        <v>675</v>
      </c>
      <c r="L1366" s="4" t="s">
        <v>656</v>
      </c>
      <c r="M1366" s="5">
        <v>5</v>
      </c>
      <c r="N1366">
        <f>VLOOKUP(B1366,Customers!A:J,7,0)</f>
        <v>20</v>
      </c>
      <c r="O1366" t="str">
        <f>VLOOKUP(B1366,Customers!A:J,5,0)</f>
        <v>Chicago</v>
      </c>
      <c r="P1366" t="str">
        <f>VLOOKUP(B1366,Customers!A:J,10,0)</f>
        <v>Silver</v>
      </c>
      <c r="Q1366" t="str">
        <f>VLOOKUP(B1366,Customers!A:J,8,0)</f>
        <v>Female</v>
      </c>
      <c r="R1366" t="b">
        <f t="shared" si="42"/>
        <v>1</v>
      </c>
      <c r="S1366" s="18">
        <f t="shared" si="43"/>
        <v>45200</v>
      </c>
    </row>
    <row r="1367" spans="1:19" x14ac:dyDescent="0.25">
      <c r="A1367" s="6" t="s">
        <v>2747</v>
      </c>
      <c r="B1367" s="7" t="s">
        <v>539</v>
      </c>
      <c r="C1367" s="15">
        <v>44632</v>
      </c>
      <c r="D1367" s="7" t="s">
        <v>659</v>
      </c>
      <c r="E1367" s="7" t="s">
        <v>660</v>
      </c>
      <c r="F1367" s="7">
        <v>19.989999999999998</v>
      </c>
      <c r="G1367" s="7">
        <v>3</v>
      </c>
      <c r="H1367" s="7">
        <v>5</v>
      </c>
      <c r="I1367" s="7">
        <v>18.989999999999998</v>
      </c>
      <c r="J1367" s="7">
        <v>56.97</v>
      </c>
      <c r="K1367" s="7" t="s">
        <v>675</v>
      </c>
      <c r="L1367" s="7" t="s">
        <v>656</v>
      </c>
      <c r="M1367" s="8"/>
      <c r="N1367">
        <f>VLOOKUP(B1367,Customers!A:J,7,0)</f>
        <v>20</v>
      </c>
      <c r="O1367" t="str">
        <f>VLOOKUP(B1367,Customers!A:J,5,0)</f>
        <v>Chicago</v>
      </c>
      <c r="P1367" t="str">
        <f>VLOOKUP(B1367,Customers!A:J,10,0)</f>
        <v>Silver</v>
      </c>
      <c r="Q1367" t="str">
        <f>VLOOKUP(B1367,Customers!A:J,8,0)</f>
        <v>Female</v>
      </c>
      <c r="R1367" t="b">
        <f t="shared" si="42"/>
        <v>1</v>
      </c>
      <c r="S1367" s="18">
        <f t="shared" si="43"/>
        <v>44621</v>
      </c>
    </row>
    <row r="1368" spans="1:19" x14ac:dyDescent="0.25">
      <c r="A1368" s="3" t="s">
        <v>2748</v>
      </c>
      <c r="B1368" s="4" t="s">
        <v>539</v>
      </c>
      <c r="C1368" s="14">
        <v>45253</v>
      </c>
      <c r="D1368" s="4" t="s">
        <v>680</v>
      </c>
      <c r="E1368" s="4" t="s">
        <v>749</v>
      </c>
      <c r="F1368" s="4">
        <v>14.99</v>
      </c>
      <c r="G1368" s="4">
        <v>1</v>
      </c>
      <c r="H1368" s="4">
        <v>5</v>
      </c>
      <c r="I1368" s="4">
        <v>14.24</v>
      </c>
      <c r="J1368" s="4">
        <v>14.24</v>
      </c>
      <c r="K1368" s="4" t="s">
        <v>675</v>
      </c>
      <c r="L1368" s="4" t="s">
        <v>656</v>
      </c>
      <c r="M1368" s="5">
        <v>4</v>
      </c>
      <c r="N1368">
        <f>VLOOKUP(B1368,Customers!A:J,7,0)</f>
        <v>20</v>
      </c>
      <c r="O1368" t="str">
        <f>VLOOKUP(B1368,Customers!A:J,5,0)</f>
        <v>Chicago</v>
      </c>
      <c r="P1368" t="str">
        <f>VLOOKUP(B1368,Customers!A:J,10,0)</f>
        <v>Silver</v>
      </c>
      <c r="Q1368" t="str">
        <f>VLOOKUP(B1368,Customers!A:J,8,0)</f>
        <v>Female</v>
      </c>
      <c r="R1368" t="b">
        <f t="shared" si="42"/>
        <v>1</v>
      </c>
      <c r="S1368" s="18">
        <f t="shared" si="43"/>
        <v>45231</v>
      </c>
    </row>
    <row r="1369" spans="1:19" x14ac:dyDescent="0.25">
      <c r="A1369" s="6" t="s">
        <v>2749</v>
      </c>
      <c r="B1369" s="7" t="s">
        <v>542</v>
      </c>
      <c r="C1369" s="15">
        <v>44896</v>
      </c>
      <c r="D1369" s="7" t="s">
        <v>684</v>
      </c>
      <c r="E1369" s="7" t="s">
        <v>705</v>
      </c>
      <c r="F1369" s="7">
        <v>79.989999999999995</v>
      </c>
      <c r="G1369" s="7">
        <v>2</v>
      </c>
      <c r="H1369" s="7">
        <v>10</v>
      </c>
      <c r="I1369" s="7">
        <v>71.989999999999995</v>
      </c>
      <c r="J1369" s="7">
        <v>143.97999999999999</v>
      </c>
      <c r="K1369" s="7" t="s">
        <v>675</v>
      </c>
      <c r="L1369" s="7" t="s">
        <v>656</v>
      </c>
      <c r="M1369" s="8">
        <v>4</v>
      </c>
      <c r="N1369">
        <f>VLOOKUP(B1369,Customers!A:J,7,0)</f>
        <v>25</v>
      </c>
      <c r="O1369" t="str">
        <f>VLOOKUP(B1369,Customers!A:J,5,0)</f>
        <v>Phoenix</v>
      </c>
      <c r="P1369" t="str">
        <f>VLOOKUP(B1369,Customers!A:J,10,0)</f>
        <v>Silver</v>
      </c>
      <c r="Q1369" t="str">
        <f>VLOOKUP(B1369,Customers!A:J,8,0)</f>
        <v>Female</v>
      </c>
      <c r="R1369" t="b">
        <f t="shared" si="42"/>
        <v>1</v>
      </c>
      <c r="S1369" s="18">
        <f t="shared" si="43"/>
        <v>44896</v>
      </c>
    </row>
    <row r="1370" spans="1:19" x14ac:dyDescent="0.25">
      <c r="A1370" s="3" t="s">
        <v>2750</v>
      </c>
      <c r="B1370" s="4" t="s">
        <v>542</v>
      </c>
      <c r="C1370" s="14">
        <v>45144</v>
      </c>
      <c r="D1370" s="4" t="s">
        <v>659</v>
      </c>
      <c r="E1370" s="4" t="s">
        <v>660</v>
      </c>
      <c r="F1370" s="4">
        <v>19.989999999999998</v>
      </c>
      <c r="G1370" s="4">
        <v>1</v>
      </c>
      <c r="H1370" s="4">
        <v>15</v>
      </c>
      <c r="I1370" s="4">
        <v>16.989999999999998</v>
      </c>
      <c r="J1370" s="4">
        <v>16.989999999999998</v>
      </c>
      <c r="K1370" s="4" t="s">
        <v>675</v>
      </c>
      <c r="L1370" s="4" t="s">
        <v>656</v>
      </c>
      <c r="M1370" s="5"/>
      <c r="N1370">
        <f>VLOOKUP(B1370,Customers!A:J,7,0)</f>
        <v>25</v>
      </c>
      <c r="O1370" t="str">
        <f>VLOOKUP(B1370,Customers!A:J,5,0)</f>
        <v>Phoenix</v>
      </c>
      <c r="P1370" t="str">
        <f>VLOOKUP(B1370,Customers!A:J,10,0)</f>
        <v>Silver</v>
      </c>
      <c r="Q1370" t="str">
        <f>VLOOKUP(B1370,Customers!A:J,8,0)</f>
        <v>Female</v>
      </c>
      <c r="R1370" t="b">
        <f t="shared" si="42"/>
        <v>1</v>
      </c>
      <c r="S1370" s="18">
        <f t="shared" si="43"/>
        <v>45139</v>
      </c>
    </row>
    <row r="1371" spans="1:19" x14ac:dyDescent="0.25">
      <c r="A1371" s="6" t="s">
        <v>2751</v>
      </c>
      <c r="B1371" s="7" t="s">
        <v>542</v>
      </c>
      <c r="C1371" s="15">
        <v>45538</v>
      </c>
      <c r="D1371" s="7" t="s">
        <v>653</v>
      </c>
      <c r="E1371" s="7" t="s">
        <v>654</v>
      </c>
      <c r="F1371" s="7">
        <v>39.99</v>
      </c>
      <c r="G1371" s="7">
        <v>4</v>
      </c>
      <c r="H1371" s="7">
        <v>0</v>
      </c>
      <c r="I1371" s="7">
        <v>39.99</v>
      </c>
      <c r="J1371" s="7">
        <v>159.96</v>
      </c>
      <c r="K1371" s="7" t="s">
        <v>682</v>
      </c>
      <c r="L1371" s="7" t="s">
        <v>656</v>
      </c>
      <c r="M1371" s="8">
        <v>5</v>
      </c>
      <c r="N1371">
        <f>VLOOKUP(B1371,Customers!A:J,7,0)</f>
        <v>25</v>
      </c>
      <c r="O1371" t="str">
        <f>VLOOKUP(B1371,Customers!A:J,5,0)</f>
        <v>Phoenix</v>
      </c>
      <c r="P1371" t="str">
        <f>VLOOKUP(B1371,Customers!A:J,10,0)</f>
        <v>Silver</v>
      </c>
      <c r="Q1371" t="str">
        <f>VLOOKUP(B1371,Customers!A:J,8,0)</f>
        <v>Female</v>
      </c>
      <c r="R1371" t="b">
        <f t="shared" si="42"/>
        <v>1</v>
      </c>
      <c r="S1371" s="18">
        <f t="shared" si="43"/>
        <v>45536</v>
      </c>
    </row>
    <row r="1372" spans="1:19" x14ac:dyDescent="0.25">
      <c r="A1372" s="3" t="s">
        <v>2752</v>
      </c>
      <c r="B1372" s="4" t="s">
        <v>542</v>
      </c>
      <c r="C1372" s="14">
        <v>45178</v>
      </c>
      <c r="D1372" s="4" t="s">
        <v>672</v>
      </c>
      <c r="E1372" s="4" t="s">
        <v>735</v>
      </c>
      <c r="F1372" s="4">
        <v>44.99</v>
      </c>
      <c r="G1372" s="4">
        <v>1</v>
      </c>
      <c r="H1372" s="4">
        <v>20</v>
      </c>
      <c r="I1372" s="4">
        <v>35.99</v>
      </c>
      <c r="J1372" s="4">
        <v>35.99</v>
      </c>
      <c r="K1372" s="4" t="s">
        <v>682</v>
      </c>
      <c r="L1372" s="4" t="s">
        <v>656</v>
      </c>
      <c r="M1372" s="5">
        <v>5</v>
      </c>
      <c r="N1372">
        <f>VLOOKUP(B1372,Customers!A:J,7,0)</f>
        <v>25</v>
      </c>
      <c r="O1372" t="str">
        <f>VLOOKUP(B1372,Customers!A:J,5,0)</f>
        <v>Phoenix</v>
      </c>
      <c r="P1372" t="str">
        <f>VLOOKUP(B1372,Customers!A:J,10,0)</f>
        <v>Silver</v>
      </c>
      <c r="Q1372" t="str">
        <f>VLOOKUP(B1372,Customers!A:J,8,0)</f>
        <v>Female</v>
      </c>
      <c r="R1372" t="b">
        <f t="shared" si="42"/>
        <v>1</v>
      </c>
      <c r="S1372" s="18">
        <f t="shared" si="43"/>
        <v>45170</v>
      </c>
    </row>
    <row r="1373" spans="1:19" x14ac:dyDescent="0.25">
      <c r="A1373" s="6" t="s">
        <v>2754</v>
      </c>
      <c r="B1373" s="7" t="s">
        <v>542</v>
      </c>
      <c r="C1373" s="15">
        <v>44609</v>
      </c>
      <c r="D1373" s="7" t="s">
        <v>659</v>
      </c>
      <c r="E1373" s="7" t="s">
        <v>664</v>
      </c>
      <c r="F1373" s="7">
        <v>24.99</v>
      </c>
      <c r="G1373" s="7">
        <v>3</v>
      </c>
      <c r="H1373" s="7">
        <v>5</v>
      </c>
      <c r="I1373" s="7">
        <v>23.74</v>
      </c>
      <c r="J1373" s="7">
        <v>71.22</v>
      </c>
      <c r="K1373" s="7" t="s">
        <v>682</v>
      </c>
      <c r="L1373" s="7" t="s">
        <v>656</v>
      </c>
      <c r="M1373" s="8">
        <v>5</v>
      </c>
      <c r="N1373">
        <f>VLOOKUP(B1373,Customers!A:J,7,0)</f>
        <v>25</v>
      </c>
      <c r="O1373" t="str">
        <f>VLOOKUP(B1373,Customers!A:J,5,0)</f>
        <v>Phoenix</v>
      </c>
      <c r="P1373" t="str">
        <f>VLOOKUP(B1373,Customers!A:J,10,0)</f>
        <v>Silver</v>
      </c>
      <c r="Q1373" t="str">
        <f>VLOOKUP(B1373,Customers!A:J,8,0)</f>
        <v>Female</v>
      </c>
      <c r="R1373" t="b">
        <f t="shared" si="42"/>
        <v>1</v>
      </c>
      <c r="S1373" s="18">
        <f t="shared" si="43"/>
        <v>44593</v>
      </c>
    </row>
    <row r="1374" spans="1:19" x14ac:dyDescent="0.25">
      <c r="A1374" s="3" t="s">
        <v>2755</v>
      </c>
      <c r="B1374" s="4" t="s">
        <v>542</v>
      </c>
      <c r="C1374" s="14">
        <v>45252</v>
      </c>
      <c r="D1374" s="4" t="s">
        <v>667</v>
      </c>
      <c r="E1374" s="4" t="s">
        <v>714</v>
      </c>
      <c r="F1374" s="4">
        <v>44.99</v>
      </c>
      <c r="G1374" s="4">
        <v>4</v>
      </c>
      <c r="H1374" s="4">
        <v>20</v>
      </c>
      <c r="I1374" s="4">
        <v>35.99</v>
      </c>
      <c r="J1374" s="4">
        <v>143.96</v>
      </c>
      <c r="K1374" s="4" t="s">
        <v>661</v>
      </c>
      <c r="L1374" s="4" t="s">
        <v>656</v>
      </c>
      <c r="M1374" s="5">
        <v>5</v>
      </c>
      <c r="N1374">
        <f>VLOOKUP(B1374,Customers!A:J,7,0)</f>
        <v>25</v>
      </c>
      <c r="O1374" t="str">
        <f>VLOOKUP(B1374,Customers!A:J,5,0)</f>
        <v>Phoenix</v>
      </c>
      <c r="P1374" t="str">
        <f>VLOOKUP(B1374,Customers!A:J,10,0)</f>
        <v>Silver</v>
      </c>
      <c r="Q1374" t="str">
        <f>VLOOKUP(B1374,Customers!A:J,8,0)</f>
        <v>Female</v>
      </c>
      <c r="R1374" t="b">
        <f t="shared" si="42"/>
        <v>1</v>
      </c>
      <c r="S1374" s="18">
        <f t="shared" si="43"/>
        <v>45231</v>
      </c>
    </row>
    <row r="1375" spans="1:19" x14ac:dyDescent="0.25">
      <c r="A1375" s="6" t="s">
        <v>2757</v>
      </c>
      <c r="B1375" s="7" t="s">
        <v>542</v>
      </c>
      <c r="C1375" s="15">
        <v>44631</v>
      </c>
      <c r="D1375" s="7" t="s">
        <v>653</v>
      </c>
      <c r="E1375" s="7" t="s">
        <v>654</v>
      </c>
      <c r="F1375" s="7">
        <v>39.99</v>
      </c>
      <c r="G1375" s="7">
        <v>3</v>
      </c>
      <c r="H1375" s="7">
        <v>15</v>
      </c>
      <c r="I1375" s="7">
        <v>33.99</v>
      </c>
      <c r="J1375" s="7">
        <v>101.97</v>
      </c>
      <c r="K1375" s="7" t="s">
        <v>661</v>
      </c>
      <c r="L1375" s="7" t="s">
        <v>656</v>
      </c>
      <c r="M1375" s="8">
        <v>3</v>
      </c>
      <c r="N1375">
        <f>VLOOKUP(B1375,Customers!A:J,7,0)</f>
        <v>25</v>
      </c>
      <c r="O1375" t="str">
        <f>VLOOKUP(B1375,Customers!A:J,5,0)</f>
        <v>Phoenix</v>
      </c>
      <c r="P1375" t="str">
        <f>VLOOKUP(B1375,Customers!A:J,10,0)</f>
        <v>Silver</v>
      </c>
      <c r="Q1375" t="str">
        <f>VLOOKUP(B1375,Customers!A:J,8,0)</f>
        <v>Female</v>
      </c>
      <c r="R1375" t="b">
        <f t="shared" si="42"/>
        <v>1</v>
      </c>
      <c r="S1375" s="18">
        <f t="shared" si="43"/>
        <v>44621</v>
      </c>
    </row>
    <row r="1376" spans="1:19" x14ac:dyDescent="0.25">
      <c r="A1376" s="3" t="s">
        <v>2759</v>
      </c>
      <c r="B1376" s="4" t="s">
        <v>545</v>
      </c>
      <c r="C1376" s="14">
        <v>45469</v>
      </c>
      <c r="D1376" s="4" t="s">
        <v>710</v>
      </c>
      <c r="E1376" s="4" t="s">
        <v>744</v>
      </c>
      <c r="F1376" s="4">
        <v>29.99</v>
      </c>
      <c r="G1376" s="4">
        <v>1</v>
      </c>
      <c r="H1376" s="4">
        <v>10</v>
      </c>
      <c r="I1376" s="4">
        <v>26.99</v>
      </c>
      <c r="J1376" s="4">
        <v>26.99</v>
      </c>
      <c r="K1376" s="4" t="s">
        <v>682</v>
      </c>
      <c r="L1376" s="4" t="s">
        <v>656</v>
      </c>
      <c r="M1376" s="5">
        <v>5</v>
      </c>
      <c r="N1376">
        <f>VLOOKUP(B1376,Customers!A:J,7,0)</f>
        <v>46</v>
      </c>
      <c r="O1376" t="str">
        <f>VLOOKUP(B1376,Customers!A:J,5,0)</f>
        <v>Phoenix</v>
      </c>
      <c r="P1376" t="str">
        <f>VLOOKUP(B1376,Customers!A:J,10,0)</f>
        <v>Free</v>
      </c>
      <c r="Q1376" t="str">
        <f>VLOOKUP(B1376,Customers!A:J,8,0)</f>
        <v>Male</v>
      </c>
      <c r="R1376" t="b">
        <f t="shared" si="42"/>
        <v>1</v>
      </c>
      <c r="S1376" s="18">
        <f t="shared" si="43"/>
        <v>45444</v>
      </c>
    </row>
    <row r="1377" spans="1:19" x14ac:dyDescent="0.25">
      <c r="A1377" s="6" t="s">
        <v>2760</v>
      </c>
      <c r="B1377" s="7" t="s">
        <v>545</v>
      </c>
      <c r="C1377" s="15">
        <v>45631</v>
      </c>
      <c r="D1377" s="7" t="s">
        <v>667</v>
      </c>
      <c r="E1377" s="7" t="s">
        <v>699</v>
      </c>
      <c r="F1377" s="7">
        <v>89.99</v>
      </c>
      <c r="G1377" s="7">
        <v>3</v>
      </c>
      <c r="H1377" s="7">
        <v>0</v>
      </c>
      <c r="I1377" s="7">
        <v>89.99</v>
      </c>
      <c r="J1377" s="7">
        <v>269.97000000000003</v>
      </c>
      <c r="K1377" s="7" t="s">
        <v>669</v>
      </c>
      <c r="L1377" s="7" t="s">
        <v>656</v>
      </c>
      <c r="M1377" s="8"/>
      <c r="N1377">
        <f>VLOOKUP(B1377,Customers!A:J,7,0)</f>
        <v>46</v>
      </c>
      <c r="O1377" t="str">
        <f>VLOOKUP(B1377,Customers!A:J,5,0)</f>
        <v>Phoenix</v>
      </c>
      <c r="P1377" t="str">
        <f>VLOOKUP(B1377,Customers!A:J,10,0)</f>
        <v>Free</v>
      </c>
      <c r="Q1377" t="str">
        <f>VLOOKUP(B1377,Customers!A:J,8,0)</f>
        <v>Male</v>
      </c>
      <c r="R1377" t="b">
        <f t="shared" si="42"/>
        <v>1</v>
      </c>
      <c r="S1377" s="18">
        <f t="shared" si="43"/>
        <v>45627</v>
      </c>
    </row>
    <row r="1378" spans="1:19" x14ac:dyDescent="0.25">
      <c r="A1378" s="3" t="s">
        <v>2761</v>
      </c>
      <c r="B1378" s="4" t="s">
        <v>545</v>
      </c>
      <c r="C1378" s="14">
        <v>44934</v>
      </c>
      <c r="D1378" s="4" t="s">
        <v>659</v>
      </c>
      <c r="E1378" s="4" t="s">
        <v>762</v>
      </c>
      <c r="F1378" s="4">
        <v>49.99</v>
      </c>
      <c r="G1378" s="4">
        <v>3</v>
      </c>
      <c r="H1378" s="4">
        <v>0</v>
      </c>
      <c r="I1378" s="4">
        <v>49.99</v>
      </c>
      <c r="J1378" s="4">
        <v>149.97</v>
      </c>
      <c r="K1378" s="4" t="s">
        <v>655</v>
      </c>
      <c r="L1378" s="4" t="s">
        <v>656</v>
      </c>
      <c r="M1378" s="5">
        <v>5</v>
      </c>
      <c r="N1378">
        <f>VLOOKUP(B1378,Customers!A:J,7,0)</f>
        <v>46</v>
      </c>
      <c r="O1378" t="str">
        <f>VLOOKUP(B1378,Customers!A:J,5,0)</f>
        <v>Phoenix</v>
      </c>
      <c r="P1378" t="str">
        <f>VLOOKUP(B1378,Customers!A:J,10,0)</f>
        <v>Free</v>
      </c>
      <c r="Q1378" t="str">
        <f>VLOOKUP(B1378,Customers!A:J,8,0)</f>
        <v>Male</v>
      </c>
      <c r="R1378" t="b">
        <f t="shared" si="42"/>
        <v>1</v>
      </c>
      <c r="S1378" s="18">
        <f t="shared" si="43"/>
        <v>44927</v>
      </c>
    </row>
    <row r="1379" spans="1:19" x14ac:dyDescent="0.25">
      <c r="A1379" s="6" t="s">
        <v>2763</v>
      </c>
      <c r="B1379" s="7" t="s">
        <v>545</v>
      </c>
      <c r="C1379" s="15">
        <v>45377</v>
      </c>
      <c r="D1379" s="7" t="s">
        <v>684</v>
      </c>
      <c r="E1379" s="7" t="s">
        <v>685</v>
      </c>
      <c r="F1379" s="7">
        <v>49.99</v>
      </c>
      <c r="G1379" s="7">
        <v>2</v>
      </c>
      <c r="H1379" s="7">
        <v>0</v>
      </c>
      <c r="I1379" s="7">
        <v>49.99</v>
      </c>
      <c r="J1379" s="7">
        <v>99.98</v>
      </c>
      <c r="K1379" s="7" t="s">
        <v>675</v>
      </c>
      <c r="L1379" s="7" t="s">
        <v>656</v>
      </c>
      <c r="M1379" s="8"/>
      <c r="N1379">
        <f>VLOOKUP(B1379,Customers!A:J,7,0)</f>
        <v>46</v>
      </c>
      <c r="O1379" t="str">
        <f>VLOOKUP(B1379,Customers!A:J,5,0)</f>
        <v>Phoenix</v>
      </c>
      <c r="P1379" t="str">
        <f>VLOOKUP(B1379,Customers!A:J,10,0)</f>
        <v>Free</v>
      </c>
      <c r="Q1379" t="str">
        <f>VLOOKUP(B1379,Customers!A:J,8,0)</f>
        <v>Male</v>
      </c>
      <c r="R1379" t="b">
        <f t="shared" si="42"/>
        <v>1</v>
      </c>
      <c r="S1379" s="18">
        <f t="shared" si="43"/>
        <v>45352</v>
      </c>
    </row>
    <row r="1380" spans="1:19" x14ac:dyDescent="0.25">
      <c r="A1380" s="3" t="s">
        <v>2764</v>
      </c>
      <c r="B1380" s="4" t="s">
        <v>545</v>
      </c>
      <c r="C1380" s="14">
        <v>45057</v>
      </c>
      <c r="D1380" s="4" t="s">
        <v>653</v>
      </c>
      <c r="E1380" s="4" t="s">
        <v>769</v>
      </c>
      <c r="F1380" s="4">
        <v>49.99</v>
      </c>
      <c r="G1380" s="4">
        <v>4</v>
      </c>
      <c r="H1380" s="4">
        <v>5</v>
      </c>
      <c r="I1380" s="4">
        <v>47.49</v>
      </c>
      <c r="J1380" s="4">
        <v>189.96</v>
      </c>
      <c r="K1380" s="4" t="s">
        <v>655</v>
      </c>
      <c r="L1380" s="4" t="s">
        <v>656</v>
      </c>
      <c r="M1380" s="5"/>
      <c r="N1380">
        <f>VLOOKUP(B1380,Customers!A:J,7,0)</f>
        <v>46</v>
      </c>
      <c r="O1380" t="str">
        <f>VLOOKUP(B1380,Customers!A:J,5,0)</f>
        <v>Phoenix</v>
      </c>
      <c r="P1380" t="str">
        <f>VLOOKUP(B1380,Customers!A:J,10,0)</f>
        <v>Free</v>
      </c>
      <c r="Q1380" t="str">
        <f>VLOOKUP(B1380,Customers!A:J,8,0)</f>
        <v>Male</v>
      </c>
      <c r="R1380" t="b">
        <f t="shared" si="42"/>
        <v>1</v>
      </c>
      <c r="S1380" s="18">
        <f t="shared" si="43"/>
        <v>45047</v>
      </c>
    </row>
    <row r="1381" spans="1:19" x14ac:dyDescent="0.25">
      <c r="A1381" s="6" t="s">
        <v>2765</v>
      </c>
      <c r="B1381" s="7" t="s">
        <v>545</v>
      </c>
      <c r="C1381" s="15">
        <v>44776</v>
      </c>
      <c r="D1381" s="7" t="s">
        <v>653</v>
      </c>
      <c r="E1381" s="7" t="s">
        <v>827</v>
      </c>
      <c r="F1381" s="7">
        <v>29.99</v>
      </c>
      <c r="G1381" s="7">
        <v>4</v>
      </c>
      <c r="H1381" s="7">
        <v>10</v>
      </c>
      <c r="I1381" s="7">
        <v>26.99</v>
      </c>
      <c r="J1381" s="7">
        <v>107.96</v>
      </c>
      <c r="K1381" s="7" t="s">
        <v>655</v>
      </c>
      <c r="L1381" s="7" t="s">
        <v>656</v>
      </c>
      <c r="M1381" s="8"/>
      <c r="N1381">
        <f>VLOOKUP(B1381,Customers!A:J,7,0)</f>
        <v>46</v>
      </c>
      <c r="O1381" t="str">
        <f>VLOOKUP(B1381,Customers!A:J,5,0)</f>
        <v>Phoenix</v>
      </c>
      <c r="P1381" t="str">
        <f>VLOOKUP(B1381,Customers!A:J,10,0)</f>
        <v>Free</v>
      </c>
      <c r="Q1381" t="str">
        <f>VLOOKUP(B1381,Customers!A:J,8,0)</f>
        <v>Male</v>
      </c>
      <c r="R1381" t="b">
        <f t="shared" si="42"/>
        <v>1</v>
      </c>
      <c r="S1381" s="18">
        <f t="shared" si="43"/>
        <v>44774</v>
      </c>
    </row>
    <row r="1382" spans="1:19" x14ac:dyDescent="0.25">
      <c r="A1382" s="3" t="s">
        <v>2766</v>
      </c>
      <c r="B1382" s="4" t="s">
        <v>545</v>
      </c>
      <c r="C1382" s="14">
        <v>44747</v>
      </c>
      <c r="D1382" s="4" t="s">
        <v>684</v>
      </c>
      <c r="E1382" s="4" t="s">
        <v>705</v>
      </c>
      <c r="F1382" s="4">
        <v>79.989999999999995</v>
      </c>
      <c r="G1382" s="4">
        <v>3</v>
      </c>
      <c r="H1382" s="4">
        <v>0</v>
      </c>
      <c r="I1382" s="4">
        <v>79.989999999999995</v>
      </c>
      <c r="J1382" s="4">
        <v>239.97</v>
      </c>
      <c r="K1382" s="4" t="s">
        <v>669</v>
      </c>
      <c r="L1382" s="4" t="s">
        <v>739</v>
      </c>
      <c r="M1382" s="5">
        <v>4</v>
      </c>
      <c r="N1382">
        <f>VLOOKUP(B1382,Customers!A:J,7,0)</f>
        <v>46</v>
      </c>
      <c r="O1382" t="str">
        <f>VLOOKUP(B1382,Customers!A:J,5,0)</f>
        <v>Phoenix</v>
      </c>
      <c r="P1382" t="str">
        <f>VLOOKUP(B1382,Customers!A:J,10,0)</f>
        <v>Free</v>
      </c>
      <c r="Q1382" t="str">
        <f>VLOOKUP(B1382,Customers!A:J,8,0)</f>
        <v>Male</v>
      </c>
      <c r="R1382" t="b">
        <f t="shared" si="42"/>
        <v>1</v>
      </c>
      <c r="S1382" s="18">
        <f t="shared" si="43"/>
        <v>44743</v>
      </c>
    </row>
    <row r="1383" spans="1:19" x14ac:dyDescent="0.25">
      <c r="A1383" s="6" t="s">
        <v>2767</v>
      </c>
      <c r="B1383" s="7" t="s">
        <v>548</v>
      </c>
      <c r="C1383" s="15">
        <v>45505</v>
      </c>
      <c r="D1383" s="7" t="s">
        <v>659</v>
      </c>
      <c r="E1383" s="7" t="s">
        <v>664</v>
      </c>
      <c r="F1383" s="7">
        <v>24.99</v>
      </c>
      <c r="G1383" s="7">
        <v>2</v>
      </c>
      <c r="H1383" s="7">
        <v>0</v>
      </c>
      <c r="I1383" s="7">
        <v>24.99</v>
      </c>
      <c r="J1383" s="7">
        <v>49.98</v>
      </c>
      <c r="K1383" s="7" t="s">
        <v>669</v>
      </c>
      <c r="L1383" s="7" t="s">
        <v>656</v>
      </c>
      <c r="M1383" s="8"/>
      <c r="N1383">
        <f>VLOOKUP(B1383,Customers!A:J,7,0)</f>
        <v>19</v>
      </c>
      <c r="O1383" t="str">
        <f>VLOOKUP(B1383,Customers!A:J,5,0)</f>
        <v>Jacksonville</v>
      </c>
      <c r="P1383" t="str">
        <f>VLOOKUP(B1383,Customers!A:J,10,0)</f>
        <v>Free</v>
      </c>
      <c r="Q1383" t="str">
        <f>VLOOKUP(B1383,Customers!A:J,8,0)</f>
        <v>Male</v>
      </c>
      <c r="R1383" t="b">
        <f t="shared" si="42"/>
        <v>1</v>
      </c>
      <c r="S1383" s="18">
        <f t="shared" si="43"/>
        <v>45505</v>
      </c>
    </row>
    <row r="1384" spans="1:19" x14ac:dyDescent="0.25">
      <c r="A1384" s="3" t="s">
        <v>2768</v>
      </c>
      <c r="B1384" s="4" t="s">
        <v>548</v>
      </c>
      <c r="C1384" s="14">
        <v>45042</v>
      </c>
      <c r="D1384" s="4" t="s">
        <v>659</v>
      </c>
      <c r="E1384" s="4" t="s">
        <v>664</v>
      </c>
      <c r="F1384" s="4">
        <v>24.99</v>
      </c>
      <c r="G1384" s="4">
        <v>3</v>
      </c>
      <c r="H1384" s="4">
        <v>0</v>
      </c>
      <c r="I1384" s="4">
        <v>24.99</v>
      </c>
      <c r="J1384" s="4">
        <v>74.97</v>
      </c>
      <c r="K1384" s="4" t="s">
        <v>661</v>
      </c>
      <c r="L1384" s="4" t="s">
        <v>788</v>
      </c>
      <c r="M1384" s="5">
        <v>5</v>
      </c>
      <c r="N1384">
        <f>VLOOKUP(B1384,Customers!A:J,7,0)</f>
        <v>19</v>
      </c>
      <c r="O1384" t="str">
        <f>VLOOKUP(B1384,Customers!A:J,5,0)</f>
        <v>Jacksonville</v>
      </c>
      <c r="P1384" t="str">
        <f>VLOOKUP(B1384,Customers!A:J,10,0)</f>
        <v>Free</v>
      </c>
      <c r="Q1384" t="str">
        <f>VLOOKUP(B1384,Customers!A:J,8,0)</f>
        <v>Male</v>
      </c>
      <c r="R1384" t="b">
        <f t="shared" si="42"/>
        <v>1</v>
      </c>
      <c r="S1384" s="18">
        <f t="shared" si="43"/>
        <v>45017</v>
      </c>
    </row>
    <row r="1385" spans="1:19" x14ac:dyDescent="0.25">
      <c r="A1385" s="6" t="s">
        <v>2769</v>
      </c>
      <c r="B1385" s="7" t="s">
        <v>548</v>
      </c>
      <c r="C1385" s="15">
        <v>45071</v>
      </c>
      <c r="D1385" s="7" t="s">
        <v>659</v>
      </c>
      <c r="E1385" s="7" t="s">
        <v>820</v>
      </c>
      <c r="F1385" s="7">
        <v>39.99</v>
      </c>
      <c r="G1385" s="7">
        <v>1</v>
      </c>
      <c r="H1385" s="7">
        <v>0</v>
      </c>
      <c r="I1385" s="7">
        <v>39.99</v>
      </c>
      <c r="J1385" s="7">
        <v>39.99</v>
      </c>
      <c r="K1385" s="7" t="s">
        <v>661</v>
      </c>
      <c r="L1385" s="7" t="s">
        <v>739</v>
      </c>
      <c r="M1385" s="8"/>
      <c r="N1385">
        <f>VLOOKUP(B1385,Customers!A:J,7,0)</f>
        <v>19</v>
      </c>
      <c r="O1385" t="str">
        <f>VLOOKUP(B1385,Customers!A:J,5,0)</f>
        <v>Jacksonville</v>
      </c>
      <c r="P1385" t="str">
        <f>VLOOKUP(B1385,Customers!A:J,10,0)</f>
        <v>Free</v>
      </c>
      <c r="Q1385" t="str">
        <f>VLOOKUP(B1385,Customers!A:J,8,0)</f>
        <v>Male</v>
      </c>
      <c r="R1385" t="b">
        <f t="shared" si="42"/>
        <v>1</v>
      </c>
      <c r="S1385" s="18">
        <f t="shared" si="43"/>
        <v>45047</v>
      </c>
    </row>
    <row r="1386" spans="1:19" x14ac:dyDescent="0.25">
      <c r="A1386" s="3" t="s">
        <v>2771</v>
      </c>
      <c r="B1386" s="4" t="s">
        <v>548</v>
      </c>
      <c r="C1386" s="14">
        <v>44999</v>
      </c>
      <c r="D1386" s="4" t="s">
        <v>672</v>
      </c>
      <c r="E1386" s="4" t="s">
        <v>735</v>
      </c>
      <c r="F1386" s="4">
        <v>44.99</v>
      </c>
      <c r="G1386" s="4">
        <v>4</v>
      </c>
      <c r="H1386" s="4">
        <v>0</v>
      </c>
      <c r="I1386" s="4">
        <v>44.99</v>
      </c>
      <c r="J1386" s="4">
        <v>179.96</v>
      </c>
      <c r="K1386" s="4" t="s">
        <v>675</v>
      </c>
      <c r="L1386" s="4" t="s">
        <v>656</v>
      </c>
      <c r="M1386" s="5">
        <v>4</v>
      </c>
      <c r="N1386">
        <f>VLOOKUP(B1386,Customers!A:J,7,0)</f>
        <v>19</v>
      </c>
      <c r="O1386" t="str">
        <f>VLOOKUP(B1386,Customers!A:J,5,0)</f>
        <v>Jacksonville</v>
      </c>
      <c r="P1386" t="str">
        <f>VLOOKUP(B1386,Customers!A:J,10,0)</f>
        <v>Free</v>
      </c>
      <c r="Q1386" t="str">
        <f>VLOOKUP(B1386,Customers!A:J,8,0)</f>
        <v>Male</v>
      </c>
      <c r="R1386" t="b">
        <f t="shared" si="42"/>
        <v>1</v>
      </c>
      <c r="S1386" s="18">
        <f t="shared" si="43"/>
        <v>44986</v>
      </c>
    </row>
    <row r="1387" spans="1:19" x14ac:dyDescent="0.25">
      <c r="A1387" s="6" t="s">
        <v>2773</v>
      </c>
      <c r="B1387" s="7" t="s">
        <v>548</v>
      </c>
      <c r="C1387" s="15">
        <v>45262</v>
      </c>
      <c r="D1387" s="7" t="s">
        <v>680</v>
      </c>
      <c r="E1387" s="7" t="s">
        <v>749</v>
      </c>
      <c r="F1387" s="7">
        <v>14.99</v>
      </c>
      <c r="G1387" s="7">
        <v>2</v>
      </c>
      <c r="H1387" s="7">
        <v>15</v>
      </c>
      <c r="I1387" s="7">
        <v>12.74</v>
      </c>
      <c r="J1387" s="7">
        <v>25.48</v>
      </c>
      <c r="K1387" s="7" t="s">
        <v>669</v>
      </c>
      <c r="L1387" s="7" t="s">
        <v>656</v>
      </c>
      <c r="M1387" s="8"/>
      <c r="N1387">
        <f>VLOOKUP(B1387,Customers!A:J,7,0)</f>
        <v>19</v>
      </c>
      <c r="O1387" t="str">
        <f>VLOOKUP(B1387,Customers!A:J,5,0)</f>
        <v>Jacksonville</v>
      </c>
      <c r="P1387" t="str">
        <f>VLOOKUP(B1387,Customers!A:J,10,0)</f>
        <v>Free</v>
      </c>
      <c r="Q1387" t="str">
        <f>VLOOKUP(B1387,Customers!A:J,8,0)</f>
        <v>Male</v>
      </c>
      <c r="R1387" t="b">
        <f t="shared" si="42"/>
        <v>1</v>
      </c>
      <c r="S1387" s="18">
        <f t="shared" si="43"/>
        <v>45261</v>
      </c>
    </row>
    <row r="1388" spans="1:19" x14ac:dyDescent="0.25">
      <c r="A1388" s="3" t="s">
        <v>2774</v>
      </c>
      <c r="B1388" s="4" t="s">
        <v>548</v>
      </c>
      <c r="C1388" s="14">
        <v>44759</v>
      </c>
      <c r="D1388" s="4" t="s">
        <v>684</v>
      </c>
      <c r="E1388" s="4" t="s">
        <v>705</v>
      </c>
      <c r="F1388" s="4">
        <v>79.989999999999995</v>
      </c>
      <c r="G1388" s="4">
        <v>4</v>
      </c>
      <c r="H1388" s="4">
        <v>15</v>
      </c>
      <c r="I1388" s="4">
        <v>67.989999999999995</v>
      </c>
      <c r="J1388" s="4">
        <v>271.95999999999998</v>
      </c>
      <c r="K1388" s="4" t="s">
        <v>661</v>
      </c>
      <c r="L1388" s="4" t="s">
        <v>656</v>
      </c>
      <c r="M1388" s="5">
        <v>4</v>
      </c>
      <c r="N1388">
        <f>VLOOKUP(B1388,Customers!A:J,7,0)</f>
        <v>19</v>
      </c>
      <c r="O1388" t="str">
        <f>VLOOKUP(B1388,Customers!A:J,5,0)</f>
        <v>Jacksonville</v>
      </c>
      <c r="P1388" t="str">
        <f>VLOOKUP(B1388,Customers!A:J,10,0)</f>
        <v>Free</v>
      </c>
      <c r="Q1388" t="str">
        <f>VLOOKUP(B1388,Customers!A:J,8,0)</f>
        <v>Male</v>
      </c>
      <c r="R1388" t="b">
        <f t="shared" si="42"/>
        <v>1</v>
      </c>
      <c r="S1388" s="18">
        <f t="shared" si="43"/>
        <v>44743</v>
      </c>
    </row>
    <row r="1389" spans="1:19" x14ac:dyDescent="0.25">
      <c r="A1389" s="6" t="s">
        <v>2775</v>
      </c>
      <c r="B1389" s="7" t="s">
        <v>551</v>
      </c>
      <c r="C1389" s="15">
        <v>45277</v>
      </c>
      <c r="D1389" s="7" t="s">
        <v>667</v>
      </c>
      <c r="E1389" s="7" t="s">
        <v>699</v>
      </c>
      <c r="F1389" s="7">
        <v>89.99</v>
      </c>
      <c r="G1389" s="7">
        <v>2</v>
      </c>
      <c r="H1389" s="7">
        <v>15</v>
      </c>
      <c r="I1389" s="7">
        <v>76.489999999999995</v>
      </c>
      <c r="J1389" s="7">
        <v>152.97999999999999</v>
      </c>
      <c r="K1389" s="7" t="s">
        <v>655</v>
      </c>
      <c r="L1389" s="7" t="s">
        <v>656</v>
      </c>
      <c r="M1389" s="8">
        <v>5</v>
      </c>
      <c r="N1389">
        <f>VLOOKUP(B1389,Customers!A:J,7,0)</f>
        <v>28</v>
      </c>
      <c r="O1389" t="str">
        <f>VLOOKUP(B1389,Customers!A:J,5,0)</f>
        <v>Chicago</v>
      </c>
      <c r="P1389" t="str">
        <f>VLOOKUP(B1389,Customers!A:J,10,0)</f>
        <v>Free</v>
      </c>
      <c r="Q1389" t="str">
        <f>VLOOKUP(B1389,Customers!A:J,8,0)</f>
        <v>Female</v>
      </c>
      <c r="R1389" t="b">
        <f t="shared" si="42"/>
        <v>1</v>
      </c>
      <c r="S1389" s="18">
        <f t="shared" si="43"/>
        <v>45261</v>
      </c>
    </row>
    <row r="1390" spans="1:19" x14ac:dyDescent="0.25">
      <c r="A1390" s="3" t="s">
        <v>2776</v>
      </c>
      <c r="B1390" s="4" t="s">
        <v>551</v>
      </c>
      <c r="C1390" s="14">
        <v>44829</v>
      </c>
      <c r="D1390" s="4" t="s">
        <v>672</v>
      </c>
      <c r="E1390" s="4" t="s">
        <v>803</v>
      </c>
      <c r="F1390" s="4">
        <v>69.989999999999995</v>
      </c>
      <c r="G1390" s="4">
        <v>1</v>
      </c>
      <c r="H1390" s="4">
        <v>0</v>
      </c>
      <c r="I1390" s="4">
        <v>69.989999999999995</v>
      </c>
      <c r="J1390" s="4">
        <v>69.989999999999995</v>
      </c>
      <c r="K1390" s="4" t="s">
        <v>669</v>
      </c>
      <c r="L1390" s="4" t="s">
        <v>656</v>
      </c>
      <c r="M1390" s="5">
        <v>5</v>
      </c>
      <c r="N1390">
        <f>VLOOKUP(B1390,Customers!A:J,7,0)</f>
        <v>28</v>
      </c>
      <c r="O1390" t="str">
        <f>VLOOKUP(B1390,Customers!A:J,5,0)</f>
        <v>Chicago</v>
      </c>
      <c r="P1390" t="str">
        <f>VLOOKUP(B1390,Customers!A:J,10,0)</f>
        <v>Free</v>
      </c>
      <c r="Q1390" t="str">
        <f>VLOOKUP(B1390,Customers!A:J,8,0)</f>
        <v>Female</v>
      </c>
      <c r="R1390" t="b">
        <f t="shared" si="42"/>
        <v>1</v>
      </c>
      <c r="S1390" s="18">
        <f t="shared" si="43"/>
        <v>44805</v>
      </c>
    </row>
    <row r="1391" spans="1:19" x14ac:dyDescent="0.25">
      <c r="A1391" s="6" t="s">
        <v>2777</v>
      </c>
      <c r="B1391" s="7" t="s">
        <v>551</v>
      </c>
      <c r="C1391" s="15">
        <v>44563</v>
      </c>
      <c r="D1391" s="7" t="s">
        <v>672</v>
      </c>
      <c r="E1391" s="7" t="s">
        <v>803</v>
      </c>
      <c r="F1391" s="7">
        <v>69.989999999999995</v>
      </c>
      <c r="G1391" s="7">
        <v>4</v>
      </c>
      <c r="H1391" s="7">
        <v>0</v>
      </c>
      <c r="I1391" s="7">
        <v>69.989999999999995</v>
      </c>
      <c r="J1391" s="7">
        <v>279.95999999999998</v>
      </c>
      <c r="K1391" s="7" t="s">
        <v>655</v>
      </c>
      <c r="L1391" s="7" t="s">
        <v>656</v>
      </c>
      <c r="M1391" s="8">
        <v>4</v>
      </c>
      <c r="N1391">
        <f>VLOOKUP(B1391,Customers!A:J,7,0)</f>
        <v>28</v>
      </c>
      <c r="O1391" t="str">
        <f>VLOOKUP(B1391,Customers!A:J,5,0)</f>
        <v>Chicago</v>
      </c>
      <c r="P1391" t="str">
        <f>VLOOKUP(B1391,Customers!A:J,10,0)</f>
        <v>Free</v>
      </c>
      <c r="Q1391" t="str">
        <f>VLOOKUP(B1391,Customers!A:J,8,0)</f>
        <v>Female</v>
      </c>
      <c r="R1391" t="b">
        <f t="shared" si="42"/>
        <v>1</v>
      </c>
      <c r="S1391" s="18">
        <f t="shared" si="43"/>
        <v>44562</v>
      </c>
    </row>
    <row r="1392" spans="1:19" x14ac:dyDescent="0.25">
      <c r="A1392" s="3" t="s">
        <v>2779</v>
      </c>
      <c r="B1392" s="4" t="s">
        <v>551</v>
      </c>
      <c r="C1392" s="14">
        <v>45501</v>
      </c>
      <c r="D1392" s="4" t="s">
        <v>684</v>
      </c>
      <c r="E1392" s="4" t="s">
        <v>815</v>
      </c>
      <c r="F1392" s="4">
        <v>34.99</v>
      </c>
      <c r="G1392" s="4">
        <v>2</v>
      </c>
      <c r="H1392" s="4">
        <v>0</v>
      </c>
      <c r="I1392" s="4">
        <v>34.99</v>
      </c>
      <c r="J1392" s="4">
        <v>69.98</v>
      </c>
      <c r="K1392" s="4" t="s">
        <v>661</v>
      </c>
      <c r="L1392" s="4" t="s">
        <v>656</v>
      </c>
      <c r="M1392" s="5">
        <v>4</v>
      </c>
      <c r="N1392">
        <f>VLOOKUP(B1392,Customers!A:J,7,0)</f>
        <v>28</v>
      </c>
      <c r="O1392" t="str">
        <f>VLOOKUP(B1392,Customers!A:J,5,0)</f>
        <v>Chicago</v>
      </c>
      <c r="P1392" t="str">
        <f>VLOOKUP(B1392,Customers!A:J,10,0)</f>
        <v>Free</v>
      </c>
      <c r="Q1392" t="str">
        <f>VLOOKUP(B1392,Customers!A:J,8,0)</f>
        <v>Female</v>
      </c>
      <c r="R1392" t="b">
        <f t="shared" si="42"/>
        <v>1</v>
      </c>
      <c r="S1392" s="18">
        <f t="shared" si="43"/>
        <v>45474</v>
      </c>
    </row>
    <row r="1393" spans="1:19" x14ac:dyDescent="0.25">
      <c r="A1393" s="6" t="s">
        <v>2780</v>
      </c>
      <c r="B1393" s="7" t="s">
        <v>551</v>
      </c>
      <c r="C1393" s="15">
        <v>45285</v>
      </c>
      <c r="D1393" s="7" t="s">
        <v>684</v>
      </c>
      <c r="E1393" s="7" t="s">
        <v>815</v>
      </c>
      <c r="F1393" s="7">
        <v>34.99</v>
      </c>
      <c r="G1393" s="7">
        <v>3</v>
      </c>
      <c r="H1393" s="7">
        <v>15</v>
      </c>
      <c r="I1393" s="7">
        <v>29.74</v>
      </c>
      <c r="J1393" s="7">
        <v>89.22</v>
      </c>
      <c r="K1393" s="7" t="s">
        <v>661</v>
      </c>
      <c r="L1393" s="7" t="s">
        <v>656</v>
      </c>
      <c r="M1393" s="8">
        <v>2</v>
      </c>
      <c r="N1393">
        <f>VLOOKUP(B1393,Customers!A:J,7,0)</f>
        <v>28</v>
      </c>
      <c r="O1393" t="str">
        <f>VLOOKUP(B1393,Customers!A:J,5,0)</f>
        <v>Chicago</v>
      </c>
      <c r="P1393" t="str">
        <f>VLOOKUP(B1393,Customers!A:J,10,0)</f>
        <v>Free</v>
      </c>
      <c r="Q1393" t="str">
        <f>VLOOKUP(B1393,Customers!A:J,8,0)</f>
        <v>Female</v>
      </c>
      <c r="R1393" t="b">
        <f t="shared" si="42"/>
        <v>1</v>
      </c>
      <c r="S1393" s="18">
        <f t="shared" si="43"/>
        <v>45261</v>
      </c>
    </row>
    <row r="1394" spans="1:19" x14ac:dyDescent="0.25">
      <c r="A1394" s="3" t="s">
        <v>2781</v>
      </c>
      <c r="B1394" s="4" t="s">
        <v>551</v>
      </c>
      <c r="C1394" s="14">
        <v>44809</v>
      </c>
      <c r="D1394" s="4" t="s">
        <v>680</v>
      </c>
      <c r="E1394" s="4" t="s">
        <v>681</v>
      </c>
      <c r="F1394" s="4">
        <v>19.989999999999998</v>
      </c>
      <c r="G1394" s="4">
        <v>4</v>
      </c>
      <c r="H1394" s="4">
        <v>20</v>
      </c>
      <c r="I1394" s="4">
        <v>15.99</v>
      </c>
      <c r="J1394" s="4">
        <v>63.96</v>
      </c>
      <c r="K1394" s="4" t="s">
        <v>682</v>
      </c>
      <c r="L1394" s="4" t="s">
        <v>656</v>
      </c>
      <c r="M1394" s="5">
        <v>4</v>
      </c>
      <c r="N1394">
        <f>VLOOKUP(B1394,Customers!A:J,7,0)</f>
        <v>28</v>
      </c>
      <c r="O1394" t="str">
        <f>VLOOKUP(B1394,Customers!A:J,5,0)</f>
        <v>Chicago</v>
      </c>
      <c r="P1394" t="str">
        <f>VLOOKUP(B1394,Customers!A:J,10,0)</f>
        <v>Free</v>
      </c>
      <c r="Q1394" t="str">
        <f>VLOOKUP(B1394,Customers!A:J,8,0)</f>
        <v>Female</v>
      </c>
      <c r="R1394" t="b">
        <f t="shared" si="42"/>
        <v>1</v>
      </c>
      <c r="S1394" s="18">
        <f t="shared" si="43"/>
        <v>44805</v>
      </c>
    </row>
    <row r="1395" spans="1:19" x14ac:dyDescent="0.25">
      <c r="A1395" s="6" t="s">
        <v>2782</v>
      </c>
      <c r="B1395" s="7" t="s">
        <v>551</v>
      </c>
      <c r="C1395" s="15">
        <v>44593</v>
      </c>
      <c r="D1395" s="7" t="s">
        <v>659</v>
      </c>
      <c r="E1395" s="7" t="s">
        <v>664</v>
      </c>
      <c r="F1395" s="7">
        <v>24.99</v>
      </c>
      <c r="G1395" s="7">
        <v>4</v>
      </c>
      <c r="H1395" s="7">
        <v>15</v>
      </c>
      <c r="I1395" s="7">
        <v>21.24</v>
      </c>
      <c r="J1395" s="7">
        <v>84.96</v>
      </c>
      <c r="K1395" s="7" t="s">
        <v>655</v>
      </c>
      <c r="L1395" s="7" t="s">
        <v>788</v>
      </c>
      <c r="M1395" s="8">
        <v>5</v>
      </c>
      <c r="N1395">
        <f>VLOOKUP(B1395,Customers!A:J,7,0)</f>
        <v>28</v>
      </c>
      <c r="O1395" t="str">
        <f>VLOOKUP(B1395,Customers!A:J,5,0)</f>
        <v>Chicago</v>
      </c>
      <c r="P1395" t="str">
        <f>VLOOKUP(B1395,Customers!A:J,10,0)</f>
        <v>Free</v>
      </c>
      <c r="Q1395" t="str">
        <f>VLOOKUP(B1395,Customers!A:J,8,0)</f>
        <v>Female</v>
      </c>
      <c r="R1395" t="b">
        <f t="shared" si="42"/>
        <v>1</v>
      </c>
      <c r="S1395" s="18">
        <f t="shared" si="43"/>
        <v>44593</v>
      </c>
    </row>
    <row r="1396" spans="1:19" x14ac:dyDescent="0.25">
      <c r="A1396" s="3" t="s">
        <v>2783</v>
      </c>
      <c r="B1396" s="4" t="s">
        <v>554</v>
      </c>
      <c r="C1396" s="14">
        <v>44885</v>
      </c>
      <c r="D1396" s="4" t="s">
        <v>667</v>
      </c>
      <c r="E1396" s="4" t="s">
        <v>699</v>
      </c>
      <c r="F1396" s="4">
        <v>89.99</v>
      </c>
      <c r="G1396" s="4">
        <v>1</v>
      </c>
      <c r="H1396" s="4">
        <v>5</v>
      </c>
      <c r="I1396" s="4">
        <v>85.49</v>
      </c>
      <c r="J1396" s="4">
        <v>85.49</v>
      </c>
      <c r="K1396" s="4" t="s">
        <v>675</v>
      </c>
      <c r="L1396" s="4" t="s">
        <v>656</v>
      </c>
      <c r="M1396" s="5">
        <v>3</v>
      </c>
      <c r="N1396">
        <f>VLOOKUP(B1396,Customers!A:J,7,0)</f>
        <v>61</v>
      </c>
      <c r="O1396" t="str">
        <f>VLOOKUP(B1396,Customers!A:J,5,0)</f>
        <v>Los Angeles</v>
      </c>
      <c r="P1396" t="str">
        <f>VLOOKUP(B1396,Customers!A:J,10,0)</f>
        <v>Free</v>
      </c>
      <c r="Q1396" t="str">
        <f>VLOOKUP(B1396,Customers!A:J,8,0)</f>
        <v>Male</v>
      </c>
      <c r="R1396" t="b">
        <f t="shared" si="42"/>
        <v>1</v>
      </c>
      <c r="S1396" s="18">
        <f t="shared" si="43"/>
        <v>44866</v>
      </c>
    </row>
    <row r="1397" spans="1:19" x14ac:dyDescent="0.25">
      <c r="A1397" s="6" t="s">
        <v>2784</v>
      </c>
      <c r="B1397" s="7" t="s">
        <v>554</v>
      </c>
      <c r="C1397" s="15">
        <v>45027</v>
      </c>
      <c r="D1397" s="7" t="s">
        <v>667</v>
      </c>
      <c r="E1397" s="7" t="s">
        <v>714</v>
      </c>
      <c r="F1397" s="7">
        <v>44.99</v>
      </c>
      <c r="G1397" s="7">
        <v>4</v>
      </c>
      <c r="H1397" s="7">
        <v>15</v>
      </c>
      <c r="I1397" s="7">
        <v>38.24</v>
      </c>
      <c r="J1397" s="7">
        <v>152.96</v>
      </c>
      <c r="K1397" s="7" t="s">
        <v>682</v>
      </c>
      <c r="L1397" s="7" t="s">
        <v>656</v>
      </c>
      <c r="M1397" s="8">
        <v>3</v>
      </c>
      <c r="N1397">
        <f>VLOOKUP(B1397,Customers!A:J,7,0)</f>
        <v>61</v>
      </c>
      <c r="O1397" t="str">
        <f>VLOOKUP(B1397,Customers!A:J,5,0)</f>
        <v>Los Angeles</v>
      </c>
      <c r="P1397" t="str">
        <f>VLOOKUP(B1397,Customers!A:J,10,0)</f>
        <v>Free</v>
      </c>
      <c r="Q1397" t="str">
        <f>VLOOKUP(B1397,Customers!A:J,8,0)</f>
        <v>Male</v>
      </c>
      <c r="R1397" t="b">
        <f t="shared" si="42"/>
        <v>1</v>
      </c>
      <c r="S1397" s="18">
        <f t="shared" si="43"/>
        <v>45017</v>
      </c>
    </row>
    <row r="1398" spans="1:19" x14ac:dyDescent="0.25">
      <c r="A1398" s="3" t="s">
        <v>2785</v>
      </c>
      <c r="B1398" s="4" t="s">
        <v>554</v>
      </c>
      <c r="C1398" s="14">
        <v>45529</v>
      </c>
      <c r="D1398" s="4" t="s">
        <v>653</v>
      </c>
      <c r="E1398" s="4" t="s">
        <v>827</v>
      </c>
      <c r="F1398" s="4">
        <v>29.99</v>
      </c>
      <c r="G1398" s="4">
        <v>4</v>
      </c>
      <c r="H1398" s="4">
        <v>5</v>
      </c>
      <c r="I1398" s="4">
        <v>28.49</v>
      </c>
      <c r="J1398" s="4">
        <v>113.96</v>
      </c>
      <c r="K1398" s="4" t="s">
        <v>675</v>
      </c>
      <c r="L1398" s="4" t="s">
        <v>656</v>
      </c>
      <c r="M1398" s="5">
        <v>4</v>
      </c>
      <c r="N1398">
        <f>VLOOKUP(B1398,Customers!A:J,7,0)</f>
        <v>61</v>
      </c>
      <c r="O1398" t="str">
        <f>VLOOKUP(B1398,Customers!A:J,5,0)</f>
        <v>Los Angeles</v>
      </c>
      <c r="P1398" t="str">
        <f>VLOOKUP(B1398,Customers!A:J,10,0)</f>
        <v>Free</v>
      </c>
      <c r="Q1398" t="str">
        <f>VLOOKUP(B1398,Customers!A:J,8,0)</f>
        <v>Male</v>
      </c>
      <c r="R1398" t="b">
        <f t="shared" si="42"/>
        <v>1</v>
      </c>
      <c r="S1398" s="18">
        <f t="shared" si="43"/>
        <v>45505</v>
      </c>
    </row>
    <row r="1399" spans="1:19" x14ac:dyDescent="0.25">
      <c r="A1399" s="6" t="s">
        <v>2786</v>
      </c>
      <c r="B1399" s="7" t="s">
        <v>554</v>
      </c>
      <c r="C1399" s="15">
        <v>45040</v>
      </c>
      <c r="D1399" s="7" t="s">
        <v>653</v>
      </c>
      <c r="E1399" s="7" t="s">
        <v>827</v>
      </c>
      <c r="F1399" s="7">
        <v>29.99</v>
      </c>
      <c r="G1399" s="7">
        <v>4</v>
      </c>
      <c r="H1399" s="7">
        <v>0</v>
      </c>
      <c r="I1399" s="7">
        <v>29.99</v>
      </c>
      <c r="J1399" s="7">
        <v>119.96</v>
      </c>
      <c r="K1399" s="7" t="s">
        <v>655</v>
      </c>
      <c r="L1399" s="7" t="s">
        <v>788</v>
      </c>
      <c r="M1399" s="8">
        <v>3</v>
      </c>
      <c r="N1399">
        <f>VLOOKUP(B1399,Customers!A:J,7,0)</f>
        <v>61</v>
      </c>
      <c r="O1399" t="str">
        <f>VLOOKUP(B1399,Customers!A:J,5,0)</f>
        <v>Los Angeles</v>
      </c>
      <c r="P1399" t="str">
        <f>VLOOKUP(B1399,Customers!A:J,10,0)</f>
        <v>Free</v>
      </c>
      <c r="Q1399" t="str">
        <f>VLOOKUP(B1399,Customers!A:J,8,0)</f>
        <v>Male</v>
      </c>
      <c r="R1399" t="b">
        <f t="shared" si="42"/>
        <v>1</v>
      </c>
      <c r="S1399" s="18">
        <f t="shared" si="43"/>
        <v>45017</v>
      </c>
    </row>
    <row r="1400" spans="1:19" x14ac:dyDescent="0.25">
      <c r="A1400" s="3" t="s">
        <v>2788</v>
      </c>
      <c r="B1400" s="4" t="s">
        <v>554</v>
      </c>
      <c r="C1400" s="14">
        <v>45121</v>
      </c>
      <c r="D1400" s="4" t="s">
        <v>684</v>
      </c>
      <c r="E1400" s="4" t="s">
        <v>685</v>
      </c>
      <c r="F1400" s="4">
        <v>49.99</v>
      </c>
      <c r="G1400" s="4">
        <v>3</v>
      </c>
      <c r="H1400" s="4">
        <v>5</v>
      </c>
      <c r="I1400" s="4">
        <v>47.49</v>
      </c>
      <c r="J1400" s="4">
        <v>142.47</v>
      </c>
      <c r="K1400" s="4" t="s">
        <v>661</v>
      </c>
      <c r="L1400" s="4" t="s">
        <v>656</v>
      </c>
      <c r="M1400" s="5"/>
      <c r="N1400">
        <f>VLOOKUP(B1400,Customers!A:J,7,0)</f>
        <v>61</v>
      </c>
      <c r="O1400" t="str">
        <f>VLOOKUP(B1400,Customers!A:J,5,0)</f>
        <v>Los Angeles</v>
      </c>
      <c r="P1400" t="str">
        <f>VLOOKUP(B1400,Customers!A:J,10,0)</f>
        <v>Free</v>
      </c>
      <c r="Q1400" t="str">
        <f>VLOOKUP(B1400,Customers!A:J,8,0)</f>
        <v>Male</v>
      </c>
      <c r="R1400" t="b">
        <f t="shared" si="42"/>
        <v>1</v>
      </c>
      <c r="S1400" s="18">
        <f t="shared" si="43"/>
        <v>45108</v>
      </c>
    </row>
    <row r="1401" spans="1:19" x14ac:dyDescent="0.25">
      <c r="A1401" s="6" t="s">
        <v>2789</v>
      </c>
      <c r="B1401" s="7" t="s">
        <v>554</v>
      </c>
      <c r="C1401" s="15">
        <v>45154</v>
      </c>
      <c r="D1401" s="7" t="s">
        <v>684</v>
      </c>
      <c r="E1401" s="7" t="s">
        <v>702</v>
      </c>
      <c r="F1401" s="7">
        <v>199.99</v>
      </c>
      <c r="G1401" s="7">
        <v>3</v>
      </c>
      <c r="H1401" s="7">
        <v>0</v>
      </c>
      <c r="I1401" s="7">
        <v>199.99</v>
      </c>
      <c r="J1401" s="7">
        <v>599.97</v>
      </c>
      <c r="K1401" s="7" t="s">
        <v>682</v>
      </c>
      <c r="L1401" s="7" t="s">
        <v>656</v>
      </c>
      <c r="M1401" s="8">
        <v>1</v>
      </c>
      <c r="N1401">
        <f>VLOOKUP(B1401,Customers!A:J,7,0)</f>
        <v>61</v>
      </c>
      <c r="O1401" t="str">
        <f>VLOOKUP(B1401,Customers!A:J,5,0)</f>
        <v>Los Angeles</v>
      </c>
      <c r="P1401" t="str">
        <f>VLOOKUP(B1401,Customers!A:J,10,0)</f>
        <v>Free</v>
      </c>
      <c r="Q1401" t="str">
        <f>VLOOKUP(B1401,Customers!A:J,8,0)</f>
        <v>Male</v>
      </c>
      <c r="R1401" t="b">
        <f t="shared" si="42"/>
        <v>1</v>
      </c>
      <c r="S1401" s="18">
        <f t="shared" si="43"/>
        <v>45139</v>
      </c>
    </row>
    <row r="1402" spans="1:19" x14ac:dyDescent="0.25">
      <c r="A1402" s="3" t="s">
        <v>2790</v>
      </c>
      <c r="B1402" s="4" t="s">
        <v>554</v>
      </c>
      <c r="C1402" s="14">
        <v>44597</v>
      </c>
      <c r="D1402" s="4" t="s">
        <v>672</v>
      </c>
      <c r="E1402" s="4" t="s">
        <v>803</v>
      </c>
      <c r="F1402" s="4">
        <v>69.989999999999995</v>
      </c>
      <c r="G1402" s="4">
        <v>1</v>
      </c>
      <c r="H1402" s="4">
        <v>15</v>
      </c>
      <c r="I1402" s="4">
        <v>59.49</v>
      </c>
      <c r="J1402" s="4">
        <v>59.49</v>
      </c>
      <c r="K1402" s="4" t="s">
        <v>682</v>
      </c>
      <c r="L1402" s="4" t="s">
        <v>656</v>
      </c>
      <c r="M1402" s="5">
        <v>5</v>
      </c>
      <c r="N1402">
        <f>VLOOKUP(B1402,Customers!A:J,7,0)</f>
        <v>61</v>
      </c>
      <c r="O1402" t="str">
        <f>VLOOKUP(B1402,Customers!A:J,5,0)</f>
        <v>Los Angeles</v>
      </c>
      <c r="P1402" t="str">
        <f>VLOOKUP(B1402,Customers!A:J,10,0)</f>
        <v>Free</v>
      </c>
      <c r="Q1402" t="str">
        <f>VLOOKUP(B1402,Customers!A:J,8,0)</f>
        <v>Male</v>
      </c>
      <c r="R1402" t="b">
        <f t="shared" si="42"/>
        <v>1</v>
      </c>
      <c r="S1402" s="18">
        <f t="shared" si="43"/>
        <v>44593</v>
      </c>
    </row>
    <row r="1403" spans="1:19" x14ac:dyDescent="0.25">
      <c r="A1403" s="6" t="s">
        <v>2792</v>
      </c>
      <c r="B1403" s="7" t="s">
        <v>554</v>
      </c>
      <c r="C1403" s="15">
        <v>45316</v>
      </c>
      <c r="D1403" s="7" t="s">
        <v>672</v>
      </c>
      <c r="E1403" s="7" t="s">
        <v>673</v>
      </c>
      <c r="F1403" s="7">
        <v>24.99</v>
      </c>
      <c r="G1403" s="7">
        <v>4</v>
      </c>
      <c r="H1403" s="7">
        <v>0</v>
      </c>
      <c r="I1403" s="7">
        <v>24.99</v>
      </c>
      <c r="J1403" s="7">
        <v>99.96</v>
      </c>
      <c r="K1403" s="7" t="s">
        <v>661</v>
      </c>
      <c r="L1403" s="7" t="s">
        <v>656</v>
      </c>
      <c r="M1403" s="8">
        <v>3</v>
      </c>
      <c r="N1403">
        <f>VLOOKUP(B1403,Customers!A:J,7,0)</f>
        <v>61</v>
      </c>
      <c r="O1403" t="str">
        <f>VLOOKUP(B1403,Customers!A:J,5,0)</f>
        <v>Los Angeles</v>
      </c>
      <c r="P1403" t="str">
        <f>VLOOKUP(B1403,Customers!A:J,10,0)</f>
        <v>Free</v>
      </c>
      <c r="Q1403" t="str">
        <f>VLOOKUP(B1403,Customers!A:J,8,0)</f>
        <v>Male</v>
      </c>
      <c r="R1403" t="b">
        <f t="shared" si="42"/>
        <v>1</v>
      </c>
      <c r="S1403" s="18">
        <f t="shared" si="43"/>
        <v>45292</v>
      </c>
    </row>
    <row r="1404" spans="1:19" x14ac:dyDescent="0.25">
      <c r="A1404" s="3" t="s">
        <v>2794</v>
      </c>
      <c r="B1404" s="4" t="s">
        <v>554</v>
      </c>
      <c r="C1404" s="14">
        <v>45620</v>
      </c>
      <c r="D1404" s="4" t="s">
        <v>667</v>
      </c>
      <c r="E1404" s="4" t="s">
        <v>699</v>
      </c>
      <c r="F1404" s="4">
        <v>89.99</v>
      </c>
      <c r="G1404" s="4">
        <v>3</v>
      </c>
      <c r="H1404" s="4">
        <v>0</v>
      </c>
      <c r="I1404" s="4">
        <v>89.99</v>
      </c>
      <c r="J1404" s="4">
        <v>269.97000000000003</v>
      </c>
      <c r="K1404" s="4" t="s">
        <v>669</v>
      </c>
      <c r="L1404" s="4" t="s">
        <v>656</v>
      </c>
      <c r="M1404" s="5">
        <v>4</v>
      </c>
      <c r="N1404">
        <f>VLOOKUP(B1404,Customers!A:J,7,0)</f>
        <v>61</v>
      </c>
      <c r="O1404" t="str">
        <f>VLOOKUP(B1404,Customers!A:J,5,0)</f>
        <v>Los Angeles</v>
      </c>
      <c r="P1404" t="str">
        <f>VLOOKUP(B1404,Customers!A:J,10,0)</f>
        <v>Free</v>
      </c>
      <c r="Q1404" t="str">
        <f>VLOOKUP(B1404,Customers!A:J,8,0)</f>
        <v>Male</v>
      </c>
      <c r="R1404" t="b">
        <f t="shared" si="42"/>
        <v>1</v>
      </c>
      <c r="S1404" s="18">
        <f t="shared" si="43"/>
        <v>45597</v>
      </c>
    </row>
    <row r="1405" spans="1:19" x14ac:dyDescent="0.25">
      <c r="A1405" s="6" t="s">
        <v>2795</v>
      </c>
      <c r="B1405" s="7" t="s">
        <v>554</v>
      </c>
      <c r="C1405" s="15">
        <v>45043</v>
      </c>
      <c r="D1405" s="7" t="s">
        <v>659</v>
      </c>
      <c r="E1405" s="7" t="s">
        <v>664</v>
      </c>
      <c r="F1405" s="7">
        <v>24.99</v>
      </c>
      <c r="G1405" s="7">
        <v>1</v>
      </c>
      <c r="H1405" s="7">
        <v>0</v>
      </c>
      <c r="I1405" s="7">
        <v>24.99</v>
      </c>
      <c r="J1405" s="7">
        <v>24.99</v>
      </c>
      <c r="K1405" s="7" t="s">
        <v>682</v>
      </c>
      <c r="L1405" s="7" t="s">
        <v>785</v>
      </c>
      <c r="M1405" s="8">
        <v>5</v>
      </c>
      <c r="N1405">
        <f>VLOOKUP(B1405,Customers!A:J,7,0)</f>
        <v>61</v>
      </c>
      <c r="O1405" t="str">
        <f>VLOOKUP(B1405,Customers!A:J,5,0)</f>
        <v>Los Angeles</v>
      </c>
      <c r="P1405" t="str">
        <f>VLOOKUP(B1405,Customers!A:J,10,0)</f>
        <v>Free</v>
      </c>
      <c r="Q1405" t="str">
        <f>VLOOKUP(B1405,Customers!A:J,8,0)</f>
        <v>Male</v>
      </c>
      <c r="R1405" t="b">
        <f t="shared" si="42"/>
        <v>1</v>
      </c>
      <c r="S1405" s="18">
        <f t="shared" si="43"/>
        <v>45017</v>
      </c>
    </row>
    <row r="1406" spans="1:19" x14ac:dyDescent="0.25">
      <c r="A1406" s="3" t="s">
        <v>2796</v>
      </c>
      <c r="B1406" s="4" t="s">
        <v>554</v>
      </c>
      <c r="C1406" s="14">
        <v>45476</v>
      </c>
      <c r="D1406" s="4" t="s">
        <v>684</v>
      </c>
      <c r="E1406" s="4" t="s">
        <v>815</v>
      </c>
      <c r="F1406" s="4">
        <v>34.99</v>
      </c>
      <c r="G1406" s="4">
        <v>1</v>
      </c>
      <c r="H1406" s="4">
        <v>5</v>
      </c>
      <c r="I1406" s="4">
        <v>33.24</v>
      </c>
      <c r="J1406" s="4">
        <v>33.24</v>
      </c>
      <c r="K1406" s="4" t="s">
        <v>661</v>
      </c>
      <c r="L1406" s="4" t="s">
        <v>656</v>
      </c>
      <c r="M1406" s="5">
        <v>3</v>
      </c>
      <c r="N1406">
        <f>VLOOKUP(B1406,Customers!A:J,7,0)</f>
        <v>61</v>
      </c>
      <c r="O1406" t="str">
        <f>VLOOKUP(B1406,Customers!A:J,5,0)</f>
        <v>Los Angeles</v>
      </c>
      <c r="P1406" t="str">
        <f>VLOOKUP(B1406,Customers!A:J,10,0)</f>
        <v>Free</v>
      </c>
      <c r="Q1406" t="str">
        <f>VLOOKUP(B1406,Customers!A:J,8,0)</f>
        <v>Male</v>
      </c>
      <c r="R1406" t="b">
        <f t="shared" si="42"/>
        <v>1</v>
      </c>
      <c r="S1406" s="18">
        <f t="shared" si="43"/>
        <v>45474</v>
      </c>
    </row>
    <row r="1407" spans="1:19" x14ac:dyDescent="0.25">
      <c r="A1407" s="6" t="s">
        <v>2798</v>
      </c>
      <c r="B1407" s="7" t="s">
        <v>554</v>
      </c>
      <c r="C1407" s="15">
        <v>44632</v>
      </c>
      <c r="D1407" s="7" t="s">
        <v>684</v>
      </c>
      <c r="E1407" s="7" t="s">
        <v>815</v>
      </c>
      <c r="F1407" s="7">
        <v>34.99</v>
      </c>
      <c r="G1407" s="7">
        <v>3</v>
      </c>
      <c r="H1407" s="7">
        <v>0</v>
      </c>
      <c r="I1407" s="7">
        <v>34.99</v>
      </c>
      <c r="J1407" s="7">
        <v>104.97</v>
      </c>
      <c r="K1407" s="7" t="s">
        <v>675</v>
      </c>
      <c r="L1407" s="7" t="s">
        <v>739</v>
      </c>
      <c r="M1407" s="8"/>
      <c r="N1407">
        <f>VLOOKUP(B1407,Customers!A:J,7,0)</f>
        <v>61</v>
      </c>
      <c r="O1407" t="str">
        <f>VLOOKUP(B1407,Customers!A:J,5,0)</f>
        <v>Los Angeles</v>
      </c>
      <c r="P1407" t="str">
        <f>VLOOKUP(B1407,Customers!A:J,10,0)</f>
        <v>Free</v>
      </c>
      <c r="Q1407" t="str">
        <f>VLOOKUP(B1407,Customers!A:J,8,0)</f>
        <v>Male</v>
      </c>
      <c r="R1407" t="b">
        <f t="shared" si="42"/>
        <v>1</v>
      </c>
      <c r="S1407" s="18">
        <f t="shared" si="43"/>
        <v>44621</v>
      </c>
    </row>
    <row r="1408" spans="1:19" x14ac:dyDescent="0.25">
      <c r="A1408" s="3" t="s">
        <v>2799</v>
      </c>
      <c r="B1408" s="4" t="s">
        <v>554</v>
      </c>
      <c r="C1408" s="14">
        <v>45164</v>
      </c>
      <c r="D1408" s="4" t="s">
        <v>710</v>
      </c>
      <c r="E1408" s="4" t="s">
        <v>711</v>
      </c>
      <c r="F1408" s="4">
        <v>14.99</v>
      </c>
      <c r="G1408" s="4">
        <v>1</v>
      </c>
      <c r="H1408" s="4">
        <v>15</v>
      </c>
      <c r="I1408" s="4">
        <v>12.74</v>
      </c>
      <c r="J1408" s="4">
        <v>12.74</v>
      </c>
      <c r="K1408" s="4" t="s">
        <v>675</v>
      </c>
      <c r="L1408" s="4" t="s">
        <v>656</v>
      </c>
      <c r="M1408" s="5">
        <v>4</v>
      </c>
      <c r="N1408">
        <f>VLOOKUP(B1408,Customers!A:J,7,0)</f>
        <v>61</v>
      </c>
      <c r="O1408" t="str">
        <f>VLOOKUP(B1408,Customers!A:J,5,0)</f>
        <v>Los Angeles</v>
      </c>
      <c r="P1408" t="str">
        <f>VLOOKUP(B1408,Customers!A:J,10,0)</f>
        <v>Free</v>
      </c>
      <c r="Q1408" t="str">
        <f>VLOOKUP(B1408,Customers!A:J,8,0)</f>
        <v>Male</v>
      </c>
      <c r="R1408" t="b">
        <f t="shared" si="42"/>
        <v>1</v>
      </c>
      <c r="S1408" s="18">
        <f t="shared" si="43"/>
        <v>45139</v>
      </c>
    </row>
    <row r="1409" spans="1:19" x14ac:dyDescent="0.25">
      <c r="A1409" s="6" t="s">
        <v>2800</v>
      </c>
      <c r="B1409" s="7" t="s">
        <v>557</v>
      </c>
      <c r="C1409" s="15">
        <v>44763</v>
      </c>
      <c r="D1409" s="7" t="s">
        <v>659</v>
      </c>
      <c r="E1409" s="7" t="s">
        <v>664</v>
      </c>
      <c r="F1409" s="7">
        <v>24.99</v>
      </c>
      <c r="G1409" s="7">
        <v>1</v>
      </c>
      <c r="H1409" s="7">
        <v>10</v>
      </c>
      <c r="I1409" s="7">
        <v>22.49</v>
      </c>
      <c r="J1409" s="7">
        <v>22.49</v>
      </c>
      <c r="K1409" s="7" t="s">
        <v>675</v>
      </c>
      <c r="L1409" s="7" t="s">
        <v>656</v>
      </c>
      <c r="M1409" s="8">
        <v>5</v>
      </c>
      <c r="N1409">
        <f>VLOOKUP(B1409,Customers!A:J,7,0)</f>
        <v>40</v>
      </c>
      <c r="O1409" t="str">
        <f>VLOOKUP(B1409,Customers!A:J,5,0)</f>
        <v>New York</v>
      </c>
      <c r="P1409" t="str">
        <f>VLOOKUP(B1409,Customers!A:J,10,0)</f>
        <v>Free</v>
      </c>
      <c r="Q1409" t="str">
        <f>VLOOKUP(B1409,Customers!A:J,8,0)</f>
        <v>Male</v>
      </c>
      <c r="R1409" t="b">
        <f t="shared" si="42"/>
        <v>1</v>
      </c>
      <c r="S1409" s="18">
        <f t="shared" si="43"/>
        <v>44743</v>
      </c>
    </row>
    <row r="1410" spans="1:19" x14ac:dyDescent="0.25">
      <c r="A1410" s="3" t="s">
        <v>2801</v>
      </c>
      <c r="B1410" s="4" t="s">
        <v>560</v>
      </c>
      <c r="C1410" s="14">
        <v>44844</v>
      </c>
      <c r="D1410" s="4" t="s">
        <v>680</v>
      </c>
      <c r="E1410" s="4" t="s">
        <v>688</v>
      </c>
      <c r="F1410" s="4">
        <v>29.99</v>
      </c>
      <c r="G1410" s="4">
        <v>1</v>
      </c>
      <c r="H1410" s="4">
        <v>20</v>
      </c>
      <c r="I1410" s="4">
        <v>23.99</v>
      </c>
      <c r="J1410" s="4">
        <v>23.99</v>
      </c>
      <c r="K1410" s="4" t="s">
        <v>661</v>
      </c>
      <c r="L1410" s="4" t="s">
        <v>656</v>
      </c>
      <c r="M1410" s="5">
        <v>2</v>
      </c>
      <c r="N1410">
        <f>VLOOKUP(B1410,Customers!A:J,7,0)</f>
        <v>50</v>
      </c>
      <c r="O1410" t="str">
        <f>VLOOKUP(B1410,Customers!A:J,5,0)</f>
        <v>San Diego</v>
      </c>
      <c r="P1410" t="str">
        <f>VLOOKUP(B1410,Customers!A:J,10,0)</f>
        <v>Free</v>
      </c>
      <c r="Q1410" t="str">
        <f>VLOOKUP(B1410,Customers!A:J,8,0)</f>
        <v>Male</v>
      </c>
      <c r="R1410" t="b">
        <f t="shared" si="42"/>
        <v>1</v>
      </c>
      <c r="S1410" s="18">
        <f t="shared" si="43"/>
        <v>44835</v>
      </c>
    </row>
    <row r="1411" spans="1:19" x14ac:dyDescent="0.25">
      <c r="A1411" s="6" t="s">
        <v>2802</v>
      </c>
      <c r="B1411" s="7" t="s">
        <v>560</v>
      </c>
      <c r="C1411" s="15">
        <v>44589</v>
      </c>
      <c r="D1411" s="7" t="s">
        <v>710</v>
      </c>
      <c r="E1411" s="7" t="s">
        <v>744</v>
      </c>
      <c r="F1411" s="7">
        <v>29.99</v>
      </c>
      <c r="G1411" s="7">
        <v>2</v>
      </c>
      <c r="H1411" s="7">
        <v>15</v>
      </c>
      <c r="I1411" s="7">
        <v>25.49</v>
      </c>
      <c r="J1411" s="7">
        <v>50.98</v>
      </c>
      <c r="K1411" s="7" t="s">
        <v>675</v>
      </c>
      <c r="L1411" s="7" t="s">
        <v>656</v>
      </c>
      <c r="M1411" s="8">
        <v>4</v>
      </c>
      <c r="N1411">
        <f>VLOOKUP(B1411,Customers!A:J,7,0)</f>
        <v>50</v>
      </c>
      <c r="O1411" t="str">
        <f>VLOOKUP(B1411,Customers!A:J,5,0)</f>
        <v>San Diego</v>
      </c>
      <c r="P1411" t="str">
        <f>VLOOKUP(B1411,Customers!A:J,10,0)</f>
        <v>Free</v>
      </c>
      <c r="Q1411" t="str">
        <f>VLOOKUP(B1411,Customers!A:J,8,0)</f>
        <v>Male</v>
      </c>
      <c r="R1411" t="b">
        <f t="shared" ref="R1411:R1474" si="44">ISNUMBER(C1411)</f>
        <v>1</v>
      </c>
      <c r="S1411" s="18">
        <f t="shared" ref="S1411:S1474" si="45">DATE(YEAR(C1411),MONTH(C1411),1)</f>
        <v>44562</v>
      </c>
    </row>
    <row r="1412" spans="1:19" x14ac:dyDescent="0.25">
      <c r="A1412" s="3" t="s">
        <v>2804</v>
      </c>
      <c r="B1412" s="4" t="s">
        <v>560</v>
      </c>
      <c r="C1412" s="14">
        <v>45048</v>
      </c>
      <c r="D1412" s="4" t="s">
        <v>667</v>
      </c>
      <c r="E1412" s="4" t="s">
        <v>714</v>
      </c>
      <c r="F1412" s="4">
        <v>44.99</v>
      </c>
      <c r="G1412" s="4">
        <v>1</v>
      </c>
      <c r="H1412" s="4">
        <v>15</v>
      </c>
      <c r="I1412" s="4">
        <v>38.24</v>
      </c>
      <c r="J1412" s="4">
        <v>38.24</v>
      </c>
      <c r="K1412" s="4" t="s">
        <v>669</v>
      </c>
      <c r="L1412" s="4" t="s">
        <v>656</v>
      </c>
      <c r="M1412" s="5">
        <v>4</v>
      </c>
      <c r="N1412">
        <f>VLOOKUP(B1412,Customers!A:J,7,0)</f>
        <v>50</v>
      </c>
      <c r="O1412" t="str">
        <f>VLOOKUP(B1412,Customers!A:J,5,0)</f>
        <v>San Diego</v>
      </c>
      <c r="P1412" t="str">
        <f>VLOOKUP(B1412,Customers!A:J,10,0)</f>
        <v>Free</v>
      </c>
      <c r="Q1412" t="str">
        <f>VLOOKUP(B1412,Customers!A:J,8,0)</f>
        <v>Male</v>
      </c>
      <c r="R1412" t="b">
        <f t="shared" si="44"/>
        <v>1</v>
      </c>
      <c r="S1412" s="18">
        <f t="shared" si="45"/>
        <v>45047</v>
      </c>
    </row>
    <row r="1413" spans="1:19" x14ac:dyDescent="0.25">
      <c r="A1413" s="6" t="s">
        <v>2806</v>
      </c>
      <c r="B1413" s="7" t="s">
        <v>560</v>
      </c>
      <c r="C1413" s="15">
        <v>44977</v>
      </c>
      <c r="D1413" s="7" t="s">
        <v>710</v>
      </c>
      <c r="E1413" s="7" t="s">
        <v>744</v>
      </c>
      <c r="F1413" s="7">
        <v>29.99</v>
      </c>
      <c r="G1413" s="7">
        <v>3</v>
      </c>
      <c r="H1413" s="7">
        <v>0</v>
      </c>
      <c r="I1413" s="7">
        <v>29.99</v>
      </c>
      <c r="J1413" s="7">
        <v>89.97</v>
      </c>
      <c r="K1413" s="7" t="s">
        <v>675</v>
      </c>
      <c r="L1413" s="7" t="s">
        <v>656</v>
      </c>
      <c r="M1413" s="8">
        <v>3</v>
      </c>
      <c r="N1413">
        <f>VLOOKUP(B1413,Customers!A:J,7,0)</f>
        <v>50</v>
      </c>
      <c r="O1413" t="str">
        <f>VLOOKUP(B1413,Customers!A:J,5,0)</f>
        <v>San Diego</v>
      </c>
      <c r="P1413" t="str">
        <f>VLOOKUP(B1413,Customers!A:J,10,0)</f>
        <v>Free</v>
      </c>
      <c r="Q1413" t="str">
        <f>VLOOKUP(B1413,Customers!A:J,8,0)</f>
        <v>Male</v>
      </c>
      <c r="R1413" t="b">
        <f t="shared" si="44"/>
        <v>1</v>
      </c>
      <c r="S1413" s="18">
        <f t="shared" si="45"/>
        <v>44958</v>
      </c>
    </row>
    <row r="1414" spans="1:19" x14ac:dyDescent="0.25">
      <c r="A1414" s="3" t="s">
        <v>2807</v>
      </c>
      <c r="B1414" s="4" t="s">
        <v>560</v>
      </c>
      <c r="C1414" s="14">
        <v>44900</v>
      </c>
      <c r="D1414" s="4" t="s">
        <v>680</v>
      </c>
      <c r="E1414" s="4" t="s">
        <v>688</v>
      </c>
      <c r="F1414" s="4">
        <v>29.99</v>
      </c>
      <c r="G1414" s="4">
        <v>2</v>
      </c>
      <c r="H1414" s="4">
        <v>5</v>
      </c>
      <c r="I1414" s="4">
        <v>28.49</v>
      </c>
      <c r="J1414" s="4">
        <v>56.98</v>
      </c>
      <c r="K1414" s="4" t="s">
        <v>675</v>
      </c>
      <c r="L1414" s="4" t="s">
        <v>656</v>
      </c>
      <c r="M1414" s="5">
        <v>4</v>
      </c>
      <c r="N1414">
        <f>VLOOKUP(B1414,Customers!A:J,7,0)</f>
        <v>50</v>
      </c>
      <c r="O1414" t="str">
        <f>VLOOKUP(B1414,Customers!A:J,5,0)</f>
        <v>San Diego</v>
      </c>
      <c r="P1414" t="str">
        <f>VLOOKUP(B1414,Customers!A:J,10,0)</f>
        <v>Free</v>
      </c>
      <c r="Q1414" t="str">
        <f>VLOOKUP(B1414,Customers!A:J,8,0)</f>
        <v>Male</v>
      </c>
      <c r="R1414" t="b">
        <f t="shared" si="44"/>
        <v>1</v>
      </c>
      <c r="S1414" s="18">
        <f t="shared" si="45"/>
        <v>44896</v>
      </c>
    </row>
    <row r="1415" spans="1:19" x14ac:dyDescent="0.25">
      <c r="A1415" s="6" t="s">
        <v>2808</v>
      </c>
      <c r="B1415" s="7" t="s">
        <v>560</v>
      </c>
      <c r="C1415" s="15">
        <v>44622</v>
      </c>
      <c r="D1415" s="7" t="s">
        <v>710</v>
      </c>
      <c r="E1415" s="7" t="s">
        <v>721</v>
      </c>
      <c r="F1415" s="7">
        <v>24.99</v>
      </c>
      <c r="G1415" s="7">
        <v>2</v>
      </c>
      <c r="H1415" s="7">
        <v>15</v>
      </c>
      <c r="I1415" s="7">
        <v>21.24</v>
      </c>
      <c r="J1415" s="7">
        <v>42.48</v>
      </c>
      <c r="K1415" s="7" t="s">
        <v>669</v>
      </c>
      <c r="L1415" s="7" t="s">
        <v>656</v>
      </c>
      <c r="M1415" s="8"/>
      <c r="N1415">
        <f>VLOOKUP(B1415,Customers!A:J,7,0)</f>
        <v>50</v>
      </c>
      <c r="O1415" t="str">
        <f>VLOOKUP(B1415,Customers!A:J,5,0)</f>
        <v>San Diego</v>
      </c>
      <c r="P1415" t="str">
        <f>VLOOKUP(B1415,Customers!A:J,10,0)</f>
        <v>Free</v>
      </c>
      <c r="Q1415" t="str">
        <f>VLOOKUP(B1415,Customers!A:J,8,0)</f>
        <v>Male</v>
      </c>
      <c r="R1415" t="b">
        <f t="shared" si="44"/>
        <v>1</v>
      </c>
      <c r="S1415" s="18">
        <f t="shared" si="45"/>
        <v>44621</v>
      </c>
    </row>
    <row r="1416" spans="1:19" x14ac:dyDescent="0.25">
      <c r="A1416" s="3" t="s">
        <v>2809</v>
      </c>
      <c r="B1416" s="4" t="s">
        <v>560</v>
      </c>
      <c r="C1416" s="14">
        <v>45531</v>
      </c>
      <c r="D1416" s="4" t="s">
        <v>684</v>
      </c>
      <c r="E1416" s="4" t="s">
        <v>685</v>
      </c>
      <c r="F1416" s="4">
        <v>49.99</v>
      </c>
      <c r="G1416" s="4">
        <v>4</v>
      </c>
      <c r="H1416" s="4">
        <v>0</v>
      </c>
      <c r="I1416" s="4">
        <v>49.99</v>
      </c>
      <c r="J1416" s="4">
        <v>199.96</v>
      </c>
      <c r="K1416" s="4" t="s">
        <v>669</v>
      </c>
      <c r="L1416" s="4" t="s">
        <v>656</v>
      </c>
      <c r="M1416" s="5"/>
      <c r="N1416">
        <f>VLOOKUP(B1416,Customers!A:J,7,0)</f>
        <v>50</v>
      </c>
      <c r="O1416" t="str">
        <f>VLOOKUP(B1416,Customers!A:J,5,0)</f>
        <v>San Diego</v>
      </c>
      <c r="P1416" t="str">
        <f>VLOOKUP(B1416,Customers!A:J,10,0)</f>
        <v>Free</v>
      </c>
      <c r="Q1416" t="str">
        <f>VLOOKUP(B1416,Customers!A:J,8,0)</f>
        <v>Male</v>
      </c>
      <c r="R1416" t="b">
        <f t="shared" si="44"/>
        <v>1</v>
      </c>
      <c r="S1416" s="18">
        <f t="shared" si="45"/>
        <v>45505</v>
      </c>
    </row>
    <row r="1417" spans="1:19" x14ac:dyDescent="0.25">
      <c r="A1417" s="6" t="s">
        <v>2810</v>
      </c>
      <c r="B1417" s="7" t="s">
        <v>560</v>
      </c>
      <c r="C1417" s="15">
        <v>45490</v>
      </c>
      <c r="D1417" s="7" t="s">
        <v>672</v>
      </c>
      <c r="E1417" s="7" t="s">
        <v>803</v>
      </c>
      <c r="F1417" s="7">
        <v>69.989999999999995</v>
      </c>
      <c r="G1417" s="7">
        <v>1</v>
      </c>
      <c r="H1417" s="7">
        <v>5</v>
      </c>
      <c r="I1417" s="7">
        <v>66.489999999999995</v>
      </c>
      <c r="J1417" s="7">
        <v>66.489999999999995</v>
      </c>
      <c r="K1417" s="7" t="s">
        <v>675</v>
      </c>
      <c r="L1417" s="7" t="s">
        <v>656</v>
      </c>
      <c r="M1417" s="8"/>
      <c r="N1417">
        <f>VLOOKUP(B1417,Customers!A:J,7,0)</f>
        <v>50</v>
      </c>
      <c r="O1417" t="str">
        <f>VLOOKUP(B1417,Customers!A:J,5,0)</f>
        <v>San Diego</v>
      </c>
      <c r="P1417" t="str">
        <f>VLOOKUP(B1417,Customers!A:J,10,0)</f>
        <v>Free</v>
      </c>
      <c r="Q1417" t="str">
        <f>VLOOKUP(B1417,Customers!A:J,8,0)</f>
        <v>Male</v>
      </c>
      <c r="R1417" t="b">
        <f t="shared" si="44"/>
        <v>1</v>
      </c>
      <c r="S1417" s="18">
        <f t="shared" si="45"/>
        <v>45474</v>
      </c>
    </row>
    <row r="1418" spans="1:19" x14ac:dyDescent="0.25">
      <c r="A1418" s="3" t="s">
        <v>2812</v>
      </c>
      <c r="B1418" s="4" t="s">
        <v>560</v>
      </c>
      <c r="C1418" s="14">
        <v>44958</v>
      </c>
      <c r="D1418" s="4" t="s">
        <v>684</v>
      </c>
      <c r="E1418" s="4" t="s">
        <v>702</v>
      </c>
      <c r="F1418" s="4">
        <v>199.99</v>
      </c>
      <c r="G1418" s="4">
        <v>4</v>
      </c>
      <c r="H1418" s="4">
        <v>0</v>
      </c>
      <c r="I1418" s="4">
        <v>199.99</v>
      </c>
      <c r="J1418" s="4">
        <v>799.96</v>
      </c>
      <c r="K1418" s="4" t="s">
        <v>669</v>
      </c>
      <c r="L1418" s="4" t="s">
        <v>656</v>
      </c>
      <c r="M1418" s="5"/>
      <c r="N1418">
        <f>VLOOKUP(B1418,Customers!A:J,7,0)</f>
        <v>50</v>
      </c>
      <c r="O1418" t="str">
        <f>VLOOKUP(B1418,Customers!A:J,5,0)</f>
        <v>San Diego</v>
      </c>
      <c r="P1418" t="str">
        <f>VLOOKUP(B1418,Customers!A:J,10,0)</f>
        <v>Free</v>
      </c>
      <c r="Q1418" t="str">
        <f>VLOOKUP(B1418,Customers!A:J,8,0)</f>
        <v>Male</v>
      </c>
      <c r="R1418" t="b">
        <f t="shared" si="44"/>
        <v>1</v>
      </c>
      <c r="S1418" s="18">
        <f t="shared" si="45"/>
        <v>44958</v>
      </c>
    </row>
    <row r="1419" spans="1:19" x14ac:dyDescent="0.25">
      <c r="A1419" s="6" t="s">
        <v>2813</v>
      </c>
      <c r="B1419" s="7" t="s">
        <v>563</v>
      </c>
      <c r="C1419" s="15">
        <v>45301</v>
      </c>
      <c r="D1419" s="7" t="s">
        <v>710</v>
      </c>
      <c r="E1419" s="7" t="s">
        <v>711</v>
      </c>
      <c r="F1419" s="7">
        <v>14.99</v>
      </c>
      <c r="G1419" s="7">
        <v>3</v>
      </c>
      <c r="H1419" s="7">
        <v>5</v>
      </c>
      <c r="I1419" s="7">
        <v>14.24</v>
      </c>
      <c r="J1419" s="7">
        <v>42.72</v>
      </c>
      <c r="K1419" s="7" t="s">
        <v>655</v>
      </c>
      <c r="L1419" s="7" t="s">
        <v>656</v>
      </c>
      <c r="M1419" s="8">
        <v>5</v>
      </c>
      <c r="N1419">
        <f>VLOOKUP(B1419,Customers!A:J,7,0)</f>
        <v>37</v>
      </c>
      <c r="O1419" t="str">
        <f>VLOOKUP(B1419,Customers!A:J,5,0)</f>
        <v>Los Angeles</v>
      </c>
      <c r="P1419" t="str">
        <f>VLOOKUP(B1419,Customers!A:J,10,0)</f>
        <v>Free</v>
      </c>
      <c r="Q1419" t="str">
        <f>VLOOKUP(B1419,Customers!A:J,8,0)</f>
        <v>Female</v>
      </c>
      <c r="R1419" t="b">
        <f t="shared" si="44"/>
        <v>1</v>
      </c>
      <c r="S1419" s="18">
        <f t="shared" si="45"/>
        <v>45292</v>
      </c>
    </row>
    <row r="1420" spans="1:19" x14ac:dyDescent="0.25">
      <c r="A1420" s="3" t="s">
        <v>2814</v>
      </c>
      <c r="B1420" s="4" t="s">
        <v>563</v>
      </c>
      <c r="C1420" s="14">
        <v>44616</v>
      </c>
      <c r="D1420" s="4" t="s">
        <v>659</v>
      </c>
      <c r="E1420" s="4" t="s">
        <v>660</v>
      </c>
      <c r="F1420" s="4">
        <v>19.989999999999998</v>
      </c>
      <c r="G1420" s="4">
        <v>1</v>
      </c>
      <c r="H1420" s="4">
        <v>20</v>
      </c>
      <c r="I1420" s="4">
        <v>15.99</v>
      </c>
      <c r="J1420" s="4">
        <v>15.99</v>
      </c>
      <c r="K1420" s="4" t="s">
        <v>655</v>
      </c>
      <c r="L1420" s="4" t="s">
        <v>656</v>
      </c>
      <c r="M1420" s="5"/>
      <c r="N1420">
        <f>VLOOKUP(B1420,Customers!A:J,7,0)</f>
        <v>37</v>
      </c>
      <c r="O1420" t="str">
        <f>VLOOKUP(B1420,Customers!A:J,5,0)</f>
        <v>Los Angeles</v>
      </c>
      <c r="P1420" t="str">
        <f>VLOOKUP(B1420,Customers!A:J,10,0)</f>
        <v>Free</v>
      </c>
      <c r="Q1420" t="str">
        <f>VLOOKUP(B1420,Customers!A:J,8,0)</f>
        <v>Female</v>
      </c>
      <c r="R1420" t="b">
        <f t="shared" si="44"/>
        <v>1</v>
      </c>
      <c r="S1420" s="18">
        <f t="shared" si="45"/>
        <v>44593</v>
      </c>
    </row>
    <row r="1421" spans="1:19" x14ac:dyDescent="0.25">
      <c r="A1421" s="6" t="s">
        <v>2815</v>
      </c>
      <c r="B1421" s="7" t="s">
        <v>563</v>
      </c>
      <c r="C1421" s="15">
        <v>45267</v>
      </c>
      <c r="D1421" s="7" t="s">
        <v>710</v>
      </c>
      <c r="E1421" s="7" t="s">
        <v>744</v>
      </c>
      <c r="F1421" s="7">
        <v>29.99</v>
      </c>
      <c r="G1421" s="7">
        <v>3</v>
      </c>
      <c r="H1421" s="7">
        <v>0</v>
      </c>
      <c r="I1421" s="7">
        <v>29.99</v>
      </c>
      <c r="J1421" s="7">
        <v>89.97</v>
      </c>
      <c r="K1421" s="7" t="s">
        <v>675</v>
      </c>
      <c r="L1421" s="7" t="s">
        <v>788</v>
      </c>
      <c r="M1421" s="8">
        <v>4</v>
      </c>
      <c r="N1421">
        <f>VLOOKUP(B1421,Customers!A:J,7,0)</f>
        <v>37</v>
      </c>
      <c r="O1421" t="str">
        <f>VLOOKUP(B1421,Customers!A:J,5,0)</f>
        <v>Los Angeles</v>
      </c>
      <c r="P1421" t="str">
        <f>VLOOKUP(B1421,Customers!A:J,10,0)</f>
        <v>Free</v>
      </c>
      <c r="Q1421" t="str">
        <f>VLOOKUP(B1421,Customers!A:J,8,0)</f>
        <v>Female</v>
      </c>
      <c r="R1421" t="b">
        <f t="shared" si="44"/>
        <v>1</v>
      </c>
      <c r="S1421" s="18">
        <f t="shared" si="45"/>
        <v>45261</v>
      </c>
    </row>
    <row r="1422" spans="1:19" x14ac:dyDescent="0.25">
      <c r="A1422" s="3" t="s">
        <v>2816</v>
      </c>
      <c r="B1422" s="4" t="s">
        <v>563</v>
      </c>
      <c r="C1422" s="14">
        <v>44731</v>
      </c>
      <c r="D1422" s="4" t="s">
        <v>672</v>
      </c>
      <c r="E1422" s="4" t="s">
        <v>735</v>
      </c>
      <c r="F1422" s="4">
        <v>44.99</v>
      </c>
      <c r="G1422" s="4">
        <v>3</v>
      </c>
      <c r="H1422" s="4">
        <v>0</v>
      </c>
      <c r="I1422" s="4">
        <v>44.99</v>
      </c>
      <c r="J1422" s="4">
        <v>134.97</v>
      </c>
      <c r="K1422" s="4" t="s">
        <v>661</v>
      </c>
      <c r="L1422" s="4" t="s">
        <v>656</v>
      </c>
      <c r="M1422" s="5">
        <v>5</v>
      </c>
      <c r="N1422">
        <f>VLOOKUP(B1422,Customers!A:J,7,0)</f>
        <v>37</v>
      </c>
      <c r="O1422" t="str">
        <f>VLOOKUP(B1422,Customers!A:J,5,0)</f>
        <v>Los Angeles</v>
      </c>
      <c r="P1422" t="str">
        <f>VLOOKUP(B1422,Customers!A:J,10,0)</f>
        <v>Free</v>
      </c>
      <c r="Q1422" t="str">
        <f>VLOOKUP(B1422,Customers!A:J,8,0)</f>
        <v>Female</v>
      </c>
      <c r="R1422" t="b">
        <f t="shared" si="44"/>
        <v>1</v>
      </c>
      <c r="S1422" s="18">
        <f t="shared" si="45"/>
        <v>44713</v>
      </c>
    </row>
    <row r="1423" spans="1:19" x14ac:dyDescent="0.25">
      <c r="A1423" s="6" t="s">
        <v>2817</v>
      </c>
      <c r="B1423" s="7" t="s">
        <v>563</v>
      </c>
      <c r="C1423" s="15">
        <v>45389</v>
      </c>
      <c r="D1423" s="7" t="s">
        <v>653</v>
      </c>
      <c r="E1423" s="7" t="s">
        <v>727</v>
      </c>
      <c r="F1423" s="7">
        <v>14.99</v>
      </c>
      <c r="G1423" s="7">
        <v>1</v>
      </c>
      <c r="H1423" s="7">
        <v>0</v>
      </c>
      <c r="I1423" s="7">
        <v>14.99</v>
      </c>
      <c r="J1423" s="7">
        <v>14.99</v>
      </c>
      <c r="K1423" s="7" t="s">
        <v>655</v>
      </c>
      <c r="L1423" s="7" t="s">
        <v>656</v>
      </c>
      <c r="M1423" s="8">
        <v>3</v>
      </c>
      <c r="N1423">
        <f>VLOOKUP(B1423,Customers!A:J,7,0)</f>
        <v>37</v>
      </c>
      <c r="O1423" t="str">
        <f>VLOOKUP(B1423,Customers!A:J,5,0)</f>
        <v>Los Angeles</v>
      </c>
      <c r="P1423" t="str">
        <f>VLOOKUP(B1423,Customers!A:J,10,0)</f>
        <v>Free</v>
      </c>
      <c r="Q1423" t="str">
        <f>VLOOKUP(B1423,Customers!A:J,8,0)</f>
        <v>Female</v>
      </c>
      <c r="R1423" t="b">
        <f t="shared" si="44"/>
        <v>1</v>
      </c>
      <c r="S1423" s="18">
        <f t="shared" si="45"/>
        <v>45383</v>
      </c>
    </row>
    <row r="1424" spans="1:19" x14ac:dyDescent="0.25">
      <c r="A1424" s="3" t="s">
        <v>2818</v>
      </c>
      <c r="B1424" s="4" t="s">
        <v>563</v>
      </c>
      <c r="C1424" s="14">
        <v>45624</v>
      </c>
      <c r="D1424" s="4" t="s">
        <v>684</v>
      </c>
      <c r="E1424" s="4" t="s">
        <v>685</v>
      </c>
      <c r="F1424" s="4">
        <v>49.99</v>
      </c>
      <c r="G1424" s="4">
        <v>1</v>
      </c>
      <c r="H1424" s="4">
        <v>15</v>
      </c>
      <c r="I1424" s="4">
        <v>42.49</v>
      </c>
      <c r="J1424" s="4">
        <v>42.49</v>
      </c>
      <c r="K1424" s="4" t="s">
        <v>655</v>
      </c>
      <c r="L1424" s="4" t="s">
        <v>656</v>
      </c>
      <c r="M1424" s="5"/>
      <c r="N1424">
        <f>VLOOKUP(B1424,Customers!A:J,7,0)</f>
        <v>37</v>
      </c>
      <c r="O1424" t="str">
        <f>VLOOKUP(B1424,Customers!A:J,5,0)</f>
        <v>Los Angeles</v>
      </c>
      <c r="P1424" t="str">
        <f>VLOOKUP(B1424,Customers!A:J,10,0)</f>
        <v>Free</v>
      </c>
      <c r="Q1424" t="str">
        <f>VLOOKUP(B1424,Customers!A:J,8,0)</f>
        <v>Female</v>
      </c>
      <c r="R1424" t="b">
        <f t="shared" si="44"/>
        <v>1</v>
      </c>
      <c r="S1424" s="18">
        <f t="shared" si="45"/>
        <v>45597</v>
      </c>
    </row>
    <row r="1425" spans="1:19" x14ac:dyDescent="0.25">
      <c r="A1425" s="6" t="s">
        <v>2819</v>
      </c>
      <c r="B1425" s="7" t="s">
        <v>566</v>
      </c>
      <c r="C1425" s="15">
        <v>45563</v>
      </c>
      <c r="D1425" s="7" t="s">
        <v>672</v>
      </c>
      <c r="E1425" s="7" t="s">
        <v>735</v>
      </c>
      <c r="F1425" s="7">
        <v>44.99</v>
      </c>
      <c r="G1425" s="7">
        <v>4</v>
      </c>
      <c r="H1425" s="7">
        <v>15</v>
      </c>
      <c r="I1425" s="7">
        <v>38.24</v>
      </c>
      <c r="J1425" s="7">
        <v>152.96</v>
      </c>
      <c r="K1425" s="7" t="s">
        <v>661</v>
      </c>
      <c r="L1425" s="7" t="s">
        <v>656</v>
      </c>
      <c r="M1425" s="8">
        <v>5</v>
      </c>
      <c r="N1425">
        <f>VLOOKUP(B1425,Customers!A:J,7,0)</f>
        <v>65</v>
      </c>
      <c r="O1425" t="str">
        <f>VLOOKUP(B1425,Customers!A:J,5,0)</f>
        <v>New York</v>
      </c>
      <c r="P1425" t="str">
        <f>VLOOKUP(B1425,Customers!A:J,10,0)</f>
        <v>Free</v>
      </c>
      <c r="Q1425" t="str">
        <f>VLOOKUP(B1425,Customers!A:J,8,0)</f>
        <v>Male</v>
      </c>
      <c r="R1425" t="b">
        <f t="shared" si="44"/>
        <v>1</v>
      </c>
      <c r="S1425" s="18">
        <f t="shared" si="45"/>
        <v>45536</v>
      </c>
    </row>
    <row r="1426" spans="1:19" x14ac:dyDescent="0.25">
      <c r="A1426" s="3" t="s">
        <v>2821</v>
      </c>
      <c r="B1426" s="4" t="s">
        <v>566</v>
      </c>
      <c r="C1426" s="14">
        <v>44889</v>
      </c>
      <c r="D1426" s="4" t="s">
        <v>667</v>
      </c>
      <c r="E1426" s="4" t="s">
        <v>699</v>
      </c>
      <c r="F1426" s="4">
        <v>89.99</v>
      </c>
      <c r="G1426" s="4">
        <v>4</v>
      </c>
      <c r="H1426" s="4">
        <v>0</v>
      </c>
      <c r="I1426" s="4">
        <v>89.99</v>
      </c>
      <c r="J1426" s="4">
        <v>359.96</v>
      </c>
      <c r="K1426" s="4" t="s">
        <v>682</v>
      </c>
      <c r="L1426" s="4" t="s">
        <v>656</v>
      </c>
      <c r="M1426" s="5">
        <v>4</v>
      </c>
      <c r="N1426">
        <f>VLOOKUP(B1426,Customers!A:J,7,0)</f>
        <v>65</v>
      </c>
      <c r="O1426" t="str">
        <f>VLOOKUP(B1426,Customers!A:J,5,0)</f>
        <v>New York</v>
      </c>
      <c r="P1426" t="str">
        <f>VLOOKUP(B1426,Customers!A:J,10,0)</f>
        <v>Free</v>
      </c>
      <c r="Q1426" t="str">
        <f>VLOOKUP(B1426,Customers!A:J,8,0)</f>
        <v>Male</v>
      </c>
      <c r="R1426" t="b">
        <f t="shared" si="44"/>
        <v>1</v>
      </c>
      <c r="S1426" s="18">
        <f t="shared" si="45"/>
        <v>44866</v>
      </c>
    </row>
    <row r="1427" spans="1:19" x14ac:dyDescent="0.25">
      <c r="A1427" s="6" t="s">
        <v>2822</v>
      </c>
      <c r="B1427" s="7" t="s">
        <v>566</v>
      </c>
      <c r="C1427" s="15">
        <v>45147</v>
      </c>
      <c r="D1427" s="7" t="s">
        <v>659</v>
      </c>
      <c r="E1427" s="7" t="s">
        <v>762</v>
      </c>
      <c r="F1427" s="7">
        <v>49.99</v>
      </c>
      <c r="G1427" s="7">
        <v>1</v>
      </c>
      <c r="H1427" s="7">
        <v>0</v>
      </c>
      <c r="I1427" s="7">
        <v>49.99</v>
      </c>
      <c r="J1427" s="7">
        <v>49.99</v>
      </c>
      <c r="K1427" s="7" t="s">
        <v>669</v>
      </c>
      <c r="L1427" s="7" t="s">
        <v>656</v>
      </c>
      <c r="M1427" s="8">
        <v>5</v>
      </c>
      <c r="N1427">
        <f>VLOOKUP(B1427,Customers!A:J,7,0)</f>
        <v>65</v>
      </c>
      <c r="O1427" t="str">
        <f>VLOOKUP(B1427,Customers!A:J,5,0)</f>
        <v>New York</v>
      </c>
      <c r="P1427" t="str">
        <f>VLOOKUP(B1427,Customers!A:J,10,0)</f>
        <v>Free</v>
      </c>
      <c r="Q1427" t="str">
        <f>VLOOKUP(B1427,Customers!A:J,8,0)</f>
        <v>Male</v>
      </c>
      <c r="R1427" t="b">
        <f t="shared" si="44"/>
        <v>1</v>
      </c>
      <c r="S1427" s="18">
        <f t="shared" si="45"/>
        <v>45139</v>
      </c>
    </row>
    <row r="1428" spans="1:19" x14ac:dyDescent="0.25">
      <c r="A1428" s="3" t="s">
        <v>2824</v>
      </c>
      <c r="B1428" s="4" t="s">
        <v>566</v>
      </c>
      <c r="C1428" s="14">
        <v>45179</v>
      </c>
      <c r="D1428" s="4" t="s">
        <v>684</v>
      </c>
      <c r="E1428" s="4" t="s">
        <v>685</v>
      </c>
      <c r="F1428" s="4">
        <v>49.99</v>
      </c>
      <c r="G1428" s="4">
        <v>2</v>
      </c>
      <c r="H1428" s="4">
        <v>0</v>
      </c>
      <c r="I1428" s="4">
        <v>49.99</v>
      </c>
      <c r="J1428" s="4">
        <v>99.98</v>
      </c>
      <c r="K1428" s="4" t="s">
        <v>675</v>
      </c>
      <c r="L1428" s="4" t="s">
        <v>656</v>
      </c>
      <c r="M1428" s="5">
        <v>4</v>
      </c>
      <c r="N1428">
        <f>VLOOKUP(B1428,Customers!A:J,7,0)</f>
        <v>65</v>
      </c>
      <c r="O1428" t="str">
        <f>VLOOKUP(B1428,Customers!A:J,5,0)</f>
        <v>New York</v>
      </c>
      <c r="P1428" t="str">
        <f>VLOOKUP(B1428,Customers!A:J,10,0)</f>
        <v>Free</v>
      </c>
      <c r="Q1428" t="str">
        <f>VLOOKUP(B1428,Customers!A:J,8,0)</f>
        <v>Male</v>
      </c>
      <c r="R1428" t="b">
        <f t="shared" si="44"/>
        <v>1</v>
      </c>
      <c r="S1428" s="18">
        <f t="shared" si="45"/>
        <v>45170</v>
      </c>
    </row>
    <row r="1429" spans="1:19" x14ac:dyDescent="0.25">
      <c r="A1429" s="6" t="s">
        <v>2825</v>
      </c>
      <c r="B1429" s="7" t="s">
        <v>566</v>
      </c>
      <c r="C1429" s="15">
        <v>44691</v>
      </c>
      <c r="D1429" s="7" t="s">
        <v>653</v>
      </c>
      <c r="E1429" s="7" t="s">
        <v>827</v>
      </c>
      <c r="F1429" s="7">
        <v>29.99</v>
      </c>
      <c r="G1429" s="7">
        <v>1</v>
      </c>
      <c r="H1429" s="7">
        <v>20</v>
      </c>
      <c r="I1429" s="7">
        <v>23.99</v>
      </c>
      <c r="J1429" s="7">
        <v>23.99</v>
      </c>
      <c r="K1429" s="7" t="s">
        <v>682</v>
      </c>
      <c r="L1429" s="7" t="s">
        <v>656</v>
      </c>
      <c r="M1429" s="8">
        <v>5</v>
      </c>
      <c r="N1429">
        <f>VLOOKUP(B1429,Customers!A:J,7,0)</f>
        <v>65</v>
      </c>
      <c r="O1429" t="str">
        <f>VLOOKUP(B1429,Customers!A:J,5,0)</f>
        <v>New York</v>
      </c>
      <c r="P1429" t="str">
        <f>VLOOKUP(B1429,Customers!A:J,10,0)</f>
        <v>Free</v>
      </c>
      <c r="Q1429" t="str">
        <f>VLOOKUP(B1429,Customers!A:J,8,0)</f>
        <v>Male</v>
      </c>
      <c r="R1429" t="b">
        <f t="shared" si="44"/>
        <v>1</v>
      </c>
      <c r="S1429" s="18">
        <f t="shared" si="45"/>
        <v>44682</v>
      </c>
    </row>
    <row r="1430" spans="1:19" x14ac:dyDescent="0.25">
      <c r="A1430" s="3" t="s">
        <v>2826</v>
      </c>
      <c r="B1430" s="4" t="s">
        <v>566</v>
      </c>
      <c r="C1430" s="14">
        <v>45379</v>
      </c>
      <c r="D1430" s="4" t="s">
        <v>672</v>
      </c>
      <c r="E1430" s="4" t="s">
        <v>803</v>
      </c>
      <c r="F1430" s="4">
        <v>69.989999999999995</v>
      </c>
      <c r="G1430" s="4">
        <v>2</v>
      </c>
      <c r="H1430" s="4">
        <v>15</v>
      </c>
      <c r="I1430" s="4">
        <v>59.49</v>
      </c>
      <c r="J1430" s="4">
        <v>118.98</v>
      </c>
      <c r="K1430" s="4" t="s">
        <v>655</v>
      </c>
      <c r="L1430" s="4" t="s">
        <v>656</v>
      </c>
      <c r="M1430" s="5">
        <v>3</v>
      </c>
      <c r="N1430">
        <f>VLOOKUP(B1430,Customers!A:J,7,0)</f>
        <v>65</v>
      </c>
      <c r="O1430" t="str">
        <f>VLOOKUP(B1430,Customers!A:J,5,0)</f>
        <v>New York</v>
      </c>
      <c r="P1430" t="str">
        <f>VLOOKUP(B1430,Customers!A:J,10,0)</f>
        <v>Free</v>
      </c>
      <c r="Q1430" t="str">
        <f>VLOOKUP(B1430,Customers!A:J,8,0)</f>
        <v>Male</v>
      </c>
      <c r="R1430" t="b">
        <f t="shared" si="44"/>
        <v>1</v>
      </c>
      <c r="S1430" s="18">
        <f t="shared" si="45"/>
        <v>45352</v>
      </c>
    </row>
    <row r="1431" spans="1:19" x14ac:dyDescent="0.25">
      <c r="A1431" s="6" t="s">
        <v>2827</v>
      </c>
      <c r="B1431" s="7" t="s">
        <v>566</v>
      </c>
      <c r="C1431" s="15">
        <v>45379</v>
      </c>
      <c r="D1431" s="7" t="s">
        <v>667</v>
      </c>
      <c r="E1431" s="7" t="s">
        <v>714</v>
      </c>
      <c r="F1431" s="7">
        <v>44.99</v>
      </c>
      <c r="G1431" s="7">
        <v>3</v>
      </c>
      <c r="H1431" s="7">
        <v>20</v>
      </c>
      <c r="I1431" s="7">
        <v>35.99</v>
      </c>
      <c r="J1431" s="7">
        <v>107.97</v>
      </c>
      <c r="K1431" s="7" t="s">
        <v>661</v>
      </c>
      <c r="L1431" s="7" t="s">
        <v>656</v>
      </c>
      <c r="M1431" s="8">
        <v>5</v>
      </c>
      <c r="N1431">
        <f>VLOOKUP(B1431,Customers!A:J,7,0)</f>
        <v>65</v>
      </c>
      <c r="O1431" t="str">
        <f>VLOOKUP(B1431,Customers!A:J,5,0)</f>
        <v>New York</v>
      </c>
      <c r="P1431" t="str">
        <f>VLOOKUP(B1431,Customers!A:J,10,0)</f>
        <v>Free</v>
      </c>
      <c r="Q1431" t="str">
        <f>VLOOKUP(B1431,Customers!A:J,8,0)</f>
        <v>Male</v>
      </c>
      <c r="R1431" t="b">
        <f t="shared" si="44"/>
        <v>1</v>
      </c>
      <c r="S1431" s="18">
        <f t="shared" si="45"/>
        <v>45352</v>
      </c>
    </row>
    <row r="1432" spans="1:19" x14ac:dyDescent="0.25">
      <c r="A1432" s="3" t="s">
        <v>2828</v>
      </c>
      <c r="B1432" s="4" t="s">
        <v>566</v>
      </c>
      <c r="C1432" s="14">
        <v>45573</v>
      </c>
      <c r="D1432" s="4" t="s">
        <v>659</v>
      </c>
      <c r="E1432" s="4" t="s">
        <v>762</v>
      </c>
      <c r="F1432" s="4">
        <v>49.99</v>
      </c>
      <c r="G1432" s="4">
        <v>4</v>
      </c>
      <c r="H1432" s="4">
        <v>10</v>
      </c>
      <c r="I1432" s="4">
        <v>44.99</v>
      </c>
      <c r="J1432" s="4">
        <v>179.96</v>
      </c>
      <c r="K1432" s="4" t="s">
        <v>655</v>
      </c>
      <c r="L1432" s="4" t="s">
        <v>656</v>
      </c>
      <c r="M1432" s="5">
        <v>5</v>
      </c>
      <c r="N1432">
        <f>VLOOKUP(B1432,Customers!A:J,7,0)</f>
        <v>65</v>
      </c>
      <c r="O1432" t="str">
        <f>VLOOKUP(B1432,Customers!A:J,5,0)</f>
        <v>New York</v>
      </c>
      <c r="P1432" t="str">
        <f>VLOOKUP(B1432,Customers!A:J,10,0)</f>
        <v>Free</v>
      </c>
      <c r="Q1432" t="str">
        <f>VLOOKUP(B1432,Customers!A:J,8,0)</f>
        <v>Male</v>
      </c>
      <c r="R1432" t="b">
        <f t="shared" si="44"/>
        <v>1</v>
      </c>
      <c r="S1432" s="18">
        <f t="shared" si="45"/>
        <v>45566</v>
      </c>
    </row>
    <row r="1433" spans="1:19" x14ac:dyDescent="0.25">
      <c r="A1433" s="6" t="s">
        <v>2829</v>
      </c>
      <c r="B1433" s="7" t="s">
        <v>566</v>
      </c>
      <c r="C1433" s="15">
        <v>45600</v>
      </c>
      <c r="D1433" s="7" t="s">
        <v>684</v>
      </c>
      <c r="E1433" s="7" t="s">
        <v>815</v>
      </c>
      <c r="F1433" s="7">
        <v>34.99</v>
      </c>
      <c r="G1433" s="7">
        <v>4</v>
      </c>
      <c r="H1433" s="7">
        <v>15</v>
      </c>
      <c r="I1433" s="7">
        <v>29.74</v>
      </c>
      <c r="J1433" s="7">
        <v>118.96</v>
      </c>
      <c r="K1433" s="7" t="s">
        <v>661</v>
      </c>
      <c r="L1433" s="7" t="s">
        <v>788</v>
      </c>
      <c r="M1433" s="8">
        <v>3</v>
      </c>
      <c r="N1433">
        <f>VLOOKUP(B1433,Customers!A:J,7,0)</f>
        <v>65</v>
      </c>
      <c r="O1433" t="str">
        <f>VLOOKUP(B1433,Customers!A:J,5,0)</f>
        <v>New York</v>
      </c>
      <c r="P1433" t="str">
        <f>VLOOKUP(B1433,Customers!A:J,10,0)</f>
        <v>Free</v>
      </c>
      <c r="Q1433" t="str">
        <f>VLOOKUP(B1433,Customers!A:J,8,0)</f>
        <v>Male</v>
      </c>
      <c r="R1433" t="b">
        <f t="shared" si="44"/>
        <v>1</v>
      </c>
      <c r="S1433" s="18">
        <f t="shared" si="45"/>
        <v>45597</v>
      </c>
    </row>
    <row r="1434" spans="1:19" x14ac:dyDescent="0.25">
      <c r="A1434" s="3" t="s">
        <v>2830</v>
      </c>
      <c r="B1434" s="4" t="s">
        <v>566</v>
      </c>
      <c r="C1434" s="14">
        <v>45122</v>
      </c>
      <c r="D1434" s="4" t="s">
        <v>710</v>
      </c>
      <c r="E1434" s="4" t="s">
        <v>744</v>
      </c>
      <c r="F1434" s="4">
        <v>29.99</v>
      </c>
      <c r="G1434" s="4">
        <v>3</v>
      </c>
      <c r="H1434" s="4">
        <v>0</v>
      </c>
      <c r="I1434" s="4">
        <v>29.99</v>
      </c>
      <c r="J1434" s="4">
        <v>89.97</v>
      </c>
      <c r="K1434" s="4" t="s">
        <v>682</v>
      </c>
      <c r="L1434" s="4" t="s">
        <v>656</v>
      </c>
      <c r="M1434" s="5"/>
      <c r="N1434">
        <f>VLOOKUP(B1434,Customers!A:J,7,0)</f>
        <v>65</v>
      </c>
      <c r="O1434" t="str">
        <f>VLOOKUP(B1434,Customers!A:J,5,0)</f>
        <v>New York</v>
      </c>
      <c r="P1434" t="str">
        <f>VLOOKUP(B1434,Customers!A:J,10,0)</f>
        <v>Free</v>
      </c>
      <c r="Q1434" t="str">
        <f>VLOOKUP(B1434,Customers!A:J,8,0)</f>
        <v>Male</v>
      </c>
      <c r="R1434" t="b">
        <f t="shared" si="44"/>
        <v>1</v>
      </c>
      <c r="S1434" s="18">
        <f t="shared" si="45"/>
        <v>45108</v>
      </c>
    </row>
    <row r="1435" spans="1:19" x14ac:dyDescent="0.25">
      <c r="A1435" s="6" t="s">
        <v>2831</v>
      </c>
      <c r="B1435" s="7" t="s">
        <v>566</v>
      </c>
      <c r="C1435" s="15">
        <v>45187</v>
      </c>
      <c r="D1435" s="7" t="s">
        <v>672</v>
      </c>
      <c r="E1435" s="7" t="s">
        <v>735</v>
      </c>
      <c r="F1435" s="7">
        <v>44.99</v>
      </c>
      <c r="G1435" s="7">
        <v>2</v>
      </c>
      <c r="H1435" s="7">
        <v>10</v>
      </c>
      <c r="I1435" s="7">
        <v>40.49</v>
      </c>
      <c r="J1435" s="7">
        <v>80.98</v>
      </c>
      <c r="K1435" s="7" t="s">
        <v>675</v>
      </c>
      <c r="L1435" s="7" t="s">
        <v>656</v>
      </c>
      <c r="M1435" s="8">
        <v>5</v>
      </c>
      <c r="N1435">
        <f>VLOOKUP(B1435,Customers!A:J,7,0)</f>
        <v>65</v>
      </c>
      <c r="O1435" t="str">
        <f>VLOOKUP(B1435,Customers!A:J,5,0)</f>
        <v>New York</v>
      </c>
      <c r="P1435" t="str">
        <f>VLOOKUP(B1435,Customers!A:J,10,0)</f>
        <v>Free</v>
      </c>
      <c r="Q1435" t="str">
        <f>VLOOKUP(B1435,Customers!A:J,8,0)</f>
        <v>Male</v>
      </c>
      <c r="R1435" t="b">
        <f t="shared" si="44"/>
        <v>1</v>
      </c>
      <c r="S1435" s="18">
        <f t="shared" si="45"/>
        <v>45170</v>
      </c>
    </row>
    <row r="1436" spans="1:19" x14ac:dyDescent="0.25">
      <c r="A1436" s="3" t="s">
        <v>2832</v>
      </c>
      <c r="B1436" s="4" t="s">
        <v>566</v>
      </c>
      <c r="C1436" s="14">
        <v>45343</v>
      </c>
      <c r="D1436" s="4" t="s">
        <v>672</v>
      </c>
      <c r="E1436" s="4" t="s">
        <v>673</v>
      </c>
      <c r="F1436" s="4">
        <v>24.99</v>
      </c>
      <c r="G1436" s="4">
        <v>4</v>
      </c>
      <c r="H1436" s="4">
        <v>0</v>
      </c>
      <c r="I1436" s="4">
        <v>24.99</v>
      </c>
      <c r="J1436" s="4">
        <v>99.96</v>
      </c>
      <c r="K1436" s="4" t="s">
        <v>669</v>
      </c>
      <c r="L1436" s="4" t="s">
        <v>656</v>
      </c>
      <c r="M1436" s="5">
        <v>4</v>
      </c>
      <c r="N1436">
        <f>VLOOKUP(B1436,Customers!A:J,7,0)</f>
        <v>65</v>
      </c>
      <c r="O1436" t="str">
        <f>VLOOKUP(B1436,Customers!A:J,5,0)</f>
        <v>New York</v>
      </c>
      <c r="P1436" t="str">
        <f>VLOOKUP(B1436,Customers!A:J,10,0)</f>
        <v>Free</v>
      </c>
      <c r="Q1436" t="str">
        <f>VLOOKUP(B1436,Customers!A:J,8,0)</f>
        <v>Male</v>
      </c>
      <c r="R1436" t="b">
        <f t="shared" si="44"/>
        <v>1</v>
      </c>
      <c r="S1436" s="18">
        <f t="shared" si="45"/>
        <v>45323</v>
      </c>
    </row>
    <row r="1437" spans="1:19" x14ac:dyDescent="0.25">
      <c r="A1437" s="6" t="s">
        <v>2834</v>
      </c>
      <c r="B1437" s="7" t="s">
        <v>566</v>
      </c>
      <c r="C1437" s="15">
        <v>44966</v>
      </c>
      <c r="D1437" s="7" t="s">
        <v>667</v>
      </c>
      <c r="E1437" s="7" t="s">
        <v>699</v>
      </c>
      <c r="F1437" s="7">
        <v>89.99</v>
      </c>
      <c r="G1437" s="7">
        <v>4</v>
      </c>
      <c r="H1437" s="7">
        <v>5</v>
      </c>
      <c r="I1437" s="7">
        <v>85.49</v>
      </c>
      <c r="J1437" s="7">
        <v>341.96</v>
      </c>
      <c r="K1437" s="7" t="s">
        <v>661</v>
      </c>
      <c r="L1437" s="7" t="s">
        <v>656</v>
      </c>
      <c r="M1437" s="8">
        <v>1</v>
      </c>
      <c r="N1437">
        <f>VLOOKUP(B1437,Customers!A:J,7,0)</f>
        <v>65</v>
      </c>
      <c r="O1437" t="str">
        <f>VLOOKUP(B1437,Customers!A:J,5,0)</f>
        <v>New York</v>
      </c>
      <c r="P1437" t="str">
        <f>VLOOKUP(B1437,Customers!A:J,10,0)</f>
        <v>Free</v>
      </c>
      <c r="Q1437" t="str">
        <f>VLOOKUP(B1437,Customers!A:J,8,0)</f>
        <v>Male</v>
      </c>
      <c r="R1437" t="b">
        <f t="shared" si="44"/>
        <v>1</v>
      </c>
      <c r="S1437" s="18">
        <f t="shared" si="45"/>
        <v>44958</v>
      </c>
    </row>
    <row r="1438" spans="1:19" x14ac:dyDescent="0.25">
      <c r="A1438" s="3" t="s">
        <v>2835</v>
      </c>
      <c r="B1438" s="4" t="s">
        <v>566</v>
      </c>
      <c r="C1438" s="14">
        <v>45073</v>
      </c>
      <c r="D1438" s="4" t="s">
        <v>667</v>
      </c>
      <c r="E1438" s="4" t="s">
        <v>668</v>
      </c>
      <c r="F1438" s="4">
        <v>64.989999999999995</v>
      </c>
      <c r="G1438" s="4">
        <v>3</v>
      </c>
      <c r="H1438" s="4">
        <v>15</v>
      </c>
      <c r="I1438" s="4">
        <v>55.24</v>
      </c>
      <c r="J1438" s="4">
        <v>165.72</v>
      </c>
      <c r="K1438" s="4" t="s">
        <v>682</v>
      </c>
      <c r="L1438" s="4" t="s">
        <v>656</v>
      </c>
      <c r="M1438" s="5">
        <v>4</v>
      </c>
      <c r="N1438">
        <f>VLOOKUP(B1438,Customers!A:J,7,0)</f>
        <v>65</v>
      </c>
      <c r="O1438" t="str">
        <f>VLOOKUP(B1438,Customers!A:J,5,0)</f>
        <v>New York</v>
      </c>
      <c r="P1438" t="str">
        <f>VLOOKUP(B1438,Customers!A:J,10,0)</f>
        <v>Free</v>
      </c>
      <c r="Q1438" t="str">
        <f>VLOOKUP(B1438,Customers!A:J,8,0)</f>
        <v>Male</v>
      </c>
      <c r="R1438" t="b">
        <f t="shared" si="44"/>
        <v>1</v>
      </c>
      <c r="S1438" s="18">
        <f t="shared" si="45"/>
        <v>45047</v>
      </c>
    </row>
    <row r="1439" spans="1:19" x14ac:dyDescent="0.25">
      <c r="A1439" s="6" t="s">
        <v>2836</v>
      </c>
      <c r="B1439" s="7" t="s">
        <v>569</v>
      </c>
      <c r="C1439" s="15">
        <v>44829</v>
      </c>
      <c r="D1439" s="7" t="s">
        <v>653</v>
      </c>
      <c r="E1439" s="7" t="s">
        <v>769</v>
      </c>
      <c r="F1439" s="7">
        <v>49.99</v>
      </c>
      <c r="G1439" s="7">
        <v>2</v>
      </c>
      <c r="H1439" s="7">
        <v>0</v>
      </c>
      <c r="I1439" s="7">
        <v>49.99</v>
      </c>
      <c r="J1439" s="7">
        <v>99.98</v>
      </c>
      <c r="K1439" s="7" t="s">
        <v>682</v>
      </c>
      <c r="L1439" s="7" t="s">
        <v>656</v>
      </c>
      <c r="M1439" s="8">
        <v>4</v>
      </c>
      <c r="N1439">
        <f>VLOOKUP(B1439,Customers!A:J,7,0)</f>
        <v>22</v>
      </c>
      <c r="O1439" t="str">
        <f>VLOOKUP(B1439,Customers!A:J,5,0)</f>
        <v>San Antonio</v>
      </c>
      <c r="P1439" t="str">
        <f>VLOOKUP(B1439,Customers!A:J,10,0)</f>
        <v>Free</v>
      </c>
      <c r="Q1439" t="str">
        <f>VLOOKUP(B1439,Customers!A:J,8,0)</f>
        <v>Male</v>
      </c>
      <c r="R1439" t="b">
        <f t="shared" si="44"/>
        <v>1</v>
      </c>
      <c r="S1439" s="18">
        <f t="shared" si="45"/>
        <v>44805</v>
      </c>
    </row>
    <row r="1440" spans="1:19" x14ac:dyDescent="0.25">
      <c r="A1440" s="3" t="s">
        <v>2837</v>
      </c>
      <c r="B1440" s="4" t="s">
        <v>569</v>
      </c>
      <c r="C1440" s="14">
        <v>44835</v>
      </c>
      <c r="D1440" s="4" t="s">
        <v>710</v>
      </c>
      <c r="E1440" s="4" t="s">
        <v>711</v>
      </c>
      <c r="F1440" s="4">
        <v>14.99</v>
      </c>
      <c r="G1440" s="4">
        <v>2</v>
      </c>
      <c r="H1440" s="4">
        <v>5</v>
      </c>
      <c r="I1440" s="4">
        <v>14.24</v>
      </c>
      <c r="J1440" s="4">
        <v>28.48</v>
      </c>
      <c r="K1440" s="4" t="s">
        <v>661</v>
      </c>
      <c r="L1440" s="4" t="s">
        <v>656</v>
      </c>
      <c r="M1440" s="5">
        <v>5</v>
      </c>
      <c r="N1440">
        <f>VLOOKUP(B1440,Customers!A:J,7,0)</f>
        <v>22</v>
      </c>
      <c r="O1440" t="str">
        <f>VLOOKUP(B1440,Customers!A:J,5,0)</f>
        <v>San Antonio</v>
      </c>
      <c r="P1440" t="str">
        <f>VLOOKUP(B1440,Customers!A:J,10,0)</f>
        <v>Free</v>
      </c>
      <c r="Q1440" t="str">
        <f>VLOOKUP(B1440,Customers!A:J,8,0)</f>
        <v>Male</v>
      </c>
      <c r="R1440" t="b">
        <f t="shared" si="44"/>
        <v>1</v>
      </c>
      <c r="S1440" s="18">
        <f t="shared" si="45"/>
        <v>44835</v>
      </c>
    </row>
    <row r="1441" spans="1:19" x14ac:dyDescent="0.25">
      <c r="A1441" s="6" t="s">
        <v>2838</v>
      </c>
      <c r="B1441" s="7" t="s">
        <v>569</v>
      </c>
      <c r="C1441" s="15">
        <v>44656</v>
      </c>
      <c r="D1441" s="7" t="s">
        <v>653</v>
      </c>
      <c r="E1441" s="7" t="s">
        <v>727</v>
      </c>
      <c r="F1441" s="7">
        <v>14.99</v>
      </c>
      <c r="G1441" s="7">
        <v>1</v>
      </c>
      <c r="H1441" s="7">
        <v>20</v>
      </c>
      <c r="I1441" s="7">
        <v>11.99</v>
      </c>
      <c r="J1441" s="7">
        <v>11.99</v>
      </c>
      <c r="K1441" s="7" t="s">
        <v>655</v>
      </c>
      <c r="L1441" s="7" t="s">
        <v>656</v>
      </c>
      <c r="M1441" s="8">
        <v>3</v>
      </c>
      <c r="N1441">
        <f>VLOOKUP(B1441,Customers!A:J,7,0)</f>
        <v>22</v>
      </c>
      <c r="O1441" t="str">
        <f>VLOOKUP(B1441,Customers!A:J,5,0)</f>
        <v>San Antonio</v>
      </c>
      <c r="P1441" t="str">
        <f>VLOOKUP(B1441,Customers!A:J,10,0)</f>
        <v>Free</v>
      </c>
      <c r="Q1441" t="str">
        <f>VLOOKUP(B1441,Customers!A:J,8,0)</f>
        <v>Male</v>
      </c>
      <c r="R1441" t="b">
        <f t="shared" si="44"/>
        <v>1</v>
      </c>
      <c r="S1441" s="18">
        <f t="shared" si="45"/>
        <v>44652</v>
      </c>
    </row>
    <row r="1442" spans="1:19" x14ac:dyDescent="0.25">
      <c r="A1442" s="3" t="s">
        <v>2839</v>
      </c>
      <c r="B1442" s="4" t="s">
        <v>569</v>
      </c>
      <c r="C1442" s="14">
        <v>44724</v>
      </c>
      <c r="D1442" s="4" t="s">
        <v>653</v>
      </c>
      <c r="E1442" s="4" t="s">
        <v>827</v>
      </c>
      <c r="F1442" s="4">
        <v>29.99</v>
      </c>
      <c r="G1442" s="4">
        <v>4</v>
      </c>
      <c r="H1442" s="4">
        <v>0</v>
      </c>
      <c r="I1442" s="4">
        <v>29.99</v>
      </c>
      <c r="J1442" s="4">
        <v>119.96</v>
      </c>
      <c r="K1442" s="4" t="s">
        <v>682</v>
      </c>
      <c r="L1442" s="4" t="s">
        <v>656</v>
      </c>
      <c r="M1442" s="5">
        <v>4</v>
      </c>
      <c r="N1442">
        <f>VLOOKUP(B1442,Customers!A:J,7,0)</f>
        <v>22</v>
      </c>
      <c r="O1442" t="str">
        <f>VLOOKUP(B1442,Customers!A:J,5,0)</f>
        <v>San Antonio</v>
      </c>
      <c r="P1442" t="str">
        <f>VLOOKUP(B1442,Customers!A:J,10,0)</f>
        <v>Free</v>
      </c>
      <c r="Q1442" t="str">
        <f>VLOOKUP(B1442,Customers!A:J,8,0)</f>
        <v>Male</v>
      </c>
      <c r="R1442" t="b">
        <f t="shared" si="44"/>
        <v>1</v>
      </c>
      <c r="S1442" s="18">
        <f t="shared" si="45"/>
        <v>44713</v>
      </c>
    </row>
    <row r="1443" spans="1:19" x14ac:dyDescent="0.25">
      <c r="A1443" s="6" t="s">
        <v>2840</v>
      </c>
      <c r="B1443" s="7" t="s">
        <v>569</v>
      </c>
      <c r="C1443" s="15">
        <v>44886</v>
      </c>
      <c r="D1443" s="7" t="s">
        <v>653</v>
      </c>
      <c r="E1443" s="7" t="s">
        <v>827</v>
      </c>
      <c r="F1443" s="7">
        <v>29.99</v>
      </c>
      <c r="G1443" s="7">
        <v>3</v>
      </c>
      <c r="H1443" s="7">
        <v>0</v>
      </c>
      <c r="I1443" s="7">
        <v>29.99</v>
      </c>
      <c r="J1443" s="7">
        <v>89.97</v>
      </c>
      <c r="K1443" s="7" t="s">
        <v>682</v>
      </c>
      <c r="L1443" s="7" t="s">
        <v>656</v>
      </c>
      <c r="M1443" s="8">
        <v>5</v>
      </c>
      <c r="N1443">
        <f>VLOOKUP(B1443,Customers!A:J,7,0)</f>
        <v>22</v>
      </c>
      <c r="O1443" t="str">
        <f>VLOOKUP(B1443,Customers!A:J,5,0)</f>
        <v>San Antonio</v>
      </c>
      <c r="P1443" t="str">
        <f>VLOOKUP(B1443,Customers!A:J,10,0)</f>
        <v>Free</v>
      </c>
      <c r="Q1443" t="str">
        <f>VLOOKUP(B1443,Customers!A:J,8,0)</f>
        <v>Male</v>
      </c>
      <c r="R1443" t="b">
        <f t="shared" si="44"/>
        <v>1</v>
      </c>
      <c r="S1443" s="18">
        <f t="shared" si="45"/>
        <v>44866</v>
      </c>
    </row>
    <row r="1444" spans="1:19" x14ac:dyDescent="0.25">
      <c r="A1444" s="3" t="s">
        <v>2841</v>
      </c>
      <c r="B1444" s="4" t="s">
        <v>569</v>
      </c>
      <c r="C1444" s="14">
        <v>44793</v>
      </c>
      <c r="D1444" s="4" t="s">
        <v>667</v>
      </c>
      <c r="E1444" s="4" t="s">
        <v>699</v>
      </c>
      <c r="F1444" s="4">
        <v>89.99</v>
      </c>
      <c r="G1444" s="4">
        <v>1</v>
      </c>
      <c r="H1444" s="4">
        <v>0</v>
      </c>
      <c r="I1444" s="4">
        <v>89.99</v>
      </c>
      <c r="J1444" s="4">
        <v>89.99</v>
      </c>
      <c r="K1444" s="4" t="s">
        <v>682</v>
      </c>
      <c r="L1444" s="4" t="s">
        <v>656</v>
      </c>
      <c r="M1444" s="5"/>
      <c r="N1444">
        <f>VLOOKUP(B1444,Customers!A:J,7,0)</f>
        <v>22</v>
      </c>
      <c r="O1444" t="str">
        <f>VLOOKUP(B1444,Customers!A:J,5,0)</f>
        <v>San Antonio</v>
      </c>
      <c r="P1444" t="str">
        <f>VLOOKUP(B1444,Customers!A:J,10,0)</f>
        <v>Free</v>
      </c>
      <c r="Q1444" t="str">
        <f>VLOOKUP(B1444,Customers!A:J,8,0)</f>
        <v>Male</v>
      </c>
      <c r="R1444" t="b">
        <f t="shared" si="44"/>
        <v>1</v>
      </c>
      <c r="S1444" s="18">
        <f t="shared" si="45"/>
        <v>44774</v>
      </c>
    </row>
    <row r="1445" spans="1:19" x14ac:dyDescent="0.25">
      <c r="A1445" s="6" t="s">
        <v>2842</v>
      </c>
      <c r="B1445" s="7" t="s">
        <v>569</v>
      </c>
      <c r="C1445" s="15">
        <v>44910</v>
      </c>
      <c r="D1445" s="7" t="s">
        <v>684</v>
      </c>
      <c r="E1445" s="7" t="s">
        <v>705</v>
      </c>
      <c r="F1445" s="7">
        <v>79.989999999999995</v>
      </c>
      <c r="G1445" s="7">
        <v>2</v>
      </c>
      <c r="H1445" s="7">
        <v>0</v>
      </c>
      <c r="I1445" s="7">
        <v>79.989999999999995</v>
      </c>
      <c r="J1445" s="7">
        <v>159.97999999999999</v>
      </c>
      <c r="K1445" s="7" t="s">
        <v>682</v>
      </c>
      <c r="L1445" s="7" t="s">
        <v>656</v>
      </c>
      <c r="M1445" s="8"/>
      <c r="N1445">
        <f>VLOOKUP(B1445,Customers!A:J,7,0)</f>
        <v>22</v>
      </c>
      <c r="O1445" t="str">
        <f>VLOOKUP(B1445,Customers!A:J,5,0)</f>
        <v>San Antonio</v>
      </c>
      <c r="P1445" t="str">
        <f>VLOOKUP(B1445,Customers!A:J,10,0)</f>
        <v>Free</v>
      </c>
      <c r="Q1445" t="str">
        <f>VLOOKUP(B1445,Customers!A:J,8,0)</f>
        <v>Male</v>
      </c>
      <c r="R1445" t="b">
        <f t="shared" si="44"/>
        <v>1</v>
      </c>
      <c r="S1445" s="18">
        <f t="shared" si="45"/>
        <v>44896</v>
      </c>
    </row>
    <row r="1446" spans="1:19" x14ac:dyDescent="0.25">
      <c r="A1446" s="3" t="s">
        <v>2843</v>
      </c>
      <c r="B1446" s="4" t="s">
        <v>569</v>
      </c>
      <c r="C1446" s="14">
        <v>45156</v>
      </c>
      <c r="D1446" s="4" t="s">
        <v>710</v>
      </c>
      <c r="E1446" s="4" t="s">
        <v>730</v>
      </c>
      <c r="F1446" s="4">
        <v>39.99</v>
      </c>
      <c r="G1446" s="4">
        <v>2</v>
      </c>
      <c r="H1446" s="4">
        <v>15</v>
      </c>
      <c r="I1446" s="4">
        <v>33.99</v>
      </c>
      <c r="J1446" s="4">
        <v>67.98</v>
      </c>
      <c r="K1446" s="4" t="s">
        <v>669</v>
      </c>
      <c r="L1446" s="4" t="s">
        <v>656</v>
      </c>
      <c r="M1446" s="5">
        <v>3</v>
      </c>
      <c r="N1446">
        <f>VLOOKUP(B1446,Customers!A:J,7,0)</f>
        <v>22</v>
      </c>
      <c r="O1446" t="str">
        <f>VLOOKUP(B1446,Customers!A:J,5,0)</f>
        <v>San Antonio</v>
      </c>
      <c r="P1446" t="str">
        <f>VLOOKUP(B1446,Customers!A:J,10,0)</f>
        <v>Free</v>
      </c>
      <c r="Q1446" t="str">
        <f>VLOOKUP(B1446,Customers!A:J,8,0)</f>
        <v>Male</v>
      </c>
      <c r="R1446" t="b">
        <f t="shared" si="44"/>
        <v>1</v>
      </c>
      <c r="S1446" s="18">
        <f t="shared" si="45"/>
        <v>45139</v>
      </c>
    </row>
    <row r="1447" spans="1:19" x14ac:dyDescent="0.25">
      <c r="A1447" s="6" t="s">
        <v>2844</v>
      </c>
      <c r="B1447" s="7" t="s">
        <v>569</v>
      </c>
      <c r="C1447" s="15">
        <v>44751</v>
      </c>
      <c r="D1447" s="7" t="s">
        <v>659</v>
      </c>
      <c r="E1447" s="7" t="s">
        <v>660</v>
      </c>
      <c r="F1447" s="7">
        <v>19.989999999999998</v>
      </c>
      <c r="G1447" s="7">
        <v>3</v>
      </c>
      <c r="H1447" s="7">
        <v>5</v>
      </c>
      <c r="I1447" s="7">
        <v>18.989999999999998</v>
      </c>
      <c r="J1447" s="7">
        <v>56.97</v>
      </c>
      <c r="K1447" s="7" t="s">
        <v>682</v>
      </c>
      <c r="L1447" s="7" t="s">
        <v>656</v>
      </c>
      <c r="M1447" s="8">
        <v>5</v>
      </c>
      <c r="N1447">
        <f>VLOOKUP(B1447,Customers!A:J,7,0)</f>
        <v>22</v>
      </c>
      <c r="O1447" t="str">
        <f>VLOOKUP(B1447,Customers!A:J,5,0)</f>
        <v>San Antonio</v>
      </c>
      <c r="P1447" t="str">
        <f>VLOOKUP(B1447,Customers!A:J,10,0)</f>
        <v>Free</v>
      </c>
      <c r="Q1447" t="str">
        <f>VLOOKUP(B1447,Customers!A:J,8,0)</f>
        <v>Male</v>
      </c>
      <c r="R1447" t="b">
        <f t="shared" si="44"/>
        <v>1</v>
      </c>
      <c r="S1447" s="18">
        <f t="shared" si="45"/>
        <v>44743</v>
      </c>
    </row>
    <row r="1448" spans="1:19" x14ac:dyDescent="0.25">
      <c r="A1448" s="3" t="s">
        <v>2846</v>
      </c>
      <c r="B1448" s="4" t="s">
        <v>569</v>
      </c>
      <c r="C1448" s="14">
        <v>44636</v>
      </c>
      <c r="D1448" s="4" t="s">
        <v>659</v>
      </c>
      <c r="E1448" s="4" t="s">
        <v>762</v>
      </c>
      <c r="F1448" s="4">
        <v>49.99</v>
      </c>
      <c r="G1448" s="4">
        <v>4</v>
      </c>
      <c r="H1448" s="4">
        <v>0</v>
      </c>
      <c r="I1448" s="4">
        <v>49.99</v>
      </c>
      <c r="J1448" s="4">
        <v>199.96</v>
      </c>
      <c r="K1448" s="4" t="s">
        <v>682</v>
      </c>
      <c r="L1448" s="4" t="s">
        <v>656</v>
      </c>
      <c r="M1448" s="5">
        <v>4</v>
      </c>
      <c r="N1448">
        <f>VLOOKUP(B1448,Customers!A:J,7,0)</f>
        <v>22</v>
      </c>
      <c r="O1448" t="str">
        <f>VLOOKUP(B1448,Customers!A:J,5,0)</f>
        <v>San Antonio</v>
      </c>
      <c r="P1448" t="str">
        <f>VLOOKUP(B1448,Customers!A:J,10,0)</f>
        <v>Free</v>
      </c>
      <c r="Q1448" t="str">
        <f>VLOOKUP(B1448,Customers!A:J,8,0)</f>
        <v>Male</v>
      </c>
      <c r="R1448" t="b">
        <f t="shared" si="44"/>
        <v>1</v>
      </c>
      <c r="S1448" s="18">
        <f t="shared" si="45"/>
        <v>44621</v>
      </c>
    </row>
    <row r="1449" spans="1:19" x14ac:dyDescent="0.25">
      <c r="A1449" s="6" t="s">
        <v>2847</v>
      </c>
      <c r="B1449" s="7" t="s">
        <v>569</v>
      </c>
      <c r="C1449" s="15">
        <v>44569</v>
      </c>
      <c r="D1449" s="7" t="s">
        <v>684</v>
      </c>
      <c r="E1449" s="7" t="s">
        <v>815</v>
      </c>
      <c r="F1449" s="7">
        <v>34.99</v>
      </c>
      <c r="G1449" s="7">
        <v>2</v>
      </c>
      <c r="H1449" s="7">
        <v>5</v>
      </c>
      <c r="I1449" s="7">
        <v>33.24</v>
      </c>
      <c r="J1449" s="7">
        <v>66.48</v>
      </c>
      <c r="K1449" s="7" t="s">
        <v>661</v>
      </c>
      <c r="L1449" s="7" t="s">
        <v>656</v>
      </c>
      <c r="M1449" s="8"/>
      <c r="N1449">
        <f>VLOOKUP(B1449,Customers!A:J,7,0)</f>
        <v>22</v>
      </c>
      <c r="O1449" t="str">
        <f>VLOOKUP(B1449,Customers!A:J,5,0)</f>
        <v>San Antonio</v>
      </c>
      <c r="P1449" t="str">
        <f>VLOOKUP(B1449,Customers!A:J,10,0)</f>
        <v>Free</v>
      </c>
      <c r="Q1449" t="str">
        <f>VLOOKUP(B1449,Customers!A:J,8,0)</f>
        <v>Male</v>
      </c>
      <c r="R1449" t="b">
        <f t="shared" si="44"/>
        <v>1</v>
      </c>
      <c r="S1449" s="18">
        <f t="shared" si="45"/>
        <v>44562</v>
      </c>
    </row>
    <row r="1450" spans="1:19" x14ac:dyDescent="0.25">
      <c r="A1450" s="3" t="s">
        <v>2848</v>
      </c>
      <c r="B1450" s="4" t="s">
        <v>569</v>
      </c>
      <c r="C1450" s="14">
        <v>45399</v>
      </c>
      <c r="D1450" s="4" t="s">
        <v>659</v>
      </c>
      <c r="E1450" s="4" t="s">
        <v>660</v>
      </c>
      <c r="F1450" s="4">
        <v>19.989999999999998</v>
      </c>
      <c r="G1450" s="4">
        <v>4</v>
      </c>
      <c r="H1450" s="4">
        <v>5</v>
      </c>
      <c r="I1450" s="4">
        <v>18.989999999999998</v>
      </c>
      <c r="J1450" s="4">
        <v>75.959999999999994</v>
      </c>
      <c r="K1450" s="4" t="s">
        <v>669</v>
      </c>
      <c r="L1450" s="4" t="s">
        <v>656</v>
      </c>
      <c r="M1450" s="5">
        <v>5</v>
      </c>
      <c r="N1450">
        <f>VLOOKUP(B1450,Customers!A:J,7,0)</f>
        <v>22</v>
      </c>
      <c r="O1450" t="str">
        <f>VLOOKUP(B1450,Customers!A:J,5,0)</f>
        <v>San Antonio</v>
      </c>
      <c r="P1450" t="str">
        <f>VLOOKUP(B1450,Customers!A:J,10,0)</f>
        <v>Free</v>
      </c>
      <c r="Q1450" t="str">
        <f>VLOOKUP(B1450,Customers!A:J,8,0)</f>
        <v>Male</v>
      </c>
      <c r="R1450" t="b">
        <f t="shared" si="44"/>
        <v>1</v>
      </c>
      <c r="S1450" s="18">
        <f t="shared" si="45"/>
        <v>45383</v>
      </c>
    </row>
    <row r="1451" spans="1:19" x14ac:dyDescent="0.25">
      <c r="A1451" s="6" t="s">
        <v>2850</v>
      </c>
      <c r="B1451" s="7" t="s">
        <v>572</v>
      </c>
      <c r="C1451" s="15">
        <v>45348</v>
      </c>
      <c r="D1451" s="7" t="s">
        <v>653</v>
      </c>
      <c r="E1451" s="7" t="s">
        <v>727</v>
      </c>
      <c r="F1451" s="7">
        <v>14.99</v>
      </c>
      <c r="G1451" s="7">
        <v>3</v>
      </c>
      <c r="H1451" s="7">
        <v>10</v>
      </c>
      <c r="I1451" s="7">
        <v>13.49</v>
      </c>
      <c r="J1451" s="7">
        <v>40.47</v>
      </c>
      <c r="K1451" s="7" t="s">
        <v>661</v>
      </c>
      <c r="L1451" s="7" t="s">
        <v>656</v>
      </c>
      <c r="M1451" s="8"/>
      <c r="N1451">
        <f>VLOOKUP(B1451,Customers!A:J,7,0)</f>
        <v>55</v>
      </c>
      <c r="O1451" t="str">
        <f>VLOOKUP(B1451,Customers!A:J,5,0)</f>
        <v>Jacksonville</v>
      </c>
      <c r="P1451" t="str">
        <f>VLOOKUP(B1451,Customers!A:J,10,0)</f>
        <v>Free</v>
      </c>
      <c r="Q1451" t="str">
        <f>VLOOKUP(B1451,Customers!A:J,8,0)</f>
        <v>Female</v>
      </c>
      <c r="R1451" t="b">
        <f t="shared" si="44"/>
        <v>1</v>
      </c>
      <c r="S1451" s="18">
        <f t="shared" si="45"/>
        <v>45323</v>
      </c>
    </row>
    <row r="1452" spans="1:19" x14ac:dyDescent="0.25">
      <c r="A1452" s="3" t="s">
        <v>2852</v>
      </c>
      <c r="B1452" s="4" t="s">
        <v>572</v>
      </c>
      <c r="C1452" s="14">
        <v>44732</v>
      </c>
      <c r="D1452" s="4" t="s">
        <v>680</v>
      </c>
      <c r="E1452" s="4" t="s">
        <v>749</v>
      </c>
      <c r="F1452" s="4">
        <v>14.99</v>
      </c>
      <c r="G1452" s="4">
        <v>3</v>
      </c>
      <c r="H1452" s="4">
        <v>10</v>
      </c>
      <c r="I1452" s="4">
        <v>13.49</v>
      </c>
      <c r="J1452" s="4">
        <v>40.47</v>
      </c>
      <c r="K1452" s="4" t="s">
        <v>669</v>
      </c>
      <c r="L1452" s="4" t="s">
        <v>656</v>
      </c>
      <c r="M1452" s="5">
        <v>3</v>
      </c>
      <c r="N1452">
        <f>VLOOKUP(B1452,Customers!A:J,7,0)</f>
        <v>55</v>
      </c>
      <c r="O1452" t="str">
        <f>VLOOKUP(B1452,Customers!A:J,5,0)</f>
        <v>Jacksonville</v>
      </c>
      <c r="P1452" t="str">
        <f>VLOOKUP(B1452,Customers!A:J,10,0)</f>
        <v>Free</v>
      </c>
      <c r="Q1452" t="str">
        <f>VLOOKUP(B1452,Customers!A:J,8,0)</f>
        <v>Female</v>
      </c>
      <c r="R1452" t="b">
        <f t="shared" si="44"/>
        <v>1</v>
      </c>
      <c r="S1452" s="18">
        <f t="shared" si="45"/>
        <v>44713</v>
      </c>
    </row>
    <row r="1453" spans="1:19" x14ac:dyDescent="0.25">
      <c r="A1453" s="6" t="s">
        <v>2853</v>
      </c>
      <c r="B1453" s="7" t="s">
        <v>572</v>
      </c>
      <c r="C1453" s="15">
        <v>45223</v>
      </c>
      <c r="D1453" s="7" t="s">
        <v>684</v>
      </c>
      <c r="E1453" s="7" t="s">
        <v>702</v>
      </c>
      <c r="F1453" s="7">
        <v>199.99</v>
      </c>
      <c r="G1453" s="7">
        <v>3</v>
      </c>
      <c r="H1453" s="7">
        <v>5</v>
      </c>
      <c r="I1453" s="7">
        <v>189.99</v>
      </c>
      <c r="J1453" s="7">
        <v>569.97</v>
      </c>
      <c r="K1453" s="7" t="s">
        <v>669</v>
      </c>
      <c r="L1453" s="7" t="s">
        <v>656</v>
      </c>
      <c r="M1453" s="8">
        <v>5</v>
      </c>
      <c r="N1453">
        <f>VLOOKUP(B1453,Customers!A:J,7,0)</f>
        <v>55</v>
      </c>
      <c r="O1453" t="str">
        <f>VLOOKUP(B1453,Customers!A:J,5,0)</f>
        <v>Jacksonville</v>
      </c>
      <c r="P1453" t="str">
        <f>VLOOKUP(B1453,Customers!A:J,10,0)</f>
        <v>Free</v>
      </c>
      <c r="Q1453" t="str">
        <f>VLOOKUP(B1453,Customers!A:J,8,0)</f>
        <v>Female</v>
      </c>
      <c r="R1453" t="b">
        <f t="shared" si="44"/>
        <v>1</v>
      </c>
      <c r="S1453" s="18">
        <f t="shared" si="45"/>
        <v>45200</v>
      </c>
    </row>
    <row r="1454" spans="1:19" x14ac:dyDescent="0.25">
      <c r="A1454" s="3" t="s">
        <v>2854</v>
      </c>
      <c r="B1454" s="4" t="s">
        <v>572</v>
      </c>
      <c r="C1454" s="14">
        <v>45477</v>
      </c>
      <c r="D1454" s="4" t="s">
        <v>680</v>
      </c>
      <c r="E1454" s="4" t="s">
        <v>749</v>
      </c>
      <c r="F1454" s="4">
        <v>14.99</v>
      </c>
      <c r="G1454" s="4">
        <v>4</v>
      </c>
      <c r="H1454" s="4">
        <v>0</v>
      </c>
      <c r="I1454" s="4">
        <v>14.99</v>
      </c>
      <c r="J1454" s="4">
        <v>59.96</v>
      </c>
      <c r="K1454" s="4" t="s">
        <v>669</v>
      </c>
      <c r="L1454" s="4" t="s">
        <v>656</v>
      </c>
      <c r="M1454" s="5">
        <v>4</v>
      </c>
      <c r="N1454">
        <f>VLOOKUP(B1454,Customers!A:J,7,0)</f>
        <v>55</v>
      </c>
      <c r="O1454" t="str">
        <f>VLOOKUP(B1454,Customers!A:J,5,0)</f>
        <v>Jacksonville</v>
      </c>
      <c r="P1454" t="str">
        <f>VLOOKUP(B1454,Customers!A:J,10,0)</f>
        <v>Free</v>
      </c>
      <c r="Q1454" t="str">
        <f>VLOOKUP(B1454,Customers!A:J,8,0)</f>
        <v>Female</v>
      </c>
      <c r="R1454" t="b">
        <f t="shared" si="44"/>
        <v>1</v>
      </c>
      <c r="S1454" s="18">
        <f t="shared" si="45"/>
        <v>45474</v>
      </c>
    </row>
    <row r="1455" spans="1:19" x14ac:dyDescent="0.25">
      <c r="A1455" s="6" t="s">
        <v>2855</v>
      </c>
      <c r="B1455" s="7" t="s">
        <v>572</v>
      </c>
      <c r="C1455" s="15">
        <v>45327</v>
      </c>
      <c r="D1455" s="7" t="s">
        <v>672</v>
      </c>
      <c r="E1455" s="7" t="s">
        <v>724</v>
      </c>
      <c r="F1455" s="7">
        <v>89.99</v>
      </c>
      <c r="G1455" s="7">
        <v>1</v>
      </c>
      <c r="H1455" s="7">
        <v>0</v>
      </c>
      <c r="I1455" s="7">
        <v>89.99</v>
      </c>
      <c r="J1455" s="7">
        <v>89.99</v>
      </c>
      <c r="K1455" s="7" t="s">
        <v>655</v>
      </c>
      <c r="L1455" s="7" t="s">
        <v>656</v>
      </c>
      <c r="M1455" s="8">
        <v>3</v>
      </c>
      <c r="N1455">
        <f>VLOOKUP(B1455,Customers!A:J,7,0)</f>
        <v>55</v>
      </c>
      <c r="O1455" t="str">
        <f>VLOOKUP(B1455,Customers!A:J,5,0)</f>
        <v>Jacksonville</v>
      </c>
      <c r="P1455" t="str">
        <f>VLOOKUP(B1455,Customers!A:J,10,0)</f>
        <v>Free</v>
      </c>
      <c r="Q1455" t="str">
        <f>VLOOKUP(B1455,Customers!A:J,8,0)</f>
        <v>Female</v>
      </c>
      <c r="R1455" t="b">
        <f t="shared" si="44"/>
        <v>1</v>
      </c>
      <c r="S1455" s="18">
        <f t="shared" si="45"/>
        <v>45323</v>
      </c>
    </row>
    <row r="1456" spans="1:19" x14ac:dyDescent="0.25">
      <c r="A1456" s="3" t="s">
        <v>2856</v>
      </c>
      <c r="B1456" s="4" t="s">
        <v>572</v>
      </c>
      <c r="C1456" s="14">
        <v>45608</v>
      </c>
      <c r="D1456" s="4" t="s">
        <v>667</v>
      </c>
      <c r="E1456" s="4" t="s">
        <v>696</v>
      </c>
      <c r="F1456" s="4">
        <v>59.99</v>
      </c>
      <c r="G1456" s="4">
        <v>1</v>
      </c>
      <c r="H1456" s="4">
        <v>0</v>
      </c>
      <c r="I1456" s="4">
        <v>59.99</v>
      </c>
      <c r="J1456" s="4">
        <v>59.99</v>
      </c>
      <c r="K1456" s="4" t="s">
        <v>682</v>
      </c>
      <c r="L1456" s="4" t="s">
        <v>656</v>
      </c>
      <c r="M1456" s="5"/>
      <c r="N1456">
        <f>VLOOKUP(B1456,Customers!A:J,7,0)</f>
        <v>55</v>
      </c>
      <c r="O1456" t="str">
        <f>VLOOKUP(B1456,Customers!A:J,5,0)</f>
        <v>Jacksonville</v>
      </c>
      <c r="P1456" t="str">
        <f>VLOOKUP(B1456,Customers!A:J,10,0)</f>
        <v>Free</v>
      </c>
      <c r="Q1456" t="str">
        <f>VLOOKUP(B1456,Customers!A:J,8,0)</f>
        <v>Female</v>
      </c>
      <c r="R1456" t="b">
        <f t="shared" si="44"/>
        <v>1</v>
      </c>
      <c r="S1456" s="18">
        <f t="shared" si="45"/>
        <v>45597</v>
      </c>
    </row>
    <row r="1457" spans="1:19" x14ac:dyDescent="0.25">
      <c r="A1457" s="6" t="s">
        <v>2858</v>
      </c>
      <c r="B1457" s="7" t="s">
        <v>572</v>
      </c>
      <c r="C1457" s="15">
        <v>45490</v>
      </c>
      <c r="D1457" s="7" t="s">
        <v>659</v>
      </c>
      <c r="E1457" s="7" t="s">
        <v>660</v>
      </c>
      <c r="F1457" s="7">
        <v>19.989999999999998</v>
      </c>
      <c r="G1457" s="7">
        <v>2</v>
      </c>
      <c r="H1457" s="7">
        <v>0</v>
      </c>
      <c r="I1457" s="7">
        <v>19.989999999999998</v>
      </c>
      <c r="J1457" s="7">
        <v>39.979999999999997</v>
      </c>
      <c r="K1457" s="7" t="s">
        <v>675</v>
      </c>
      <c r="L1457" s="7" t="s">
        <v>656</v>
      </c>
      <c r="M1457" s="8">
        <v>5</v>
      </c>
      <c r="N1457">
        <f>VLOOKUP(B1457,Customers!A:J,7,0)</f>
        <v>55</v>
      </c>
      <c r="O1457" t="str">
        <f>VLOOKUP(B1457,Customers!A:J,5,0)</f>
        <v>Jacksonville</v>
      </c>
      <c r="P1457" t="str">
        <f>VLOOKUP(B1457,Customers!A:J,10,0)</f>
        <v>Free</v>
      </c>
      <c r="Q1457" t="str">
        <f>VLOOKUP(B1457,Customers!A:J,8,0)</f>
        <v>Female</v>
      </c>
      <c r="R1457" t="b">
        <f t="shared" si="44"/>
        <v>1</v>
      </c>
      <c r="S1457" s="18">
        <f t="shared" si="45"/>
        <v>45474</v>
      </c>
    </row>
    <row r="1458" spans="1:19" x14ac:dyDescent="0.25">
      <c r="A1458" s="3" t="s">
        <v>2859</v>
      </c>
      <c r="B1458" s="4" t="s">
        <v>572</v>
      </c>
      <c r="C1458" s="14">
        <v>44658</v>
      </c>
      <c r="D1458" s="4" t="s">
        <v>667</v>
      </c>
      <c r="E1458" s="4" t="s">
        <v>696</v>
      </c>
      <c r="F1458" s="4">
        <v>59.99</v>
      </c>
      <c r="G1458" s="4">
        <v>4</v>
      </c>
      <c r="H1458" s="4">
        <v>0</v>
      </c>
      <c r="I1458" s="4">
        <v>59.99</v>
      </c>
      <c r="J1458" s="4">
        <v>239.96</v>
      </c>
      <c r="K1458" s="4" t="s">
        <v>655</v>
      </c>
      <c r="L1458" s="4" t="s">
        <v>785</v>
      </c>
      <c r="M1458" s="5">
        <v>5</v>
      </c>
      <c r="N1458">
        <f>VLOOKUP(B1458,Customers!A:J,7,0)</f>
        <v>55</v>
      </c>
      <c r="O1458" t="str">
        <f>VLOOKUP(B1458,Customers!A:J,5,0)</f>
        <v>Jacksonville</v>
      </c>
      <c r="P1458" t="str">
        <f>VLOOKUP(B1458,Customers!A:J,10,0)</f>
        <v>Free</v>
      </c>
      <c r="Q1458" t="str">
        <f>VLOOKUP(B1458,Customers!A:J,8,0)</f>
        <v>Female</v>
      </c>
      <c r="R1458" t="b">
        <f t="shared" si="44"/>
        <v>1</v>
      </c>
      <c r="S1458" s="18">
        <f t="shared" si="45"/>
        <v>44652</v>
      </c>
    </row>
    <row r="1459" spans="1:19" x14ac:dyDescent="0.25">
      <c r="A1459" s="6" t="s">
        <v>2860</v>
      </c>
      <c r="B1459" s="7" t="s">
        <v>572</v>
      </c>
      <c r="C1459" s="15">
        <v>44876</v>
      </c>
      <c r="D1459" s="7" t="s">
        <v>659</v>
      </c>
      <c r="E1459" s="7" t="s">
        <v>664</v>
      </c>
      <c r="F1459" s="7">
        <v>24.99</v>
      </c>
      <c r="G1459" s="7">
        <v>1</v>
      </c>
      <c r="H1459" s="7">
        <v>0</v>
      </c>
      <c r="I1459" s="7">
        <v>24.99</v>
      </c>
      <c r="J1459" s="7">
        <v>24.99</v>
      </c>
      <c r="K1459" s="7" t="s">
        <v>682</v>
      </c>
      <c r="L1459" s="7" t="s">
        <v>656</v>
      </c>
      <c r="M1459" s="8">
        <v>3</v>
      </c>
      <c r="N1459">
        <f>VLOOKUP(B1459,Customers!A:J,7,0)</f>
        <v>55</v>
      </c>
      <c r="O1459" t="str">
        <f>VLOOKUP(B1459,Customers!A:J,5,0)</f>
        <v>Jacksonville</v>
      </c>
      <c r="P1459" t="str">
        <f>VLOOKUP(B1459,Customers!A:J,10,0)</f>
        <v>Free</v>
      </c>
      <c r="Q1459" t="str">
        <f>VLOOKUP(B1459,Customers!A:J,8,0)</f>
        <v>Female</v>
      </c>
      <c r="R1459" t="b">
        <f t="shared" si="44"/>
        <v>1</v>
      </c>
      <c r="S1459" s="18">
        <f t="shared" si="45"/>
        <v>44866</v>
      </c>
    </row>
    <row r="1460" spans="1:19" x14ac:dyDescent="0.25">
      <c r="A1460" s="3" t="s">
        <v>2862</v>
      </c>
      <c r="B1460" s="4" t="s">
        <v>572</v>
      </c>
      <c r="C1460" s="14">
        <v>44920</v>
      </c>
      <c r="D1460" s="4" t="s">
        <v>653</v>
      </c>
      <c r="E1460" s="4" t="s">
        <v>827</v>
      </c>
      <c r="F1460" s="4">
        <v>29.99</v>
      </c>
      <c r="G1460" s="4">
        <v>2</v>
      </c>
      <c r="H1460" s="4">
        <v>0</v>
      </c>
      <c r="I1460" s="4">
        <v>29.99</v>
      </c>
      <c r="J1460" s="4">
        <v>59.98</v>
      </c>
      <c r="K1460" s="4" t="s">
        <v>661</v>
      </c>
      <c r="L1460" s="4" t="s">
        <v>693</v>
      </c>
      <c r="M1460" s="5">
        <v>5</v>
      </c>
      <c r="N1460">
        <f>VLOOKUP(B1460,Customers!A:J,7,0)</f>
        <v>55</v>
      </c>
      <c r="O1460" t="str">
        <f>VLOOKUP(B1460,Customers!A:J,5,0)</f>
        <v>Jacksonville</v>
      </c>
      <c r="P1460" t="str">
        <f>VLOOKUP(B1460,Customers!A:J,10,0)</f>
        <v>Free</v>
      </c>
      <c r="Q1460" t="str">
        <f>VLOOKUP(B1460,Customers!A:J,8,0)</f>
        <v>Female</v>
      </c>
      <c r="R1460" t="b">
        <f t="shared" si="44"/>
        <v>1</v>
      </c>
      <c r="S1460" s="18">
        <f t="shared" si="45"/>
        <v>44896</v>
      </c>
    </row>
    <row r="1461" spans="1:19" x14ac:dyDescent="0.25">
      <c r="A1461" s="6" t="s">
        <v>2864</v>
      </c>
      <c r="B1461" s="7" t="s">
        <v>572</v>
      </c>
      <c r="C1461" s="15">
        <v>44808</v>
      </c>
      <c r="D1461" s="7" t="s">
        <v>659</v>
      </c>
      <c r="E1461" s="7" t="s">
        <v>820</v>
      </c>
      <c r="F1461" s="7">
        <v>39.99</v>
      </c>
      <c r="G1461" s="7">
        <v>4</v>
      </c>
      <c r="H1461" s="7">
        <v>5</v>
      </c>
      <c r="I1461" s="7">
        <v>37.99</v>
      </c>
      <c r="J1461" s="7">
        <v>151.96</v>
      </c>
      <c r="K1461" s="7" t="s">
        <v>682</v>
      </c>
      <c r="L1461" s="7" t="s">
        <v>739</v>
      </c>
      <c r="M1461" s="8">
        <v>3</v>
      </c>
      <c r="N1461">
        <f>VLOOKUP(B1461,Customers!A:J,7,0)</f>
        <v>55</v>
      </c>
      <c r="O1461" t="str">
        <f>VLOOKUP(B1461,Customers!A:J,5,0)</f>
        <v>Jacksonville</v>
      </c>
      <c r="P1461" t="str">
        <f>VLOOKUP(B1461,Customers!A:J,10,0)</f>
        <v>Free</v>
      </c>
      <c r="Q1461" t="str">
        <f>VLOOKUP(B1461,Customers!A:J,8,0)</f>
        <v>Female</v>
      </c>
      <c r="R1461" t="b">
        <f t="shared" si="44"/>
        <v>1</v>
      </c>
      <c r="S1461" s="18">
        <f t="shared" si="45"/>
        <v>44805</v>
      </c>
    </row>
    <row r="1462" spans="1:19" x14ac:dyDescent="0.25">
      <c r="A1462" s="3" t="s">
        <v>2866</v>
      </c>
      <c r="B1462" s="4" t="s">
        <v>572</v>
      </c>
      <c r="C1462" s="14">
        <v>45601</v>
      </c>
      <c r="D1462" s="4" t="s">
        <v>680</v>
      </c>
      <c r="E1462" s="4" t="s">
        <v>708</v>
      </c>
      <c r="F1462" s="4">
        <v>24.99</v>
      </c>
      <c r="G1462" s="4">
        <v>1</v>
      </c>
      <c r="H1462" s="4">
        <v>15</v>
      </c>
      <c r="I1462" s="4">
        <v>21.24</v>
      </c>
      <c r="J1462" s="4">
        <v>21.24</v>
      </c>
      <c r="K1462" s="4" t="s">
        <v>655</v>
      </c>
      <c r="L1462" s="4" t="s">
        <v>739</v>
      </c>
      <c r="M1462" s="5">
        <v>5</v>
      </c>
      <c r="N1462">
        <f>VLOOKUP(B1462,Customers!A:J,7,0)</f>
        <v>55</v>
      </c>
      <c r="O1462" t="str">
        <f>VLOOKUP(B1462,Customers!A:J,5,0)</f>
        <v>Jacksonville</v>
      </c>
      <c r="P1462" t="str">
        <f>VLOOKUP(B1462,Customers!A:J,10,0)</f>
        <v>Free</v>
      </c>
      <c r="Q1462" t="str">
        <f>VLOOKUP(B1462,Customers!A:J,8,0)</f>
        <v>Female</v>
      </c>
      <c r="R1462" t="b">
        <f t="shared" si="44"/>
        <v>1</v>
      </c>
      <c r="S1462" s="18">
        <f t="shared" si="45"/>
        <v>45597</v>
      </c>
    </row>
    <row r="1463" spans="1:19" x14ac:dyDescent="0.25">
      <c r="A1463" s="6" t="s">
        <v>2867</v>
      </c>
      <c r="B1463" s="7" t="s">
        <v>572</v>
      </c>
      <c r="C1463" s="15">
        <v>45409</v>
      </c>
      <c r="D1463" s="7" t="s">
        <v>659</v>
      </c>
      <c r="E1463" s="7" t="s">
        <v>660</v>
      </c>
      <c r="F1463" s="7">
        <v>19.989999999999998</v>
      </c>
      <c r="G1463" s="7">
        <v>1</v>
      </c>
      <c r="H1463" s="7">
        <v>15</v>
      </c>
      <c r="I1463" s="7">
        <v>16.989999999999998</v>
      </c>
      <c r="J1463" s="7">
        <v>16.989999999999998</v>
      </c>
      <c r="K1463" s="7" t="s">
        <v>682</v>
      </c>
      <c r="L1463" s="7" t="s">
        <v>656</v>
      </c>
      <c r="M1463" s="8">
        <v>4</v>
      </c>
      <c r="N1463">
        <f>VLOOKUP(B1463,Customers!A:J,7,0)</f>
        <v>55</v>
      </c>
      <c r="O1463" t="str">
        <f>VLOOKUP(B1463,Customers!A:J,5,0)</f>
        <v>Jacksonville</v>
      </c>
      <c r="P1463" t="str">
        <f>VLOOKUP(B1463,Customers!A:J,10,0)</f>
        <v>Free</v>
      </c>
      <c r="Q1463" t="str">
        <f>VLOOKUP(B1463,Customers!A:J,8,0)</f>
        <v>Female</v>
      </c>
      <c r="R1463" t="b">
        <f t="shared" si="44"/>
        <v>1</v>
      </c>
      <c r="S1463" s="18">
        <f t="shared" si="45"/>
        <v>45383</v>
      </c>
    </row>
    <row r="1464" spans="1:19" x14ac:dyDescent="0.25">
      <c r="A1464" s="3" t="s">
        <v>2868</v>
      </c>
      <c r="B1464" s="4" t="s">
        <v>572</v>
      </c>
      <c r="C1464" s="14">
        <v>45574</v>
      </c>
      <c r="D1464" s="4" t="s">
        <v>680</v>
      </c>
      <c r="E1464" s="4" t="s">
        <v>681</v>
      </c>
      <c r="F1464" s="4">
        <v>19.989999999999998</v>
      </c>
      <c r="G1464" s="4">
        <v>1</v>
      </c>
      <c r="H1464" s="4">
        <v>0</v>
      </c>
      <c r="I1464" s="4">
        <v>19.989999999999998</v>
      </c>
      <c r="J1464" s="4">
        <v>19.989999999999998</v>
      </c>
      <c r="K1464" s="4" t="s">
        <v>669</v>
      </c>
      <c r="L1464" s="4" t="s">
        <v>656</v>
      </c>
      <c r="M1464" s="5">
        <v>3</v>
      </c>
      <c r="N1464">
        <f>VLOOKUP(B1464,Customers!A:J,7,0)</f>
        <v>55</v>
      </c>
      <c r="O1464" t="str">
        <f>VLOOKUP(B1464,Customers!A:J,5,0)</f>
        <v>Jacksonville</v>
      </c>
      <c r="P1464" t="str">
        <f>VLOOKUP(B1464,Customers!A:J,10,0)</f>
        <v>Free</v>
      </c>
      <c r="Q1464" t="str">
        <f>VLOOKUP(B1464,Customers!A:J,8,0)</f>
        <v>Female</v>
      </c>
      <c r="R1464" t="b">
        <f t="shared" si="44"/>
        <v>1</v>
      </c>
      <c r="S1464" s="18">
        <f t="shared" si="45"/>
        <v>45566</v>
      </c>
    </row>
    <row r="1465" spans="1:19" x14ac:dyDescent="0.25">
      <c r="A1465" s="6" t="s">
        <v>2870</v>
      </c>
      <c r="B1465" s="7" t="s">
        <v>575</v>
      </c>
      <c r="C1465" s="15">
        <v>44726</v>
      </c>
      <c r="D1465" s="7" t="s">
        <v>672</v>
      </c>
      <c r="E1465" s="7" t="s">
        <v>735</v>
      </c>
      <c r="F1465" s="7">
        <v>44.99</v>
      </c>
      <c r="G1465" s="7">
        <v>2</v>
      </c>
      <c r="H1465" s="7">
        <v>0</v>
      </c>
      <c r="I1465" s="7">
        <v>44.99</v>
      </c>
      <c r="J1465" s="7">
        <v>89.98</v>
      </c>
      <c r="K1465" s="7" t="s">
        <v>675</v>
      </c>
      <c r="L1465" s="7" t="s">
        <v>656</v>
      </c>
      <c r="M1465" s="8">
        <v>5</v>
      </c>
      <c r="N1465">
        <f>VLOOKUP(B1465,Customers!A:J,7,0)</f>
        <v>30</v>
      </c>
      <c r="O1465" t="str">
        <f>VLOOKUP(B1465,Customers!A:J,5,0)</f>
        <v>San Antonio</v>
      </c>
      <c r="P1465" t="str">
        <f>VLOOKUP(B1465,Customers!A:J,10,0)</f>
        <v>Silver</v>
      </c>
      <c r="Q1465" t="str">
        <f>VLOOKUP(B1465,Customers!A:J,8,0)</f>
        <v>Male</v>
      </c>
      <c r="R1465" t="b">
        <f t="shared" si="44"/>
        <v>1</v>
      </c>
      <c r="S1465" s="18">
        <f t="shared" si="45"/>
        <v>44713</v>
      </c>
    </row>
    <row r="1466" spans="1:19" x14ac:dyDescent="0.25">
      <c r="A1466" s="3" t="s">
        <v>2871</v>
      </c>
      <c r="B1466" s="4" t="s">
        <v>575</v>
      </c>
      <c r="C1466" s="14">
        <v>45570</v>
      </c>
      <c r="D1466" s="4" t="s">
        <v>653</v>
      </c>
      <c r="E1466" s="4" t="s">
        <v>654</v>
      </c>
      <c r="F1466" s="4">
        <v>39.99</v>
      </c>
      <c r="G1466" s="4">
        <v>3</v>
      </c>
      <c r="H1466" s="4">
        <v>10</v>
      </c>
      <c r="I1466" s="4">
        <v>35.99</v>
      </c>
      <c r="J1466" s="4">
        <v>107.97</v>
      </c>
      <c r="K1466" s="4" t="s">
        <v>682</v>
      </c>
      <c r="L1466" s="4" t="s">
        <v>656</v>
      </c>
      <c r="M1466" s="5">
        <v>4</v>
      </c>
      <c r="N1466">
        <f>VLOOKUP(B1466,Customers!A:J,7,0)</f>
        <v>30</v>
      </c>
      <c r="O1466" t="str">
        <f>VLOOKUP(B1466,Customers!A:J,5,0)</f>
        <v>San Antonio</v>
      </c>
      <c r="P1466" t="str">
        <f>VLOOKUP(B1466,Customers!A:J,10,0)</f>
        <v>Silver</v>
      </c>
      <c r="Q1466" t="str">
        <f>VLOOKUP(B1466,Customers!A:J,8,0)</f>
        <v>Male</v>
      </c>
      <c r="R1466" t="b">
        <f t="shared" si="44"/>
        <v>1</v>
      </c>
      <c r="S1466" s="18">
        <f t="shared" si="45"/>
        <v>45566</v>
      </c>
    </row>
    <row r="1467" spans="1:19" x14ac:dyDescent="0.25">
      <c r="A1467" s="6" t="s">
        <v>2872</v>
      </c>
      <c r="B1467" s="7" t="s">
        <v>575</v>
      </c>
      <c r="C1467" s="15">
        <v>44669</v>
      </c>
      <c r="D1467" s="7" t="s">
        <v>659</v>
      </c>
      <c r="E1467" s="7" t="s">
        <v>762</v>
      </c>
      <c r="F1467" s="7">
        <v>49.99</v>
      </c>
      <c r="G1467" s="7">
        <v>3</v>
      </c>
      <c r="H1467" s="7">
        <v>0</v>
      </c>
      <c r="I1467" s="7">
        <v>49.99</v>
      </c>
      <c r="J1467" s="7">
        <v>149.97</v>
      </c>
      <c r="K1467" s="7" t="s">
        <v>655</v>
      </c>
      <c r="L1467" s="7" t="s">
        <v>656</v>
      </c>
      <c r="M1467" s="8"/>
      <c r="N1467">
        <f>VLOOKUP(B1467,Customers!A:J,7,0)</f>
        <v>30</v>
      </c>
      <c r="O1467" t="str">
        <f>VLOOKUP(B1467,Customers!A:J,5,0)</f>
        <v>San Antonio</v>
      </c>
      <c r="P1467" t="str">
        <f>VLOOKUP(B1467,Customers!A:J,10,0)</f>
        <v>Silver</v>
      </c>
      <c r="Q1467" t="str">
        <f>VLOOKUP(B1467,Customers!A:J,8,0)</f>
        <v>Male</v>
      </c>
      <c r="R1467" t="b">
        <f t="shared" si="44"/>
        <v>1</v>
      </c>
      <c r="S1467" s="18">
        <f t="shared" si="45"/>
        <v>44652</v>
      </c>
    </row>
    <row r="1468" spans="1:19" x14ac:dyDescent="0.25">
      <c r="A1468" s="3" t="s">
        <v>2873</v>
      </c>
      <c r="B1468" s="4" t="s">
        <v>575</v>
      </c>
      <c r="C1468" s="14">
        <v>45593</v>
      </c>
      <c r="D1468" s="4" t="s">
        <v>684</v>
      </c>
      <c r="E1468" s="4" t="s">
        <v>702</v>
      </c>
      <c r="F1468" s="4">
        <v>199.99</v>
      </c>
      <c r="G1468" s="4">
        <v>2</v>
      </c>
      <c r="H1468" s="4">
        <v>10</v>
      </c>
      <c r="I1468" s="4">
        <v>179.99</v>
      </c>
      <c r="J1468" s="4">
        <v>359.98</v>
      </c>
      <c r="K1468" s="4" t="s">
        <v>669</v>
      </c>
      <c r="L1468" s="4" t="s">
        <v>656</v>
      </c>
      <c r="M1468" s="5">
        <v>5</v>
      </c>
      <c r="N1468">
        <f>VLOOKUP(B1468,Customers!A:J,7,0)</f>
        <v>30</v>
      </c>
      <c r="O1468" t="str">
        <f>VLOOKUP(B1468,Customers!A:J,5,0)</f>
        <v>San Antonio</v>
      </c>
      <c r="P1468" t="str">
        <f>VLOOKUP(B1468,Customers!A:J,10,0)</f>
        <v>Silver</v>
      </c>
      <c r="Q1468" t="str">
        <f>VLOOKUP(B1468,Customers!A:J,8,0)</f>
        <v>Male</v>
      </c>
      <c r="R1468" t="b">
        <f t="shared" si="44"/>
        <v>1</v>
      </c>
      <c r="S1468" s="18">
        <f t="shared" si="45"/>
        <v>45566</v>
      </c>
    </row>
    <row r="1469" spans="1:19" x14ac:dyDescent="0.25">
      <c r="A1469" s="6" t="s">
        <v>2875</v>
      </c>
      <c r="B1469" s="7" t="s">
        <v>575</v>
      </c>
      <c r="C1469" s="15">
        <v>45615</v>
      </c>
      <c r="D1469" s="7" t="s">
        <v>684</v>
      </c>
      <c r="E1469" s="7" t="s">
        <v>702</v>
      </c>
      <c r="F1469" s="7">
        <v>199.99</v>
      </c>
      <c r="G1469" s="7">
        <v>2</v>
      </c>
      <c r="H1469" s="7">
        <v>0</v>
      </c>
      <c r="I1469" s="7">
        <v>199.99</v>
      </c>
      <c r="J1469" s="7">
        <v>399.98</v>
      </c>
      <c r="K1469" s="7" t="s">
        <v>655</v>
      </c>
      <c r="L1469" s="7" t="s">
        <v>656</v>
      </c>
      <c r="M1469" s="8">
        <v>4</v>
      </c>
      <c r="N1469">
        <f>VLOOKUP(B1469,Customers!A:J,7,0)</f>
        <v>30</v>
      </c>
      <c r="O1469" t="str">
        <f>VLOOKUP(B1469,Customers!A:J,5,0)</f>
        <v>San Antonio</v>
      </c>
      <c r="P1469" t="str">
        <f>VLOOKUP(B1469,Customers!A:J,10,0)</f>
        <v>Silver</v>
      </c>
      <c r="Q1469" t="str">
        <f>VLOOKUP(B1469,Customers!A:J,8,0)</f>
        <v>Male</v>
      </c>
      <c r="R1469" t="b">
        <f t="shared" si="44"/>
        <v>1</v>
      </c>
      <c r="S1469" s="18">
        <f t="shared" si="45"/>
        <v>45597</v>
      </c>
    </row>
    <row r="1470" spans="1:19" x14ac:dyDescent="0.25">
      <c r="A1470" s="3" t="s">
        <v>2877</v>
      </c>
      <c r="B1470" s="4" t="s">
        <v>578</v>
      </c>
      <c r="C1470" s="14">
        <v>45539</v>
      </c>
      <c r="D1470" s="4" t="s">
        <v>659</v>
      </c>
      <c r="E1470" s="4" t="s">
        <v>664</v>
      </c>
      <c r="F1470" s="4">
        <v>24.99</v>
      </c>
      <c r="G1470" s="4">
        <v>2</v>
      </c>
      <c r="H1470" s="4">
        <v>5</v>
      </c>
      <c r="I1470" s="4">
        <v>23.74</v>
      </c>
      <c r="J1470" s="4">
        <v>47.48</v>
      </c>
      <c r="K1470" s="4" t="s">
        <v>675</v>
      </c>
      <c r="L1470" s="4" t="s">
        <v>656</v>
      </c>
      <c r="M1470" s="5">
        <v>5</v>
      </c>
      <c r="N1470">
        <f>VLOOKUP(B1470,Customers!A:J,7,0)</f>
        <v>46</v>
      </c>
      <c r="O1470" t="str">
        <f>VLOOKUP(B1470,Customers!A:J,5,0)</f>
        <v>Houston</v>
      </c>
      <c r="P1470" t="str">
        <f>VLOOKUP(B1470,Customers!A:J,10,0)</f>
        <v>Free</v>
      </c>
      <c r="Q1470" t="str">
        <f>VLOOKUP(B1470,Customers!A:J,8,0)</f>
        <v>Female</v>
      </c>
      <c r="R1470" t="b">
        <f t="shared" si="44"/>
        <v>1</v>
      </c>
      <c r="S1470" s="18">
        <f t="shared" si="45"/>
        <v>45536</v>
      </c>
    </row>
    <row r="1471" spans="1:19" x14ac:dyDescent="0.25">
      <c r="A1471" s="6" t="s">
        <v>2878</v>
      </c>
      <c r="B1471" s="7" t="s">
        <v>578</v>
      </c>
      <c r="C1471" s="15">
        <v>45070</v>
      </c>
      <c r="D1471" s="7" t="s">
        <v>680</v>
      </c>
      <c r="E1471" s="7" t="s">
        <v>681</v>
      </c>
      <c r="F1471" s="7">
        <v>19.989999999999998</v>
      </c>
      <c r="G1471" s="7">
        <v>1</v>
      </c>
      <c r="H1471" s="7">
        <v>20</v>
      </c>
      <c r="I1471" s="7">
        <v>15.99</v>
      </c>
      <c r="J1471" s="7">
        <v>15.99</v>
      </c>
      <c r="K1471" s="7" t="s">
        <v>675</v>
      </c>
      <c r="L1471" s="7" t="s">
        <v>656</v>
      </c>
      <c r="M1471" s="8">
        <v>5</v>
      </c>
      <c r="N1471">
        <f>VLOOKUP(B1471,Customers!A:J,7,0)</f>
        <v>46</v>
      </c>
      <c r="O1471" t="str">
        <f>VLOOKUP(B1471,Customers!A:J,5,0)</f>
        <v>Houston</v>
      </c>
      <c r="P1471" t="str">
        <f>VLOOKUP(B1471,Customers!A:J,10,0)</f>
        <v>Free</v>
      </c>
      <c r="Q1471" t="str">
        <f>VLOOKUP(B1471,Customers!A:J,8,0)</f>
        <v>Female</v>
      </c>
      <c r="R1471" t="b">
        <f t="shared" si="44"/>
        <v>1</v>
      </c>
      <c r="S1471" s="18">
        <f t="shared" si="45"/>
        <v>45047</v>
      </c>
    </row>
    <row r="1472" spans="1:19" x14ac:dyDescent="0.25">
      <c r="A1472" s="3" t="s">
        <v>2879</v>
      </c>
      <c r="B1472" s="4" t="s">
        <v>578</v>
      </c>
      <c r="C1472" s="14">
        <v>44573</v>
      </c>
      <c r="D1472" s="4" t="s">
        <v>684</v>
      </c>
      <c r="E1472" s="4" t="s">
        <v>702</v>
      </c>
      <c r="F1472" s="4">
        <v>199.99</v>
      </c>
      <c r="G1472" s="4">
        <v>4</v>
      </c>
      <c r="H1472" s="4">
        <v>20</v>
      </c>
      <c r="I1472" s="4">
        <v>159.99</v>
      </c>
      <c r="J1472" s="4">
        <v>639.96</v>
      </c>
      <c r="K1472" s="4" t="s">
        <v>655</v>
      </c>
      <c r="L1472" s="4" t="s">
        <v>656</v>
      </c>
      <c r="M1472" s="5">
        <v>5</v>
      </c>
      <c r="N1472">
        <f>VLOOKUP(B1472,Customers!A:J,7,0)</f>
        <v>46</v>
      </c>
      <c r="O1472" t="str">
        <f>VLOOKUP(B1472,Customers!A:J,5,0)</f>
        <v>Houston</v>
      </c>
      <c r="P1472" t="str">
        <f>VLOOKUP(B1472,Customers!A:J,10,0)</f>
        <v>Free</v>
      </c>
      <c r="Q1472" t="str">
        <f>VLOOKUP(B1472,Customers!A:J,8,0)</f>
        <v>Female</v>
      </c>
      <c r="R1472" t="b">
        <f t="shared" si="44"/>
        <v>1</v>
      </c>
      <c r="S1472" s="18">
        <f t="shared" si="45"/>
        <v>44562</v>
      </c>
    </row>
    <row r="1473" spans="1:19" x14ac:dyDescent="0.25">
      <c r="A1473" s="6" t="s">
        <v>2881</v>
      </c>
      <c r="B1473" s="7" t="s">
        <v>578</v>
      </c>
      <c r="C1473" s="15">
        <v>45214</v>
      </c>
      <c r="D1473" s="7" t="s">
        <v>710</v>
      </c>
      <c r="E1473" s="7" t="s">
        <v>711</v>
      </c>
      <c r="F1473" s="7">
        <v>14.99</v>
      </c>
      <c r="G1473" s="7">
        <v>1</v>
      </c>
      <c r="H1473" s="7">
        <v>0</v>
      </c>
      <c r="I1473" s="7">
        <v>14.99</v>
      </c>
      <c r="J1473" s="7">
        <v>14.99</v>
      </c>
      <c r="K1473" s="7" t="s">
        <v>675</v>
      </c>
      <c r="L1473" s="7" t="s">
        <v>656</v>
      </c>
      <c r="M1473" s="8"/>
      <c r="N1473">
        <f>VLOOKUP(B1473,Customers!A:J,7,0)</f>
        <v>46</v>
      </c>
      <c r="O1473" t="str">
        <f>VLOOKUP(B1473,Customers!A:J,5,0)</f>
        <v>Houston</v>
      </c>
      <c r="P1473" t="str">
        <f>VLOOKUP(B1473,Customers!A:J,10,0)</f>
        <v>Free</v>
      </c>
      <c r="Q1473" t="str">
        <f>VLOOKUP(B1473,Customers!A:J,8,0)</f>
        <v>Female</v>
      </c>
      <c r="R1473" t="b">
        <f t="shared" si="44"/>
        <v>1</v>
      </c>
      <c r="S1473" s="18">
        <f t="shared" si="45"/>
        <v>45200</v>
      </c>
    </row>
    <row r="1474" spans="1:19" x14ac:dyDescent="0.25">
      <c r="A1474" s="3" t="s">
        <v>2882</v>
      </c>
      <c r="B1474" s="4" t="s">
        <v>578</v>
      </c>
      <c r="C1474" s="14">
        <v>44840</v>
      </c>
      <c r="D1474" s="4" t="s">
        <v>684</v>
      </c>
      <c r="E1474" s="4" t="s">
        <v>685</v>
      </c>
      <c r="F1474" s="4">
        <v>49.99</v>
      </c>
      <c r="G1474" s="4">
        <v>4</v>
      </c>
      <c r="H1474" s="4">
        <v>0</v>
      </c>
      <c r="I1474" s="4">
        <v>49.99</v>
      </c>
      <c r="J1474" s="4">
        <v>199.96</v>
      </c>
      <c r="K1474" s="4" t="s">
        <v>675</v>
      </c>
      <c r="L1474" s="4" t="s">
        <v>739</v>
      </c>
      <c r="M1474" s="5">
        <v>3</v>
      </c>
      <c r="N1474">
        <f>VLOOKUP(B1474,Customers!A:J,7,0)</f>
        <v>46</v>
      </c>
      <c r="O1474" t="str">
        <f>VLOOKUP(B1474,Customers!A:J,5,0)</f>
        <v>Houston</v>
      </c>
      <c r="P1474" t="str">
        <f>VLOOKUP(B1474,Customers!A:J,10,0)</f>
        <v>Free</v>
      </c>
      <c r="Q1474" t="str">
        <f>VLOOKUP(B1474,Customers!A:J,8,0)</f>
        <v>Female</v>
      </c>
      <c r="R1474" t="b">
        <f t="shared" si="44"/>
        <v>1</v>
      </c>
      <c r="S1474" s="18">
        <f t="shared" si="45"/>
        <v>44835</v>
      </c>
    </row>
    <row r="1475" spans="1:19" x14ac:dyDescent="0.25">
      <c r="A1475" s="6" t="s">
        <v>2883</v>
      </c>
      <c r="B1475" s="7" t="s">
        <v>578</v>
      </c>
      <c r="C1475" s="15">
        <v>44577</v>
      </c>
      <c r="D1475" s="7" t="s">
        <v>659</v>
      </c>
      <c r="E1475" s="7" t="s">
        <v>664</v>
      </c>
      <c r="F1475" s="7">
        <v>24.99</v>
      </c>
      <c r="G1475" s="7">
        <v>2</v>
      </c>
      <c r="H1475" s="7">
        <v>0</v>
      </c>
      <c r="I1475" s="7">
        <v>24.99</v>
      </c>
      <c r="J1475" s="7">
        <v>49.98</v>
      </c>
      <c r="K1475" s="7" t="s">
        <v>661</v>
      </c>
      <c r="L1475" s="7" t="s">
        <v>788</v>
      </c>
      <c r="M1475" s="8"/>
      <c r="N1475">
        <f>VLOOKUP(B1475,Customers!A:J,7,0)</f>
        <v>46</v>
      </c>
      <c r="O1475" t="str">
        <f>VLOOKUP(B1475,Customers!A:J,5,0)</f>
        <v>Houston</v>
      </c>
      <c r="P1475" t="str">
        <f>VLOOKUP(B1475,Customers!A:J,10,0)</f>
        <v>Free</v>
      </c>
      <c r="Q1475" t="str">
        <f>VLOOKUP(B1475,Customers!A:J,8,0)</f>
        <v>Female</v>
      </c>
      <c r="R1475" t="b">
        <f t="shared" ref="R1475:R1538" si="46">ISNUMBER(C1475)</f>
        <v>1</v>
      </c>
      <c r="S1475" s="18">
        <f t="shared" ref="S1475:S1538" si="47">DATE(YEAR(C1475),MONTH(C1475),1)</f>
        <v>44562</v>
      </c>
    </row>
    <row r="1476" spans="1:19" x14ac:dyDescent="0.25">
      <c r="A1476" s="3" t="s">
        <v>2884</v>
      </c>
      <c r="B1476" s="4" t="s">
        <v>581</v>
      </c>
      <c r="C1476" s="14">
        <v>45602</v>
      </c>
      <c r="D1476" s="4" t="s">
        <v>684</v>
      </c>
      <c r="E1476" s="4" t="s">
        <v>702</v>
      </c>
      <c r="F1476" s="4">
        <v>199.99</v>
      </c>
      <c r="G1476" s="4">
        <v>4</v>
      </c>
      <c r="H1476" s="4">
        <v>5</v>
      </c>
      <c r="I1476" s="4">
        <v>189.99</v>
      </c>
      <c r="J1476" s="4">
        <v>759.96</v>
      </c>
      <c r="K1476" s="4" t="s">
        <v>655</v>
      </c>
      <c r="L1476" s="4" t="s">
        <v>656</v>
      </c>
      <c r="M1476" s="5">
        <v>5</v>
      </c>
      <c r="N1476">
        <f>VLOOKUP(B1476,Customers!A:J,7,0)</f>
        <v>43</v>
      </c>
      <c r="O1476" t="str">
        <f>VLOOKUP(B1476,Customers!A:J,5,0)</f>
        <v>Philadelphia</v>
      </c>
      <c r="P1476" t="str">
        <f>VLOOKUP(B1476,Customers!A:J,10,0)</f>
        <v>Gold</v>
      </c>
      <c r="Q1476" t="str">
        <f>VLOOKUP(B1476,Customers!A:J,8,0)</f>
        <v>Female</v>
      </c>
      <c r="R1476" t="b">
        <f t="shared" si="46"/>
        <v>1</v>
      </c>
      <c r="S1476" s="18">
        <f t="shared" si="47"/>
        <v>45597</v>
      </c>
    </row>
    <row r="1477" spans="1:19" x14ac:dyDescent="0.25">
      <c r="A1477" s="6" t="s">
        <v>2885</v>
      </c>
      <c r="B1477" s="7" t="s">
        <v>581</v>
      </c>
      <c r="C1477" s="15">
        <v>44882</v>
      </c>
      <c r="D1477" s="7" t="s">
        <v>672</v>
      </c>
      <c r="E1477" s="7" t="s">
        <v>673</v>
      </c>
      <c r="F1477" s="7">
        <v>24.99</v>
      </c>
      <c r="G1477" s="7">
        <v>3</v>
      </c>
      <c r="H1477" s="7">
        <v>5</v>
      </c>
      <c r="I1477" s="7">
        <v>23.74</v>
      </c>
      <c r="J1477" s="7">
        <v>71.22</v>
      </c>
      <c r="K1477" s="7" t="s">
        <v>669</v>
      </c>
      <c r="L1477" s="7" t="s">
        <v>656</v>
      </c>
      <c r="M1477" s="8">
        <v>5</v>
      </c>
      <c r="N1477">
        <f>VLOOKUP(B1477,Customers!A:J,7,0)</f>
        <v>43</v>
      </c>
      <c r="O1477" t="str">
        <f>VLOOKUP(B1477,Customers!A:J,5,0)</f>
        <v>Philadelphia</v>
      </c>
      <c r="P1477" t="str">
        <f>VLOOKUP(B1477,Customers!A:J,10,0)</f>
        <v>Gold</v>
      </c>
      <c r="Q1477" t="str">
        <f>VLOOKUP(B1477,Customers!A:J,8,0)</f>
        <v>Female</v>
      </c>
      <c r="R1477" t="b">
        <f t="shared" si="46"/>
        <v>1</v>
      </c>
      <c r="S1477" s="18">
        <f t="shared" si="47"/>
        <v>44866</v>
      </c>
    </row>
    <row r="1478" spans="1:19" x14ac:dyDescent="0.25">
      <c r="A1478" s="3" t="s">
        <v>2886</v>
      </c>
      <c r="B1478" s="4" t="s">
        <v>581</v>
      </c>
      <c r="C1478" s="14">
        <v>45571</v>
      </c>
      <c r="D1478" s="4" t="s">
        <v>684</v>
      </c>
      <c r="E1478" s="4" t="s">
        <v>815</v>
      </c>
      <c r="F1478" s="4">
        <v>34.99</v>
      </c>
      <c r="G1478" s="4">
        <v>4</v>
      </c>
      <c r="H1478" s="4">
        <v>0</v>
      </c>
      <c r="I1478" s="4">
        <v>34.99</v>
      </c>
      <c r="J1478" s="4">
        <v>139.96</v>
      </c>
      <c r="K1478" s="4" t="s">
        <v>682</v>
      </c>
      <c r="L1478" s="4" t="s">
        <v>656</v>
      </c>
      <c r="M1478" s="5">
        <v>2</v>
      </c>
      <c r="N1478">
        <f>VLOOKUP(B1478,Customers!A:J,7,0)</f>
        <v>43</v>
      </c>
      <c r="O1478" t="str">
        <f>VLOOKUP(B1478,Customers!A:J,5,0)</f>
        <v>Philadelphia</v>
      </c>
      <c r="P1478" t="str">
        <f>VLOOKUP(B1478,Customers!A:J,10,0)</f>
        <v>Gold</v>
      </c>
      <c r="Q1478" t="str">
        <f>VLOOKUP(B1478,Customers!A:J,8,0)</f>
        <v>Female</v>
      </c>
      <c r="R1478" t="b">
        <f t="shared" si="46"/>
        <v>1</v>
      </c>
      <c r="S1478" s="18">
        <f t="shared" si="47"/>
        <v>45566</v>
      </c>
    </row>
    <row r="1479" spans="1:19" x14ac:dyDescent="0.25">
      <c r="A1479" s="6" t="s">
        <v>2888</v>
      </c>
      <c r="B1479" s="7" t="s">
        <v>581</v>
      </c>
      <c r="C1479" s="15">
        <v>44608</v>
      </c>
      <c r="D1479" s="7" t="s">
        <v>667</v>
      </c>
      <c r="E1479" s="7" t="s">
        <v>714</v>
      </c>
      <c r="F1479" s="7">
        <v>44.99</v>
      </c>
      <c r="G1479" s="7">
        <v>2</v>
      </c>
      <c r="H1479" s="7">
        <v>20</v>
      </c>
      <c r="I1479" s="7">
        <v>35.99</v>
      </c>
      <c r="J1479" s="7">
        <v>71.98</v>
      </c>
      <c r="K1479" s="7" t="s">
        <v>675</v>
      </c>
      <c r="L1479" s="7" t="s">
        <v>656</v>
      </c>
      <c r="M1479" s="8">
        <v>4</v>
      </c>
      <c r="N1479">
        <f>VLOOKUP(B1479,Customers!A:J,7,0)</f>
        <v>43</v>
      </c>
      <c r="O1479" t="str">
        <f>VLOOKUP(B1479,Customers!A:J,5,0)</f>
        <v>Philadelphia</v>
      </c>
      <c r="P1479" t="str">
        <f>VLOOKUP(B1479,Customers!A:J,10,0)</f>
        <v>Gold</v>
      </c>
      <c r="Q1479" t="str">
        <f>VLOOKUP(B1479,Customers!A:J,8,0)</f>
        <v>Female</v>
      </c>
      <c r="R1479" t="b">
        <f t="shared" si="46"/>
        <v>1</v>
      </c>
      <c r="S1479" s="18">
        <f t="shared" si="47"/>
        <v>44593</v>
      </c>
    </row>
    <row r="1480" spans="1:19" x14ac:dyDescent="0.25">
      <c r="A1480" s="3" t="s">
        <v>2889</v>
      </c>
      <c r="B1480" s="4" t="s">
        <v>581</v>
      </c>
      <c r="C1480" s="14">
        <v>45057</v>
      </c>
      <c r="D1480" s="4" t="s">
        <v>653</v>
      </c>
      <c r="E1480" s="4" t="s">
        <v>727</v>
      </c>
      <c r="F1480" s="4">
        <v>14.99</v>
      </c>
      <c r="G1480" s="4">
        <v>1</v>
      </c>
      <c r="H1480" s="4">
        <v>10</v>
      </c>
      <c r="I1480" s="4">
        <v>13.49</v>
      </c>
      <c r="J1480" s="4">
        <v>13.49</v>
      </c>
      <c r="K1480" s="4" t="s">
        <v>675</v>
      </c>
      <c r="L1480" s="4" t="s">
        <v>656</v>
      </c>
      <c r="M1480" s="5">
        <v>5</v>
      </c>
      <c r="N1480">
        <f>VLOOKUP(B1480,Customers!A:J,7,0)</f>
        <v>43</v>
      </c>
      <c r="O1480" t="str">
        <f>VLOOKUP(B1480,Customers!A:J,5,0)</f>
        <v>Philadelphia</v>
      </c>
      <c r="P1480" t="str">
        <f>VLOOKUP(B1480,Customers!A:J,10,0)</f>
        <v>Gold</v>
      </c>
      <c r="Q1480" t="str">
        <f>VLOOKUP(B1480,Customers!A:J,8,0)</f>
        <v>Female</v>
      </c>
      <c r="R1480" t="b">
        <f t="shared" si="46"/>
        <v>1</v>
      </c>
      <c r="S1480" s="18">
        <f t="shared" si="47"/>
        <v>45047</v>
      </c>
    </row>
    <row r="1481" spans="1:19" x14ac:dyDescent="0.25">
      <c r="A1481" s="6" t="s">
        <v>2890</v>
      </c>
      <c r="B1481" s="7" t="s">
        <v>581</v>
      </c>
      <c r="C1481" s="15">
        <v>45195</v>
      </c>
      <c r="D1481" s="7" t="s">
        <v>653</v>
      </c>
      <c r="E1481" s="7" t="s">
        <v>654</v>
      </c>
      <c r="F1481" s="7">
        <v>39.99</v>
      </c>
      <c r="G1481" s="7">
        <v>2</v>
      </c>
      <c r="H1481" s="7">
        <v>0</v>
      </c>
      <c r="I1481" s="7">
        <v>39.99</v>
      </c>
      <c r="J1481" s="7">
        <v>79.98</v>
      </c>
      <c r="K1481" s="7" t="s">
        <v>682</v>
      </c>
      <c r="L1481" s="7" t="s">
        <v>656</v>
      </c>
      <c r="M1481" s="8">
        <v>5</v>
      </c>
      <c r="N1481">
        <f>VLOOKUP(B1481,Customers!A:J,7,0)</f>
        <v>43</v>
      </c>
      <c r="O1481" t="str">
        <f>VLOOKUP(B1481,Customers!A:J,5,0)</f>
        <v>Philadelphia</v>
      </c>
      <c r="P1481" t="str">
        <f>VLOOKUP(B1481,Customers!A:J,10,0)</f>
        <v>Gold</v>
      </c>
      <c r="Q1481" t="str">
        <f>VLOOKUP(B1481,Customers!A:J,8,0)</f>
        <v>Female</v>
      </c>
      <c r="R1481" t="b">
        <f t="shared" si="46"/>
        <v>1</v>
      </c>
      <c r="S1481" s="18">
        <f t="shared" si="47"/>
        <v>45170</v>
      </c>
    </row>
    <row r="1482" spans="1:19" x14ac:dyDescent="0.25">
      <c r="A1482" s="3" t="s">
        <v>2891</v>
      </c>
      <c r="B1482" s="4" t="s">
        <v>581</v>
      </c>
      <c r="C1482" s="14">
        <v>44908</v>
      </c>
      <c r="D1482" s="4" t="s">
        <v>653</v>
      </c>
      <c r="E1482" s="4" t="s">
        <v>769</v>
      </c>
      <c r="F1482" s="4">
        <v>49.99</v>
      </c>
      <c r="G1482" s="4">
        <v>4</v>
      </c>
      <c r="H1482" s="4">
        <v>20</v>
      </c>
      <c r="I1482" s="4">
        <v>39.99</v>
      </c>
      <c r="J1482" s="4">
        <v>159.96</v>
      </c>
      <c r="K1482" s="4" t="s">
        <v>682</v>
      </c>
      <c r="L1482" s="4" t="s">
        <v>656</v>
      </c>
      <c r="M1482" s="5">
        <v>5</v>
      </c>
      <c r="N1482">
        <f>VLOOKUP(B1482,Customers!A:J,7,0)</f>
        <v>43</v>
      </c>
      <c r="O1482" t="str">
        <f>VLOOKUP(B1482,Customers!A:J,5,0)</f>
        <v>Philadelphia</v>
      </c>
      <c r="P1482" t="str">
        <f>VLOOKUP(B1482,Customers!A:J,10,0)</f>
        <v>Gold</v>
      </c>
      <c r="Q1482" t="str">
        <f>VLOOKUP(B1482,Customers!A:J,8,0)</f>
        <v>Female</v>
      </c>
      <c r="R1482" t="b">
        <f t="shared" si="46"/>
        <v>1</v>
      </c>
      <c r="S1482" s="18">
        <f t="shared" si="47"/>
        <v>44896</v>
      </c>
    </row>
    <row r="1483" spans="1:19" x14ac:dyDescent="0.25">
      <c r="A1483" s="6" t="s">
        <v>2892</v>
      </c>
      <c r="B1483" s="7" t="s">
        <v>584</v>
      </c>
      <c r="C1483" s="15">
        <v>44588</v>
      </c>
      <c r="D1483" s="7" t="s">
        <v>667</v>
      </c>
      <c r="E1483" s="7" t="s">
        <v>714</v>
      </c>
      <c r="F1483" s="7">
        <v>44.99</v>
      </c>
      <c r="G1483" s="7">
        <v>1</v>
      </c>
      <c r="H1483" s="7">
        <v>10</v>
      </c>
      <c r="I1483" s="7">
        <v>40.49</v>
      </c>
      <c r="J1483" s="7">
        <v>40.49</v>
      </c>
      <c r="K1483" s="7" t="s">
        <v>655</v>
      </c>
      <c r="L1483" s="7" t="s">
        <v>656</v>
      </c>
      <c r="M1483" s="8">
        <v>2</v>
      </c>
      <c r="N1483">
        <f>VLOOKUP(B1483,Customers!A:J,7,0)</f>
        <v>21</v>
      </c>
      <c r="O1483" t="str">
        <f>VLOOKUP(B1483,Customers!A:J,5,0)</f>
        <v>Phoenix</v>
      </c>
      <c r="P1483" t="str">
        <f>VLOOKUP(B1483,Customers!A:J,10,0)</f>
        <v>Free</v>
      </c>
      <c r="Q1483" t="str">
        <f>VLOOKUP(B1483,Customers!A:J,8,0)</f>
        <v>Male</v>
      </c>
      <c r="R1483" t="b">
        <f t="shared" si="46"/>
        <v>1</v>
      </c>
      <c r="S1483" s="18">
        <f t="shared" si="47"/>
        <v>44562</v>
      </c>
    </row>
    <row r="1484" spans="1:19" x14ac:dyDescent="0.25">
      <c r="A1484" s="3" t="s">
        <v>2893</v>
      </c>
      <c r="B1484" s="4" t="s">
        <v>584</v>
      </c>
      <c r="C1484" s="14">
        <v>45459</v>
      </c>
      <c r="D1484" s="4" t="s">
        <v>653</v>
      </c>
      <c r="E1484" s="4" t="s">
        <v>727</v>
      </c>
      <c r="F1484" s="4">
        <v>14.99</v>
      </c>
      <c r="G1484" s="4">
        <v>1</v>
      </c>
      <c r="H1484" s="4">
        <v>20</v>
      </c>
      <c r="I1484" s="4">
        <v>11.99</v>
      </c>
      <c r="J1484" s="4">
        <v>11.99</v>
      </c>
      <c r="K1484" s="4" t="s">
        <v>675</v>
      </c>
      <c r="L1484" s="4" t="s">
        <v>656</v>
      </c>
      <c r="M1484" s="5"/>
      <c r="N1484">
        <f>VLOOKUP(B1484,Customers!A:J,7,0)</f>
        <v>21</v>
      </c>
      <c r="O1484" t="str">
        <f>VLOOKUP(B1484,Customers!A:J,5,0)</f>
        <v>Phoenix</v>
      </c>
      <c r="P1484" t="str">
        <f>VLOOKUP(B1484,Customers!A:J,10,0)</f>
        <v>Free</v>
      </c>
      <c r="Q1484" t="str">
        <f>VLOOKUP(B1484,Customers!A:J,8,0)</f>
        <v>Male</v>
      </c>
      <c r="R1484" t="b">
        <f t="shared" si="46"/>
        <v>1</v>
      </c>
      <c r="S1484" s="18">
        <f t="shared" si="47"/>
        <v>45444</v>
      </c>
    </row>
    <row r="1485" spans="1:19" x14ac:dyDescent="0.25">
      <c r="A1485" s="6" t="s">
        <v>2894</v>
      </c>
      <c r="B1485" s="7" t="s">
        <v>584</v>
      </c>
      <c r="C1485" s="15">
        <v>44786</v>
      </c>
      <c r="D1485" s="7" t="s">
        <v>680</v>
      </c>
      <c r="E1485" s="7" t="s">
        <v>749</v>
      </c>
      <c r="F1485" s="7">
        <v>14.99</v>
      </c>
      <c r="G1485" s="7">
        <v>3</v>
      </c>
      <c r="H1485" s="7">
        <v>10</v>
      </c>
      <c r="I1485" s="7">
        <v>13.49</v>
      </c>
      <c r="J1485" s="7">
        <v>40.47</v>
      </c>
      <c r="K1485" s="7" t="s">
        <v>682</v>
      </c>
      <c r="L1485" s="7" t="s">
        <v>656</v>
      </c>
      <c r="M1485" s="8">
        <v>3</v>
      </c>
      <c r="N1485">
        <f>VLOOKUP(B1485,Customers!A:J,7,0)</f>
        <v>21</v>
      </c>
      <c r="O1485" t="str">
        <f>VLOOKUP(B1485,Customers!A:J,5,0)</f>
        <v>Phoenix</v>
      </c>
      <c r="P1485" t="str">
        <f>VLOOKUP(B1485,Customers!A:J,10,0)</f>
        <v>Free</v>
      </c>
      <c r="Q1485" t="str">
        <f>VLOOKUP(B1485,Customers!A:J,8,0)</f>
        <v>Male</v>
      </c>
      <c r="R1485" t="b">
        <f t="shared" si="46"/>
        <v>1</v>
      </c>
      <c r="S1485" s="18">
        <f t="shared" si="47"/>
        <v>44774</v>
      </c>
    </row>
    <row r="1486" spans="1:19" x14ac:dyDescent="0.25">
      <c r="A1486" s="3" t="s">
        <v>2895</v>
      </c>
      <c r="B1486" s="4" t="s">
        <v>584</v>
      </c>
      <c r="C1486" s="14">
        <v>44986</v>
      </c>
      <c r="D1486" s="4" t="s">
        <v>680</v>
      </c>
      <c r="E1486" s="4" t="s">
        <v>708</v>
      </c>
      <c r="F1486" s="4">
        <v>24.99</v>
      </c>
      <c r="G1486" s="4">
        <v>1</v>
      </c>
      <c r="H1486" s="4">
        <v>20</v>
      </c>
      <c r="I1486" s="4">
        <v>19.989999999999998</v>
      </c>
      <c r="J1486" s="4">
        <v>19.989999999999998</v>
      </c>
      <c r="K1486" s="4" t="s">
        <v>661</v>
      </c>
      <c r="L1486" s="4" t="s">
        <v>656</v>
      </c>
      <c r="M1486" s="5"/>
      <c r="N1486">
        <f>VLOOKUP(B1486,Customers!A:J,7,0)</f>
        <v>21</v>
      </c>
      <c r="O1486" t="str">
        <f>VLOOKUP(B1486,Customers!A:J,5,0)</f>
        <v>Phoenix</v>
      </c>
      <c r="P1486" t="str">
        <f>VLOOKUP(B1486,Customers!A:J,10,0)</f>
        <v>Free</v>
      </c>
      <c r="Q1486" t="str">
        <f>VLOOKUP(B1486,Customers!A:J,8,0)</f>
        <v>Male</v>
      </c>
      <c r="R1486" t="b">
        <f t="shared" si="46"/>
        <v>1</v>
      </c>
      <c r="S1486" s="18">
        <f t="shared" si="47"/>
        <v>44986</v>
      </c>
    </row>
    <row r="1487" spans="1:19" x14ac:dyDescent="0.25">
      <c r="A1487" s="6" t="s">
        <v>2896</v>
      </c>
      <c r="B1487" s="7" t="s">
        <v>584</v>
      </c>
      <c r="C1487" s="15">
        <v>45037</v>
      </c>
      <c r="D1487" s="7" t="s">
        <v>672</v>
      </c>
      <c r="E1487" s="7" t="s">
        <v>803</v>
      </c>
      <c r="F1487" s="7">
        <v>69.989999999999995</v>
      </c>
      <c r="G1487" s="7">
        <v>1</v>
      </c>
      <c r="H1487" s="7">
        <v>15</v>
      </c>
      <c r="I1487" s="7">
        <v>59.49</v>
      </c>
      <c r="J1487" s="7">
        <v>59.49</v>
      </c>
      <c r="K1487" s="7" t="s">
        <v>682</v>
      </c>
      <c r="L1487" s="7" t="s">
        <v>656</v>
      </c>
      <c r="M1487" s="8">
        <v>4</v>
      </c>
      <c r="N1487">
        <f>VLOOKUP(B1487,Customers!A:J,7,0)</f>
        <v>21</v>
      </c>
      <c r="O1487" t="str">
        <f>VLOOKUP(B1487,Customers!A:J,5,0)</f>
        <v>Phoenix</v>
      </c>
      <c r="P1487" t="str">
        <f>VLOOKUP(B1487,Customers!A:J,10,0)</f>
        <v>Free</v>
      </c>
      <c r="Q1487" t="str">
        <f>VLOOKUP(B1487,Customers!A:J,8,0)</f>
        <v>Male</v>
      </c>
      <c r="R1487" t="b">
        <f t="shared" si="46"/>
        <v>1</v>
      </c>
      <c r="S1487" s="18">
        <f t="shared" si="47"/>
        <v>45017</v>
      </c>
    </row>
    <row r="1488" spans="1:19" x14ac:dyDescent="0.25">
      <c r="A1488" s="3" t="s">
        <v>2897</v>
      </c>
      <c r="B1488" s="4" t="s">
        <v>584</v>
      </c>
      <c r="C1488" s="14">
        <v>45256</v>
      </c>
      <c r="D1488" s="4" t="s">
        <v>710</v>
      </c>
      <c r="E1488" s="4" t="s">
        <v>730</v>
      </c>
      <c r="F1488" s="4">
        <v>39.99</v>
      </c>
      <c r="G1488" s="4">
        <v>4</v>
      </c>
      <c r="H1488" s="4">
        <v>5</v>
      </c>
      <c r="I1488" s="4">
        <v>37.99</v>
      </c>
      <c r="J1488" s="4">
        <v>151.96</v>
      </c>
      <c r="K1488" s="4" t="s">
        <v>682</v>
      </c>
      <c r="L1488" s="4" t="s">
        <v>656</v>
      </c>
      <c r="M1488" s="5">
        <v>5</v>
      </c>
      <c r="N1488">
        <f>VLOOKUP(B1488,Customers!A:J,7,0)</f>
        <v>21</v>
      </c>
      <c r="O1488" t="str">
        <f>VLOOKUP(B1488,Customers!A:J,5,0)</f>
        <v>Phoenix</v>
      </c>
      <c r="P1488" t="str">
        <f>VLOOKUP(B1488,Customers!A:J,10,0)</f>
        <v>Free</v>
      </c>
      <c r="Q1488" t="str">
        <f>VLOOKUP(B1488,Customers!A:J,8,0)</f>
        <v>Male</v>
      </c>
      <c r="R1488" t="b">
        <f t="shared" si="46"/>
        <v>1</v>
      </c>
      <c r="S1488" s="18">
        <f t="shared" si="47"/>
        <v>45231</v>
      </c>
    </row>
    <row r="1489" spans="1:19" x14ac:dyDescent="0.25">
      <c r="A1489" s="6" t="s">
        <v>2898</v>
      </c>
      <c r="B1489" s="7" t="s">
        <v>584</v>
      </c>
      <c r="C1489" s="15">
        <v>45152</v>
      </c>
      <c r="D1489" s="7" t="s">
        <v>684</v>
      </c>
      <c r="E1489" s="7" t="s">
        <v>815</v>
      </c>
      <c r="F1489" s="7">
        <v>34.99</v>
      </c>
      <c r="G1489" s="7">
        <v>2</v>
      </c>
      <c r="H1489" s="7">
        <v>10</v>
      </c>
      <c r="I1489" s="7">
        <v>31.49</v>
      </c>
      <c r="J1489" s="7">
        <v>62.98</v>
      </c>
      <c r="K1489" s="7" t="s">
        <v>661</v>
      </c>
      <c r="L1489" s="7" t="s">
        <v>656</v>
      </c>
      <c r="M1489" s="8"/>
      <c r="N1489">
        <f>VLOOKUP(B1489,Customers!A:J,7,0)</f>
        <v>21</v>
      </c>
      <c r="O1489" t="str">
        <f>VLOOKUP(B1489,Customers!A:J,5,0)</f>
        <v>Phoenix</v>
      </c>
      <c r="P1489" t="str">
        <f>VLOOKUP(B1489,Customers!A:J,10,0)</f>
        <v>Free</v>
      </c>
      <c r="Q1489" t="str">
        <f>VLOOKUP(B1489,Customers!A:J,8,0)</f>
        <v>Male</v>
      </c>
      <c r="R1489" t="b">
        <f t="shared" si="46"/>
        <v>1</v>
      </c>
      <c r="S1489" s="18">
        <f t="shared" si="47"/>
        <v>45139</v>
      </c>
    </row>
    <row r="1490" spans="1:19" x14ac:dyDescent="0.25">
      <c r="A1490" s="3" t="s">
        <v>2900</v>
      </c>
      <c r="B1490" s="4" t="s">
        <v>584</v>
      </c>
      <c r="C1490" s="14">
        <v>45479</v>
      </c>
      <c r="D1490" s="4" t="s">
        <v>680</v>
      </c>
      <c r="E1490" s="4" t="s">
        <v>749</v>
      </c>
      <c r="F1490" s="4">
        <v>14.99</v>
      </c>
      <c r="G1490" s="4">
        <v>4</v>
      </c>
      <c r="H1490" s="4">
        <v>15</v>
      </c>
      <c r="I1490" s="4">
        <v>12.74</v>
      </c>
      <c r="J1490" s="4">
        <v>50.96</v>
      </c>
      <c r="K1490" s="4" t="s">
        <v>682</v>
      </c>
      <c r="L1490" s="4" t="s">
        <v>656</v>
      </c>
      <c r="M1490" s="5">
        <v>4</v>
      </c>
      <c r="N1490">
        <f>VLOOKUP(B1490,Customers!A:J,7,0)</f>
        <v>21</v>
      </c>
      <c r="O1490" t="str">
        <f>VLOOKUP(B1490,Customers!A:J,5,0)</f>
        <v>Phoenix</v>
      </c>
      <c r="P1490" t="str">
        <f>VLOOKUP(B1490,Customers!A:J,10,0)</f>
        <v>Free</v>
      </c>
      <c r="Q1490" t="str">
        <f>VLOOKUP(B1490,Customers!A:J,8,0)</f>
        <v>Male</v>
      </c>
      <c r="R1490" t="b">
        <f t="shared" si="46"/>
        <v>1</v>
      </c>
      <c r="S1490" s="18">
        <f t="shared" si="47"/>
        <v>45474</v>
      </c>
    </row>
    <row r="1491" spans="1:19" x14ac:dyDescent="0.25">
      <c r="A1491" s="6" t="s">
        <v>2901</v>
      </c>
      <c r="B1491" s="7" t="s">
        <v>584</v>
      </c>
      <c r="C1491" s="15">
        <v>45300</v>
      </c>
      <c r="D1491" s="7" t="s">
        <v>667</v>
      </c>
      <c r="E1491" s="7" t="s">
        <v>668</v>
      </c>
      <c r="F1491" s="7">
        <v>64.989999999999995</v>
      </c>
      <c r="G1491" s="7">
        <v>1</v>
      </c>
      <c r="H1491" s="7">
        <v>0</v>
      </c>
      <c r="I1491" s="7">
        <v>64.989999999999995</v>
      </c>
      <c r="J1491" s="7">
        <v>64.989999999999995</v>
      </c>
      <c r="K1491" s="7" t="s">
        <v>661</v>
      </c>
      <c r="L1491" s="7" t="s">
        <v>656</v>
      </c>
      <c r="M1491" s="8">
        <v>5</v>
      </c>
      <c r="N1491">
        <f>VLOOKUP(B1491,Customers!A:J,7,0)</f>
        <v>21</v>
      </c>
      <c r="O1491" t="str">
        <f>VLOOKUP(B1491,Customers!A:J,5,0)</f>
        <v>Phoenix</v>
      </c>
      <c r="P1491" t="str">
        <f>VLOOKUP(B1491,Customers!A:J,10,0)</f>
        <v>Free</v>
      </c>
      <c r="Q1491" t="str">
        <f>VLOOKUP(B1491,Customers!A:J,8,0)</f>
        <v>Male</v>
      </c>
      <c r="R1491" t="b">
        <f t="shared" si="46"/>
        <v>1</v>
      </c>
      <c r="S1491" s="18">
        <f t="shared" si="47"/>
        <v>45292</v>
      </c>
    </row>
    <row r="1492" spans="1:19" x14ac:dyDescent="0.25">
      <c r="A1492" s="3" t="s">
        <v>2902</v>
      </c>
      <c r="B1492" s="4" t="s">
        <v>584</v>
      </c>
      <c r="C1492" s="14">
        <v>44909</v>
      </c>
      <c r="D1492" s="4" t="s">
        <v>680</v>
      </c>
      <c r="E1492" s="4" t="s">
        <v>688</v>
      </c>
      <c r="F1492" s="4">
        <v>29.99</v>
      </c>
      <c r="G1492" s="4">
        <v>2</v>
      </c>
      <c r="H1492" s="4">
        <v>0</v>
      </c>
      <c r="I1492" s="4">
        <v>29.99</v>
      </c>
      <c r="J1492" s="4">
        <v>59.98</v>
      </c>
      <c r="K1492" s="4" t="s">
        <v>669</v>
      </c>
      <c r="L1492" s="4" t="s">
        <v>656</v>
      </c>
      <c r="M1492" s="5">
        <v>2</v>
      </c>
      <c r="N1492">
        <f>VLOOKUP(B1492,Customers!A:J,7,0)</f>
        <v>21</v>
      </c>
      <c r="O1492" t="str">
        <f>VLOOKUP(B1492,Customers!A:J,5,0)</f>
        <v>Phoenix</v>
      </c>
      <c r="P1492" t="str">
        <f>VLOOKUP(B1492,Customers!A:J,10,0)</f>
        <v>Free</v>
      </c>
      <c r="Q1492" t="str">
        <f>VLOOKUP(B1492,Customers!A:J,8,0)</f>
        <v>Male</v>
      </c>
      <c r="R1492" t="b">
        <f t="shared" si="46"/>
        <v>1</v>
      </c>
      <c r="S1492" s="18">
        <f t="shared" si="47"/>
        <v>44896</v>
      </c>
    </row>
    <row r="1493" spans="1:19" x14ac:dyDescent="0.25">
      <c r="A1493" s="6" t="s">
        <v>2903</v>
      </c>
      <c r="B1493" s="7" t="s">
        <v>584</v>
      </c>
      <c r="C1493" s="15">
        <v>44890</v>
      </c>
      <c r="D1493" s="7" t="s">
        <v>667</v>
      </c>
      <c r="E1493" s="7" t="s">
        <v>668</v>
      </c>
      <c r="F1493" s="7">
        <v>64.989999999999995</v>
      </c>
      <c r="G1493" s="7">
        <v>4</v>
      </c>
      <c r="H1493" s="7">
        <v>15</v>
      </c>
      <c r="I1493" s="7">
        <v>55.24</v>
      </c>
      <c r="J1493" s="7">
        <v>220.96</v>
      </c>
      <c r="K1493" s="7" t="s">
        <v>669</v>
      </c>
      <c r="L1493" s="7" t="s">
        <v>739</v>
      </c>
      <c r="M1493" s="8">
        <v>4</v>
      </c>
      <c r="N1493">
        <f>VLOOKUP(B1493,Customers!A:J,7,0)</f>
        <v>21</v>
      </c>
      <c r="O1493" t="str">
        <f>VLOOKUP(B1493,Customers!A:J,5,0)</f>
        <v>Phoenix</v>
      </c>
      <c r="P1493" t="str">
        <f>VLOOKUP(B1493,Customers!A:J,10,0)</f>
        <v>Free</v>
      </c>
      <c r="Q1493" t="str">
        <f>VLOOKUP(B1493,Customers!A:J,8,0)</f>
        <v>Male</v>
      </c>
      <c r="R1493" t="b">
        <f t="shared" si="46"/>
        <v>1</v>
      </c>
      <c r="S1493" s="18">
        <f t="shared" si="47"/>
        <v>44866</v>
      </c>
    </row>
    <row r="1494" spans="1:19" x14ac:dyDescent="0.25">
      <c r="A1494" s="3" t="s">
        <v>2904</v>
      </c>
      <c r="B1494" s="4" t="s">
        <v>584</v>
      </c>
      <c r="C1494" s="14">
        <v>45374</v>
      </c>
      <c r="D1494" s="4" t="s">
        <v>710</v>
      </c>
      <c r="E1494" s="4" t="s">
        <v>730</v>
      </c>
      <c r="F1494" s="4">
        <v>39.99</v>
      </c>
      <c r="G1494" s="4">
        <v>1</v>
      </c>
      <c r="H1494" s="4">
        <v>0</v>
      </c>
      <c r="I1494" s="4">
        <v>39.99</v>
      </c>
      <c r="J1494" s="4">
        <v>39.99</v>
      </c>
      <c r="K1494" s="4" t="s">
        <v>661</v>
      </c>
      <c r="L1494" s="4" t="s">
        <v>656</v>
      </c>
      <c r="M1494" s="5"/>
      <c r="N1494">
        <f>VLOOKUP(B1494,Customers!A:J,7,0)</f>
        <v>21</v>
      </c>
      <c r="O1494" t="str">
        <f>VLOOKUP(B1494,Customers!A:J,5,0)</f>
        <v>Phoenix</v>
      </c>
      <c r="P1494" t="str">
        <f>VLOOKUP(B1494,Customers!A:J,10,0)</f>
        <v>Free</v>
      </c>
      <c r="Q1494" t="str">
        <f>VLOOKUP(B1494,Customers!A:J,8,0)</f>
        <v>Male</v>
      </c>
      <c r="R1494" t="b">
        <f t="shared" si="46"/>
        <v>1</v>
      </c>
      <c r="S1494" s="18">
        <f t="shared" si="47"/>
        <v>45352</v>
      </c>
    </row>
    <row r="1495" spans="1:19" x14ac:dyDescent="0.25">
      <c r="A1495" s="6" t="s">
        <v>2906</v>
      </c>
      <c r="B1495" s="7" t="s">
        <v>584</v>
      </c>
      <c r="C1495" s="15">
        <v>45243</v>
      </c>
      <c r="D1495" s="7" t="s">
        <v>710</v>
      </c>
      <c r="E1495" s="7" t="s">
        <v>730</v>
      </c>
      <c r="F1495" s="7">
        <v>39.99</v>
      </c>
      <c r="G1495" s="7">
        <v>4</v>
      </c>
      <c r="H1495" s="7">
        <v>0</v>
      </c>
      <c r="I1495" s="7">
        <v>39.99</v>
      </c>
      <c r="J1495" s="7">
        <v>159.96</v>
      </c>
      <c r="K1495" s="7" t="s">
        <v>655</v>
      </c>
      <c r="L1495" s="7" t="s">
        <v>739</v>
      </c>
      <c r="M1495" s="8">
        <v>1</v>
      </c>
      <c r="N1495">
        <f>VLOOKUP(B1495,Customers!A:J,7,0)</f>
        <v>21</v>
      </c>
      <c r="O1495" t="str">
        <f>VLOOKUP(B1495,Customers!A:J,5,0)</f>
        <v>Phoenix</v>
      </c>
      <c r="P1495" t="str">
        <f>VLOOKUP(B1495,Customers!A:J,10,0)</f>
        <v>Free</v>
      </c>
      <c r="Q1495" t="str">
        <f>VLOOKUP(B1495,Customers!A:J,8,0)</f>
        <v>Male</v>
      </c>
      <c r="R1495" t="b">
        <f t="shared" si="46"/>
        <v>1</v>
      </c>
      <c r="S1495" s="18">
        <f t="shared" si="47"/>
        <v>45231</v>
      </c>
    </row>
    <row r="1496" spans="1:19" x14ac:dyDescent="0.25">
      <c r="A1496" s="3" t="s">
        <v>2907</v>
      </c>
      <c r="B1496" s="4" t="s">
        <v>584</v>
      </c>
      <c r="C1496" s="14">
        <v>44896</v>
      </c>
      <c r="D1496" s="4" t="s">
        <v>680</v>
      </c>
      <c r="E1496" s="4" t="s">
        <v>749</v>
      </c>
      <c r="F1496" s="4">
        <v>14.99</v>
      </c>
      <c r="G1496" s="4">
        <v>1</v>
      </c>
      <c r="H1496" s="4">
        <v>15</v>
      </c>
      <c r="I1496" s="4">
        <v>12.74</v>
      </c>
      <c r="J1496" s="4">
        <v>12.74</v>
      </c>
      <c r="K1496" s="4" t="s">
        <v>669</v>
      </c>
      <c r="L1496" s="4" t="s">
        <v>656</v>
      </c>
      <c r="M1496" s="5"/>
      <c r="N1496">
        <f>VLOOKUP(B1496,Customers!A:J,7,0)</f>
        <v>21</v>
      </c>
      <c r="O1496" t="str">
        <f>VLOOKUP(B1496,Customers!A:J,5,0)</f>
        <v>Phoenix</v>
      </c>
      <c r="P1496" t="str">
        <f>VLOOKUP(B1496,Customers!A:J,10,0)</f>
        <v>Free</v>
      </c>
      <c r="Q1496" t="str">
        <f>VLOOKUP(B1496,Customers!A:J,8,0)</f>
        <v>Male</v>
      </c>
      <c r="R1496" t="b">
        <f t="shared" si="46"/>
        <v>1</v>
      </c>
      <c r="S1496" s="18">
        <f t="shared" si="47"/>
        <v>44896</v>
      </c>
    </row>
    <row r="1497" spans="1:19" x14ac:dyDescent="0.25">
      <c r="A1497" s="6" t="s">
        <v>2908</v>
      </c>
      <c r="B1497" s="7" t="s">
        <v>587</v>
      </c>
      <c r="C1497" s="15">
        <v>45224</v>
      </c>
      <c r="D1497" s="7" t="s">
        <v>672</v>
      </c>
      <c r="E1497" s="7" t="s">
        <v>735</v>
      </c>
      <c r="F1497" s="7">
        <v>44.99</v>
      </c>
      <c r="G1497" s="7">
        <v>4</v>
      </c>
      <c r="H1497" s="7">
        <v>0</v>
      </c>
      <c r="I1497" s="7">
        <v>44.99</v>
      </c>
      <c r="J1497" s="7">
        <v>179.96</v>
      </c>
      <c r="K1497" s="7" t="s">
        <v>661</v>
      </c>
      <c r="L1497" s="7" t="s">
        <v>656</v>
      </c>
      <c r="M1497" s="8">
        <v>4</v>
      </c>
      <c r="N1497">
        <f>VLOOKUP(B1497,Customers!A:J,7,0)</f>
        <v>41</v>
      </c>
      <c r="O1497" t="str">
        <f>VLOOKUP(B1497,Customers!A:J,5,0)</f>
        <v>Austin</v>
      </c>
      <c r="P1497" t="str">
        <f>VLOOKUP(B1497,Customers!A:J,10,0)</f>
        <v>Free</v>
      </c>
      <c r="Q1497" t="str">
        <f>VLOOKUP(B1497,Customers!A:J,8,0)</f>
        <v>Male</v>
      </c>
      <c r="R1497" t="b">
        <f t="shared" si="46"/>
        <v>1</v>
      </c>
      <c r="S1497" s="18">
        <f t="shared" si="47"/>
        <v>45200</v>
      </c>
    </row>
    <row r="1498" spans="1:19" x14ac:dyDescent="0.25">
      <c r="A1498" s="3" t="s">
        <v>2909</v>
      </c>
      <c r="B1498" s="4" t="s">
        <v>587</v>
      </c>
      <c r="C1498" s="14">
        <v>44774</v>
      </c>
      <c r="D1498" s="4" t="s">
        <v>667</v>
      </c>
      <c r="E1498" s="4" t="s">
        <v>714</v>
      </c>
      <c r="F1498" s="4">
        <v>44.99</v>
      </c>
      <c r="G1498" s="4">
        <v>3</v>
      </c>
      <c r="H1498" s="4">
        <v>5</v>
      </c>
      <c r="I1498" s="4">
        <v>42.74</v>
      </c>
      <c r="J1498" s="4">
        <v>128.22</v>
      </c>
      <c r="K1498" s="4" t="s">
        <v>669</v>
      </c>
      <c r="L1498" s="4" t="s">
        <v>656</v>
      </c>
      <c r="M1498" s="5">
        <v>4</v>
      </c>
      <c r="N1498">
        <f>VLOOKUP(B1498,Customers!A:J,7,0)</f>
        <v>41</v>
      </c>
      <c r="O1498" t="str">
        <f>VLOOKUP(B1498,Customers!A:J,5,0)</f>
        <v>Austin</v>
      </c>
      <c r="P1498" t="str">
        <f>VLOOKUP(B1498,Customers!A:J,10,0)</f>
        <v>Free</v>
      </c>
      <c r="Q1498" t="str">
        <f>VLOOKUP(B1498,Customers!A:J,8,0)</f>
        <v>Male</v>
      </c>
      <c r="R1498" t="b">
        <f t="shared" si="46"/>
        <v>1</v>
      </c>
      <c r="S1498" s="18">
        <f t="shared" si="47"/>
        <v>44774</v>
      </c>
    </row>
    <row r="1499" spans="1:19" x14ac:dyDescent="0.25">
      <c r="A1499" s="6" t="s">
        <v>2910</v>
      </c>
      <c r="B1499" s="7" t="s">
        <v>587</v>
      </c>
      <c r="C1499" s="15">
        <v>44853</v>
      </c>
      <c r="D1499" s="7" t="s">
        <v>680</v>
      </c>
      <c r="E1499" s="7" t="s">
        <v>688</v>
      </c>
      <c r="F1499" s="7">
        <v>29.99</v>
      </c>
      <c r="G1499" s="7">
        <v>2</v>
      </c>
      <c r="H1499" s="7">
        <v>0</v>
      </c>
      <c r="I1499" s="7">
        <v>29.99</v>
      </c>
      <c r="J1499" s="7">
        <v>59.98</v>
      </c>
      <c r="K1499" s="7" t="s">
        <v>669</v>
      </c>
      <c r="L1499" s="7" t="s">
        <v>656</v>
      </c>
      <c r="M1499" s="8">
        <v>5</v>
      </c>
      <c r="N1499">
        <f>VLOOKUP(B1499,Customers!A:J,7,0)</f>
        <v>41</v>
      </c>
      <c r="O1499" t="str">
        <f>VLOOKUP(B1499,Customers!A:J,5,0)</f>
        <v>Austin</v>
      </c>
      <c r="P1499" t="str">
        <f>VLOOKUP(B1499,Customers!A:J,10,0)</f>
        <v>Free</v>
      </c>
      <c r="Q1499" t="str">
        <f>VLOOKUP(B1499,Customers!A:J,8,0)</f>
        <v>Male</v>
      </c>
      <c r="R1499" t="b">
        <f t="shared" si="46"/>
        <v>1</v>
      </c>
      <c r="S1499" s="18">
        <f t="shared" si="47"/>
        <v>44835</v>
      </c>
    </row>
    <row r="1500" spans="1:19" x14ac:dyDescent="0.25">
      <c r="A1500" s="3" t="s">
        <v>2911</v>
      </c>
      <c r="B1500" s="4" t="s">
        <v>587</v>
      </c>
      <c r="C1500" s="14">
        <v>45303</v>
      </c>
      <c r="D1500" s="4" t="s">
        <v>684</v>
      </c>
      <c r="E1500" s="4" t="s">
        <v>702</v>
      </c>
      <c r="F1500" s="4">
        <v>199.99</v>
      </c>
      <c r="G1500" s="4">
        <v>4</v>
      </c>
      <c r="H1500" s="4">
        <v>0</v>
      </c>
      <c r="I1500" s="4">
        <v>199.99</v>
      </c>
      <c r="J1500" s="4">
        <v>799.96</v>
      </c>
      <c r="K1500" s="4" t="s">
        <v>682</v>
      </c>
      <c r="L1500" s="4" t="s">
        <v>656</v>
      </c>
      <c r="M1500" s="5"/>
      <c r="N1500">
        <f>VLOOKUP(B1500,Customers!A:J,7,0)</f>
        <v>41</v>
      </c>
      <c r="O1500" t="str">
        <f>VLOOKUP(B1500,Customers!A:J,5,0)</f>
        <v>Austin</v>
      </c>
      <c r="P1500" t="str">
        <f>VLOOKUP(B1500,Customers!A:J,10,0)</f>
        <v>Free</v>
      </c>
      <c r="Q1500" t="str">
        <f>VLOOKUP(B1500,Customers!A:J,8,0)</f>
        <v>Male</v>
      </c>
      <c r="R1500" t="b">
        <f t="shared" si="46"/>
        <v>1</v>
      </c>
      <c r="S1500" s="18">
        <f t="shared" si="47"/>
        <v>45292</v>
      </c>
    </row>
    <row r="1501" spans="1:19" x14ac:dyDescent="0.25">
      <c r="A1501" s="6" t="s">
        <v>2912</v>
      </c>
      <c r="B1501" s="7" t="s">
        <v>587</v>
      </c>
      <c r="C1501" s="15">
        <v>45372</v>
      </c>
      <c r="D1501" s="7" t="s">
        <v>672</v>
      </c>
      <c r="E1501" s="7" t="s">
        <v>803</v>
      </c>
      <c r="F1501" s="7">
        <v>69.989999999999995</v>
      </c>
      <c r="G1501" s="7">
        <v>1</v>
      </c>
      <c r="H1501" s="7">
        <v>15</v>
      </c>
      <c r="I1501" s="7">
        <v>59.49</v>
      </c>
      <c r="J1501" s="7">
        <v>59.49</v>
      </c>
      <c r="K1501" s="7" t="s">
        <v>682</v>
      </c>
      <c r="L1501" s="7" t="s">
        <v>656</v>
      </c>
      <c r="M1501" s="8">
        <v>4</v>
      </c>
      <c r="N1501">
        <f>VLOOKUP(B1501,Customers!A:J,7,0)</f>
        <v>41</v>
      </c>
      <c r="O1501" t="str">
        <f>VLOOKUP(B1501,Customers!A:J,5,0)</f>
        <v>Austin</v>
      </c>
      <c r="P1501" t="str">
        <f>VLOOKUP(B1501,Customers!A:J,10,0)</f>
        <v>Free</v>
      </c>
      <c r="Q1501" t="str">
        <f>VLOOKUP(B1501,Customers!A:J,8,0)</f>
        <v>Male</v>
      </c>
      <c r="R1501" t="b">
        <f t="shared" si="46"/>
        <v>1</v>
      </c>
      <c r="S1501" s="18">
        <f t="shared" si="47"/>
        <v>45352</v>
      </c>
    </row>
    <row r="1502" spans="1:19" x14ac:dyDescent="0.25">
      <c r="A1502" s="3" t="s">
        <v>2913</v>
      </c>
      <c r="B1502" s="4" t="s">
        <v>587</v>
      </c>
      <c r="C1502" s="14">
        <v>44871</v>
      </c>
      <c r="D1502" s="4" t="s">
        <v>672</v>
      </c>
      <c r="E1502" s="4" t="s">
        <v>803</v>
      </c>
      <c r="F1502" s="4">
        <v>69.989999999999995</v>
      </c>
      <c r="G1502" s="4">
        <v>1</v>
      </c>
      <c r="H1502" s="4">
        <v>10</v>
      </c>
      <c r="I1502" s="4">
        <v>62.99</v>
      </c>
      <c r="J1502" s="4">
        <v>62.99</v>
      </c>
      <c r="K1502" s="4" t="s">
        <v>669</v>
      </c>
      <c r="L1502" s="4" t="s">
        <v>656</v>
      </c>
      <c r="M1502" s="5"/>
      <c r="N1502">
        <f>VLOOKUP(B1502,Customers!A:J,7,0)</f>
        <v>41</v>
      </c>
      <c r="O1502" t="str">
        <f>VLOOKUP(B1502,Customers!A:J,5,0)</f>
        <v>Austin</v>
      </c>
      <c r="P1502" t="str">
        <f>VLOOKUP(B1502,Customers!A:J,10,0)</f>
        <v>Free</v>
      </c>
      <c r="Q1502" t="str">
        <f>VLOOKUP(B1502,Customers!A:J,8,0)</f>
        <v>Male</v>
      </c>
      <c r="R1502" t="b">
        <f t="shared" si="46"/>
        <v>1</v>
      </c>
      <c r="S1502" s="18">
        <f t="shared" si="47"/>
        <v>44866</v>
      </c>
    </row>
    <row r="1503" spans="1:19" x14ac:dyDescent="0.25">
      <c r="A1503" s="6" t="s">
        <v>2914</v>
      </c>
      <c r="B1503" s="7" t="s">
        <v>587</v>
      </c>
      <c r="C1503" s="15">
        <v>45464</v>
      </c>
      <c r="D1503" s="7" t="s">
        <v>672</v>
      </c>
      <c r="E1503" s="7" t="s">
        <v>724</v>
      </c>
      <c r="F1503" s="7">
        <v>89.99</v>
      </c>
      <c r="G1503" s="7">
        <v>1</v>
      </c>
      <c r="H1503" s="7">
        <v>5</v>
      </c>
      <c r="I1503" s="7">
        <v>85.49</v>
      </c>
      <c r="J1503" s="7">
        <v>85.49</v>
      </c>
      <c r="K1503" s="7" t="s">
        <v>675</v>
      </c>
      <c r="L1503" s="7" t="s">
        <v>788</v>
      </c>
      <c r="M1503" s="8"/>
      <c r="N1503">
        <f>VLOOKUP(B1503,Customers!A:J,7,0)</f>
        <v>41</v>
      </c>
      <c r="O1503" t="str">
        <f>VLOOKUP(B1503,Customers!A:J,5,0)</f>
        <v>Austin</v>
      </c>
      <c r="P1503" t="str">
        <f>VLOOKUP(B1503,Customers!A:J,10,0)</f>
        <v>Free</v>
      </c>
      <c r="Q1503" t="str">
        <f>VLOOKUP(B1503,Customers!A:J,8,0)</f>
        <v>Male</v>
      </c>
      <c r="R1503" t="b">
        <f t="shared" si="46"/>
        <v>1</v>
      </c>
      <c r="S1503" s="18">
        <f t="shared" si="47"/>
        <v>45444</v>
      </c>
    </row>
    <row r="1504" spans="1:19" x14ac:dyDescent="0.25">
      <c r="A1504" s="3" t="s">
        <v>2915</v>
      </c>
      <c r="B1504" s="4" t="s">
        <v>587</v>
      </c>
      <c r="C1504" s="14">
        <v>44850</v>
      </c>
      <c r="D1504" s="4" t="s">
        <v>667</v>
      </c>
      <c r="E1504" s="4" t="s">
        <v>699</v>
      </c>
      <c r="F1504" s="4">
        <v>89.99</v>
      </c>
      <c r="G1504" s="4">
        <v>2</v>
      </c>
      <c r="H1504" s="4">
        <v>15</v>
      </c>
      <c r="I1504" s="4">
        <v>76.489999999999995</v>
      </c>
      <c r="J1504" s="4">
        <v>152.97999999999999</v>
      </c>
      <c r="K1504" s="4" t="s">
        <v>655</v>
      </c>
      <c r="L1504" s="4" t="s">
        <v>656</v>
      </c>
      <c r="M1504" s="5"/>
      <c r="N1504">
        <f>VLOOKUP(B1504,Customers!A:J,7,0)</f>
        <v>41</v>
      </c>
      <c r="O1504" t="str">
        <f>VLOOKUP(B1504,Customers!A:J,5,0)</f>
        <v>Austin</v>
      </c>
      <c r="P1504" t="str">
        <f>VLOOKUP(B1504,Customers!A:J,10,0)</f>
        <v>Free</v>
      </c>
      <c r="Q1504" t="str">
        <f>VLOOKUP(B1504,Customers!A:J,8,0)</f>
        <v>Male</v>
      </c>
      <c r="R1504" t="b">
        <f t="shared" si="46"/>
        <v>1</v>
      </c>
      <c r="S1504" s="18">
        <f t="shared" si="47"/>
        <v>44835</v>
      </c>
    </row>
    <row r="1505" spans="1:19" x14ac:dyDescent="0.25">
      <c r="A1505" s="6" t="s">
        <v>2916</v>
      </c>
      <c r="B1505" s="7" t="s">
        <v>587</v>
      </c>
      <c r="C1505" s="15">
        <v>44575</v>
      </c>
      <c r="D1505" s="7" t="s">
        <v>653</v>
      </c>
      <c r="E1505" s="7" t="s">
        <v>827</v>
      </c>
      <c r="F1505" s="7">
        <v>29.99</v>
      </c>
      <c r="G1505" s="7">
        <v>1</v>
      </c>
      <c r="H1505" s="7">
        <v>0</v>
      </c>
      <c r="I1505" s="7">
        <v>29.99</v>
      </c>
      <c r="J1505" s="7">
        <v>29.99</v>
      </c>
      <c r="K1505" s="7" t="s">
        <v>655</v>
      </c>
      <c r="L1505" s="7" t="s">
        <v>656</v>
      </c>
      <c r="M1505" s="8"/>
      <c r="N1505">
        <f>VLOOKUP(B1505,Customers!A:J,7,0)</f>
        <v>41</v>
      </c>
      <c r="O1505" t="str">
        <f>VLOOKUP(B1505,Customers!A:J,5,0)</f>
        <v>Austin</v>
      </c>
      <c r="P1505" t="str">
        <f>VLOOKUP(B1505,Customers!A:J,10,0)</f>
        <v>Free</v>
      </c>
      <c r="Q1505" t="str">
        <f>VLOOKUP(B1505,Customers!A:J,8,0)</f>
        <v>Male</v>
      </c>
      <c r="R1505" t="b">
        <f t="shared" si="46"/>
        <v>1</v>
      </c>
      <c r="S1505" s="18">
        <f t="shared" si="47"/>
        <v>44562</v>
      </c>
    </row>
    <row r="1506" spans="1:19" x14ac:dyDescent="0.25">
      <c r="A1506" s="3" t="s">
        <v>2918</v>
      </c>
      <c r="B1506" s="4" t="s">
        <v>587</v>
      </c>
      <c r="C1506" s="14">
        <v>45650</v>
      </c>
      <c r="D1506" s="4" t="s">
        <v>672</v>
      </c>
      <c r="E1506" s="4" t="s">
        <v>673</v>
      </c>
      <c r="F1506" s="4">
        <v>24.99</v>
      </c>
      <c r="G1506" s="4">
        <v>2</v>
      </c>
      <c r="H1506" s="4">
        <v>10</v>
      </c>
      <c r="I1506" s="4">
        <v>22.49</v>
      </c>
      <c r="J1506" s="4">
        <v>44.98</v>
      </c>
      <c r="K1506" s="4" t="s">
        <v>682</v>
      </c>
      <c r="L1506" s="4" t="s">
        <v>788</v>
      </c>
      <c r="M1506" s="5"/>
      <c r="N1506">
        <f>VLOOKUP(B1506,Customers!A:J,7,0)</f>
        <v>41</v>
      </c>
      <c r="O1506" t="str">
        <f>VLOOKUP(B1506,Customers!A:J,5,0)</f>
        <v>Austin</v>
      </c>
      <c r="P1506" t="str">
        <f>VLOOKUP(B1506,Customers!A:J,10,0)</f>
        <v>Free</v>
      </c>
      <c r="Q1506" t="str">
        <f>VLOOKUP(B1506,Customers!A:J,8,0)</f>
        <v>Male</v>
      </c>
      <c r="R1506" t="b">
        <f t="shared" si="46"/>
        <v>1</v>
      </c>
      <c r="S1506" s="18">
        <f t="shared" si="47"/>
        <v>45627</v>
      </c>
    </row>
    <row r="1507" spans="1:19" x14ac:dyDescent="0.25">
      <c r="A1507" s="6" t="s">
        <v>2920</v>
      </c>
      <c r="B1507" s="7" t="s">
        <v>587</v>
      </c>
      <c r="C1507" s="15">
        <v>45104</v>
      </c>
      <c r="D1507" s="7" t="s">
        <v>653</v>
      </c>
      <c r="E1507" s="7" t="s">
        <v>654</v>
      </c>
      <c r="F1507" s="7">
        <v>39.99</v>
      </c>
      <c r="G1507" s="7">
        <v>4</v>
      </c>
      <c r="H1507" s="7">
        <v>20</v>
      </c>
      <c r="I1507" s="7">
        <v>31.99</v>
      </c>
      <c r="J1507" s="7">
        <v>127.96</v>
      </c>
      <c r="K1507" s="7" t="s">
        <v>669</v>
      </c>
      <c r="L1507" s="7" t="s">
        <v>785</v>
      </c>
      <c r="M1507" s="8">
        <v>4</v>
      </c>
      <c r="N1507">
        <f>VLOOKUP(B1507,Customers!A:J,7,0)</f>
        <v>41</v>
      </c>
      <c r="O1507" t="str">
        <f>VLOOKUP(B1507,Customers!A:J,5,0)</f>
        <v>Austin</v>
      </c>
      <c r="P1507" t="str">
        <f>VLOOKUP(B1507,Customers!A:J,10,0)</f>
        <v>Free</v>
      </c>
      <c r="Q1507" t="str">
        <f>VLOOKUP(B1507,Customers!A:J,8,0)</f>
        <v>Male</v>
      </c>
      <c r="R1507" t="b">
        <f t="shared" si="46"/>
        <v>1</v>
      </c>
      <c r="S1507" s="18">
        <f t="shared" si="47"/>
        <v>45078</v>
      </c>
    </row>
    <row r="1508" spans="1:19" x14ac:dyDescent="0.25">
      <c r="A1508" s="3" t="s">
        <v>2921</v>
      </c>
      <c r="B1508" s="4" t="s">
        <v>587</v>
      </c>
      <c r="C1508" s="14">
        <v>44922</v>
      </c>
      <c r="D1508" s="4" t="s">
        <v>672</v>
      </c>
      <c r="E1508" s="4" t="s">
        <v>803</v>
      </c>
      <c r="F1508" s="4">
        <v>69.989999999999995</v>
      </c>
      <c r="G1508" s="4">
        <v>3</v>
      </c>
      <c r="H1508" s="4">
        <v>15</v>
      </c>
      <c r="I1508" s="4">
        <v>59.49</v>
      </c>
      <c r="J1508" s="4">
        <v>178.47</v>
      </c>
      <c r="K1508" s="4" t="s">
        <v>682</v>
      </c>
      <c r="L1508" s="4" t="s">
        <v>656</v>
      </c>
      <c r="M1508" s="5"/>
      <c r="N1508">
        <f>VLOOKUP(B1508,Customers!A:J,7,0)</f>
        <v>41</v>
      </c>
      <c r="O1508" t="str">
        <f>VLOOKUP(B1508,Customers!A:J,5,0)</f>
        <v>Austin</v>
      </c>
      <c r="P1508" t="str">
        <f>VLOOKUP(B1508,Customers!A:J,10,0)</f>
        <v>Free</v>
      </c>
      <c r="Q1508" t="str">
        <f>VLOOKUP(B1508,Customers!A:J,8,0)</f>
        <v>Male</v>
      </c>
      <c r="R1508" t="b">
        <f t="shared" si="46"/>
        <v>1</v>
      </c>
      <c r="S1508" s="18">
        <f t="shared" si="47"/>
        <v>44896</v>
      </c>
    </row>
    <row r="1509" spans="1:19" x14ac:dyDescent="0.25">
      <c r="A1509" s="6" t="s">
        <v>2922</v>
      </c>
      <c r="B1509" s="7" t="s">
        <v>587</v>
      </c>
      <c r="C1509" s="15">
        <v>45102</v>
      </c>
      <c r="D1509" s="7" t="s">
        <v>710</v>
      </c>
      <c r="E1509" s="7" t="s">
        <v>744</v>
      </c>
      <c r="F1509" s="7">
        <v>29.99</v>
      </c>
      <c r="G1509" s="7">
        <v>3</v>
      </c>
      <c r="H1509" s="7">
        <v>0</v>
      </c>
      <c r="I1509" s="7">
        <v>29.99</v>
      </c>
      <c r="J1509" s="7">
        <v>89.97</v>
      </c>
      <c r="K1509" s="7" t="s">
        <v>655</v>
      </c>
      <c r="L1509" s="7" t="s">
        <v>656</v>
      </c>
      <c r="M1509" s="8">
        <v>5</v>
      </c>
      <c r="N1509">
        <f>VLOOKUP(B1509,Customers!A:J,7,0)</f>
        <v>41</v>
      </c>
      <c r="O1509" t="str">
        <f>VLOOKUP(B1509,Customers!A:J,5,0)</f>
        <v>Austin</v>
      </c>
      <c r="P1509" t="str">
        <f>VLOOKUP(B1509,Customers!A:J,10,0)</f>
        <v>Free</v>
      </c>
      <c r="Q1509" t="str">
        <f>VLOOKUP(B1509,Customers!A:J,8,0)</f>
        <v>Male</v>
      </c>
      <c r="R1509" t="b">
        <f t="shared" si="46"/>
        <v>1</v>
      </c>
      <c r="S1509" s="18">
        <f t="shared" si="47"/>
        <v>45078</v>
      </c>
    </row>
    <row r="1510" spans="1:19" x14ac:dyDescent="0.25">
      <c r="A1510" s="3" t="s">
        <v>2923</v>
      </c>
      <c r="B1510" s="4" t="s">
        <v>587</v>
      </c>
      <c r="C1510" s="14">
        <v>45152</v>
      </c>
      <c r="D1510" s="4" t="s">
        <v>653</v>
      </c>
      <c r="E1510" s="4" t="s">
        <v>827</v>
      </c>
      <c r="F1510" s="4">
        <v>29.99</v>
      </c>
      <c r="G1510" s="4">
        <v>1</v>
      </c>
      <c r="H1510" s="4">
        <v>0</v>
      </c>
      <c r="I1510" s="4">
        <v>29.99</v>
      </c>
      <c r="J1510" s="4">
        <v>29.99</v>
      </c>
      <c r="K1510" s="4" t="s">
        <v>675</v>
      </c>
      <c r="L1510" s="4" t="s">
        <v>656</v>
      </c>
      <c r="M1510" s="5">
        <v>3</v>
      </c>
      <c r="N1510">
        <f>VLOOKUP(B1510,Customers!A:J,7,0)</f>
        <v>41</v>
      </c>
      <c r="O1510" t="str">
        <f>VLOOKUP(B1510,Customers!A:J,5,0)</f>
        <v>Austin</v>
      </c>
      <c r="P1510" t="str">
        <f>VLOOKUP(B1510,Customers!A:J,10,0)</f>
        <v>Free</v>
      </c>
      <c r="Q1510" t="str">
        <f>VLOOKUP(B1510,Customers!A:J,8,0)</f>
        <v>Male</v>
      </c>
      <c r="R1510" t="b">
        <f t="shared" si="46"/>
        <v>1</v>
      </c>
      <c r="S1510" s="18">
        <f t="shared" si="47"/>
        <v>45139</v>
      </c>
    </row>
    <row r="1511" spans="1:19" x14ac:dyDescent="0.25">
      <c r="A1511" s="6" t="s">
        <v>2924</v>
      </c>
      <c r="B1511" s="7" t="s">
        <v>587</v>
      </c>
      <c r="C1511" s="15">
        <v>44835</v>
      </c>
      <c r="D1511" s="7" t="s">
        <v>659</v>
      </c>
      <c r="E1511" s="7" t="s">
        <v>660</v>
      </c>
      <c r="F1511" s="7">
        <v>19.989999999999998</v>
      </c>
      <c r="G1511" s="7">
        <v>4</v>
      </c>
      <c r="H1511" s="7">
        <v>0</v>
      </c>
      <c r="I1511" s="7">
        <v>19.989999999999998</v>
      </c>
      <c r="J1511" s="7">
        <v>79.959999999999994</v>
      </c>
      <c r="K1511" s="7" t="s">
        <v>661</v>
      </c>
      <c r="L1511" s="7" t="s">
        <v>656</v>
      </c>
      <c r="M1511" s="8">
        <v>5</v>
      </c>
      <c r="N1511">
        <f>VLOOKUP(B1511,Customers!A:J,7,0)</f>
        <v>41</v>
      </c>
      <c r="O1511" t="str">
        <f>VLOOKUP(B1511,Customers!A:J,5,0)</f>
        <v>Austin</v>
      </c>
      <c r="P1511" t="str">
        <f>VLOOKUP(B1511,Customers!A:J,10,0)</f>
        <v>Free</v>
      </c>
      <c r="Q1511" t="str">
        <f>VLOOKUP(B1511,Customers!A:J,8,0)</f>
        <v>Male</v>
      </c>
      <c r="R1511" t="b">
        <f t="shared" si="46"/>
        <v>1</v>
      </c>
      <c r="S1511" s="18">
        <f t="shared" si="47"/>
        <v>44835</v>
      </c>
    </row>
    <row r="1512" spans="1:19" x14ac:dyDescent="0.25">
      <c r="A1512" s="3" t="s">
        <v>2925</v>
      </c>
      <c r="B1512" s="4" t="s">
        <v>590</v>
      </c>
      <c r="C1512" s="14">
        <v>44995</v>
      </c>
      <c r="D1512" s="4" t="s">
        <v>710</v>
      </c>
      <c r="E1512" s="4" t="s">
        <v>721</v>
      </c>
      <c r="F1512" s="4">
        <v>24.99</v>
      </c>
      <c r="G1512" s="4">
        <v>2</v>
      </c>
      <c r="H1512" s="4">
        <v>0</v>
      </c>
      <c r="I1512" s="4">
        <v>24.99</v>
      </c>
      <c r="J1512" s="4">
        <v>49.98</v>
      </c>
      <c r="K1512" s="4" t="s">
        <v>675</v>
      </c>
      <c r="L1512" s="4" t="s">
        <v>656</v>
      </c>
      <c r="M1512" s="5">
        <v>3</v>
      </c>
      <c r="N1512">
        <f>VLOOKUP(B1512,Customers!A:J,7,0)</f>
        <v>60</v>
      </c>
      <c r="O1512" t="str">
        <f>VLOOKUP(B1512,Customers!A:J,5,0)</f>
        <v>Jacksonville</v>
      </c>
      <c r="P1512" t="str">
        <f>VLOOKUP(B1512,Customers!A:J,10,0)</f>
        <v>Platinum</v>
      </c>
      <c r="Q1512" t="str">
        <f>VLOOKUP(B1512,Customers!A:J,8,0)</f>
        <v>Female</v>
      </c>
      <c r="R1512" t="b">
        <f t="shared" si="46"/>
        <v>1</v>
      </c>
      <c r="S1512" s="18">
        <f t="shared" si="47"/>
        <v>44986</v>
      </c>
    </row>
    <row r="1513" spans="1:19" x14ac:dyDescent="0.25">
      <c r="A1513" s="6" t="s">
        <v>2927</v>
      </c>
      <c r="B1513" s="7" t="s">
        <v>590</v>
      </c>
      <c r="C1513" s="15">
        <v>45272</v>
      </c>
      <c r="D1513" s="7" t="s">
        <v>684</v>
      </c>
      <c r="E1513" s="7" t="s">
        <v>702</v>
      </c>
      <c r="F1513" s="7">
        <v>199.99</v>
      </c>
      <c r="G1513" s="7">
        <v>1</v>
      </c>
      <c r="H1513" s="7">
        <v>10</v>
      </c>
      <c r="I1513" s="7">
        <v>179.99</v>
      </c>
      <c r="J1513" s="7">
        <v>179.99</v>
      </c>
      <c r="K1513" s="7" t="s">
        <v>661</v>
      </c>
      <c r="L1513" s="7" t="s">
        <v>656</v>
      </c>
      <c r="M1513" s="8">
        <v>4</v>
      </c>
      <c r="N1513">
        <f>VLOOKUP(B1513,Customers!A:J,7,0)</f>
        <v>60</v>
      </c>
      <c r="O1513" t="str">
        <f>VLOOKUP(B1513,Customers!A:J,5,0)</f>
        <v>Jacksonville</v>
      </c>
      <c r="P1513" t="str">
        <f>VLOOKUP(B1513,Customers!A:J,10,0)</f>
        <v>Platinum</v>
      </c>
      <c r="Q1513" t="str">
        <f>VLOOKUP(B1513,Customers!A:J,8,0)</f>
        <v>Female</v>
      </c>
      <c r="R1513" t="b">
        <f t="shared" si="46"/>
        <v>1</v>
      </c>
      <c r="S1513" s="18">
        <f t="shared" si="47"/>
        <v>45261</v>
      </c>
    </row>
    <row r="1514" spans="1:19" x14ac:dyDescent="0.25">
      <c r="A1514" s="3" t="s">
        <v>2928</v>
      </c>
      <c r="B1514" s="4" t="s">
        <v>590</v>
      </c>
      <c r="C1514" s="14">
        <v>44856</v>
      </c>
      <c r="D1514" s="4" t="s">
        <v>659</v>
      </c>
      <c r="E1514" s="4" t="s">
        <v>664</v>
      </c>
      <c r="F1514" s="4">
        <v>24.99</v>
      </c>
      <c r="G1514" s="4">
        <v>4</v>
      </c>
      <c r="H1514" s="4">
        <v>5</v>
      </c>
      <c r="I1514" s="4">
        <v>23.74</v>
      </c>
      <c r="J1514" s="4">
        <v>94.96</v>
      </c>
      <c r="K1514" s="4" t="s">
        <v>675</v>
      </c>
      <c r="L1514" s="4" t="s">
        <v>656</v>
      </c>
      <c r="M1514" s="5">
        <v>4</v>
      </c>
      <c r="N1514">
        <f>VLOOKUP(B1514,Customers!A:J,7,0)</f>
        <v>60</v>
      </c>
      <c r="O1514" t="str">
        <f>VLOOKUP(B1514,Customers!A:J,5,0)</f>
        <v>Jacksonville</v>
      </c>
      <c r="P1514" t="str">
        <f>VLOOKUP(B1514,Customers!A:J,10,0)</f>
        <v>Platinum</v>
      </c>
      <c r="Q1514" t="str">
        <f>VLOOKUP(B1514,Customers!A:J,8,0)</f>
        <v>Female</v>
      </c>
      <c r="R1514" t="b">
        <f t="shared" si="46"/>
        <v>1</v>
      </c>
      <c r="S1514" s="18">
        <f t="shared" si="47"/>
        <v>44835</v>
      </c>
    </row>
    <row r="1515" spans="1:19" x14ac:dyDescent="0.25">
      <c r="A1515" s="6" t="s">
        <v>2929</v>
      </c>
      <c r="B1515" s="7" t="s">
        <v>590</v>
      </c>
      <c r="C1515" s="15">
        <v>44971</v>
      </c>
      <c r="D1515" s="7" t="s">
        <v>672</v>
      </c>
      <c r="E1515" s="7" t="s">
        <v>673</v>
      </c>
      <c r="F1515" s="7">
        <v>24.99</v>
      </c>
      <c r="G1515" s="7">
        <v>2</v>
      </c>
      <c r="H1515" s="7">
        <v>0</v>
      </c>
      <c r="I1515" s="7">
        <v>24.99</v>
      </c>
      <c r="J1515" s="7">
        <v>49.98</v>
      </c>
      <c r="K1515" s="7" t="s">
        <v>675</v>
      </c>
      <c r="L1515" s="7" t="s">
        <v>656</v>
      </c>
      <c r="M1515" s="8"/>
      <c r="N1515">
        <f>VLOOKUP(B1515,Customers!A:J,7,0)</f>
        <v>60</v>
      </c>
      <c r="O1515" t="str">
        <f>VLOOKUP(B1515,Customers!A:J,5,0)</f>
        <v>Jacksonville</v>
      </c>
      <c r="P1515" t="str">
        <f>VLOOKUP(B1515,Customers!A:J,10,0)</f>
        <v>Platinum</v>
      </c>
      <c r="Q1515" t="str">
        <f>VLOOKUP(B1515,Customers!A:J,8,0)</f>
        <v>Female</v>
      </c>
      <c r="R1515" t="b">
        <f t="shared" si="46"/>
        <v>1</v>
      </c>
      <c r="S1515" s="18">
        <f t="shared" si="47"/>
        <v>44958</v>
      </c>
    </row>
    <row r="1516" spans="1:19" x14ac:dyDescent="0.25">
      <c r="A1516" s="3" t="s">
        <v>2930</v>
      </c>
      <c r="B1516" s="4" t="s">
        <v>590</v>
      </c>
      <c r="C1516" s="14">
        <v>44980</v>
      </c>
      <c r="D1516" s="4" t="s">
        <v>659</v>
      </c>
      <c r="E1516" s="4" t="s">
        <v>820</v>
      </c>
      <c r="F1516" s="4">
        <v>39.99</v>
      </c>
      <c r="G1516" s="4">
        <v>3</v>
      </c>
      <c r="H1516" s="4">
        <v>15</v>
      </c>
      <c r="I1516" s="4">
        <v>33.99</v>
      </c>
      <c r="J1516" s="4">
        <v>101.97</v>
      </c>
      <c r="K1516" s="4" t="s">
        <v>661</v>
      </c>
      <c r="L1516" s="4" t="s">
        <v>656</v>
      </c>
      <c r="M1516" s="5">
        <v>4</v>
      </c>
      <c r="N1516">
        <f>VLOOKUP(B1516,Customers!A:J,7,0)</f>
        <v>60</v>
      </c>
      <c r="O1516" t="str">
        <f>VLOOKUP(B1516,Customers!A:J,5,0)</f>
        <v>Jacksonville</v>
      </c>
      <c r="P1516" t="str">
        <f>VLOOKUP(B1516,Customers!A:J,10,0)</f>
        <v>Platinum</v>
      </c>
      <c r="Q1516" t="str">
        <f>VLOOKUP(B1516,Customers!A:J,8,0)</f>
        <v>Female</v>
      </c>
      <c r="R1516" t="b">
        <f t="shared" si="46"/>
        <v>1</v>
      </c>
      <c r="S1516" s="18">
        <f t="shared" si="47"/>
        <v>44958</v>
      </c>
    </row>
    <row r="1517" spans="1:19" x14ac:dyDescent="0.25">
      <c r="A1517" s="6" t="s">
        <v>2931</v>
      </c>
      <c r="B1517" s="7" t="s">
        <v>590</v>
      </c>
      <c r="C1517" s="15">
        <v>45405</v>
      </c>
      <c r="D1517" s="7" t="s">
        <v>710</v>
      </c>
      <c r="E1517" s="7" t="s">
        <v>730</v>
      </c>
      <c r="F1517" s="7">
        <v>39.99</v>
      </c>
      <c r="G1517" s="7">
        <v>1</v>
      </c>
      <c r="H1517" s="7">
        <v>0</v>
      </c>
      <c r="I1517" s="7">
        <v>39.99</v>
      </c>
      <c r="J1517" s="7">
        <v>39.99</v>
      </c>
      <c r="K1517" s="7" t="s">
        <v>669</v>
      </c>
      <c r="L1517" s="7" t="s">
        <v>656</v>
      </c>
      <c r="M1517" s="8">
        <v>5</v>
      </c>
      <c r="N1517">
        <f>VLOOKUP(B1517,Customers!A:J,7,0)</f>
        <v>60</v>
      </c>
      <c r="O1517" t="str">
        <f>VLOOKUP(B1517,Customers!A:J,5,0)</f>
        <v>Jacksonville</v>
      </c>
      <c r="P1517" t="str">
        <f>VLOOKUP(B1517,Customers!A:J,10,0)</f>
        <v>Platinum</v>
      </c>
      <c r="Q1517" t="str">
        <f>VLOOKUP(B1517,Customers!A:J,8,0)</f>
        <v>Female</v>
      </c>
      <c r="R1517" t="b">
        <f t="shared" si="46"/>
        <v>1</v>
      </c>
      <c r="S1517" s="18">
        <f t="shared" si="47"/>
        <v>45383</v>
      </c>
    </row>
    <row r="1518" spans="1:19" x14ac:dyDescent="0.25">
      <c r="A1518" s="3" t="s">
        <v>2932</v>
      </c>
      <c r="B1518" s="4" t="s">
        <v>592</v>
      </c>
      <c r="C1518" s="14">
        <v>44607</v>
      </c>
      <c r="D1518" s="4" t="s">
        <v>667</v>
      </c>
      <c r="E1518" s="4" t="s">
        <v>714</v>
      </c>
      <c r="F1518" s="4">
        <v>44.99</v>
      </c>
      <c r="G1518" s="4">
        <v>4</v>
      </c>
      <c r="H1518" s="4">
        <v>20</v>
      </c>
      <c r="I1518" s="4">
        <v>35.99</v>
      </c>
      <c r="J1518" s="4">
        <v>143.96</v>
      </c>
      <c r="K1518" s="4" t="s">
        <v>682</v>
      </c>
      <c r="L1518" s="4" t="s">
        <v>656</v>
      </c>
      <c r="M1518" s="5">
        <v>4</v>
      </c>
      <c r="N1518">
        <f>VLOOKUP(B1518,Customers!A:J,7,0)</f>
        <v>28</v>
      </c>
      <c r="O1518" t="str">
        <f>VLOOKUP(B1518,Customers!A:J,5,0)</f>
        <v>Los Angeles</v>
      </c>
      <c r="P1518" t="str">
        <f>VLOOKUP(B1518,Customers!A:J,10,0)</f>
        <v>Free</v>
      </c>
      <c r="Q1518" t="str">
        <f>VLOOKUP(B1518,Customers!A:J,8,0)</f>
        <v>Female</v>
      </c>
      <c r="R1518" t="b">
        <f t="shared" si="46"/>
        <v>1</v>
      </c>
      <c r="S1518" s="18">
        <f t="shared" si="47"/>
        <v>44593</v>
      </c>
    </row>
    <row r="1519" spans="1:19" x14ac:dyDescent="0.25">
      <c r="A1519" s="6" t="s">
        <v>2933</v>
      </c>
      <c r="B1519" s="7" t="s">
        <v>592</v>
      </c>
      <c r="C1519" s="15">
        <v>44969</v>
      </c>
      <c r="D1519" s="7" t="s">
        <v>667</v>
      </c>
      <c r="E1519" s="7" t="s">
        <v>696</v>
      </c>
      <c r="F1519" s="7">
        <v>59.99</v>
      </c>
      <c r="G1519" s="7">
        <v>3</v>
      </c>
      <c r="H1519" s="7">
        <v>5</v>
      </c>
      <c r="I1519" s="7">
        <v>56.99</v>
      </c>
      <c r="J1519" s="7">
        <v>170.97</v>
      </c>
      <c r="K1519" s="7" t="s">
        <v>661</v>
      </c>
      <c r="L1519" s="7" t="s">
        <v>788</v>
      </c>
      <c r="M1519" s="8">
        <v>5</v>
      </c>
      <c r="N1519">
        <f>VLOOKUP(B1519,Customers!A:J,7,0)</f>
        <v>28</v>
      </c>
      <c r="O1519" t="str">
        <f>VLOOKUP(B1519,Customers!A:J,5,0)</f>
        <v>Los Angeles</v>
      </c>
      <c r="P1519" t="str">
        <f>VLOOKUP(B1519,Customers!A:J,10,0)</f>
        <v>Free</v>
      </c>
      <c r="Q1519" t="str">
        <f>VLOOKUP(B1519,Customers!A:J,8,0)</f>
        <v>Female</v>
      </c>
      <c r="R1519" t="b">
        <f t="shared" si="46"/>
        <v>1</v>
      </c>
      <c r="S1519" s="18">
        <f t="shared" si="47"/>
        <v>44958</v>
      </c>
    </row>
    <row r="1520" spans="1:19" x14ac:dyDescent="0.25">
      <c r="A1520" s="3" t="s">
        <v>2934</v>
      </c>
      <c r="B1520" s="4" t="s">
        <v>592</v>
      </c>
      <c r="C1520" s="14">
        <v>44623</v>
      </c>
      <c r="D1520" s="4" t="s">
        <v>684</v>
      </c>
      <c r="E1520" s="4" t="s">
        <v>705</v>
      </c>
      <c r="F1520" s="4">
        <v>79.989999999999995</v>
      </c>
      <c r="G1520" s="4">
        <v>1</v>
      </c>
      <c r="H1520" s="4">
        <v>10</v>
      </c>
      <c r="I1520" s="4">
        <v>71.989999999999995</v>
      </c>
      <c r="J1520" s="4">
        <v>71.989999999999995</v>
      </c>
      <c r="K1520" s="4" t="s">
        <v>655</v>
      </c>
      <c r="L1520" s="4" t="s">
        <v>656</v>
      </c>
      <c r="M1520" s="5">
        <v>4</v>
      </c>
      <c r="N1520">
        <f>VLOOKUP(B1520,Customers!A:J,7,0)</f>
        <v>28</v>
      </c>
      <c r="O1520" t="str">
        <f>VLOOKUP(B1520,Customers!A:J,5,0)</f>
        <v>Los Angeles</v>
      </c>
      <c r="P1520" t="str">
        <f>VLOOKUP(B1520,Customers!A:J,10,0)</f>
        <v>Free</v>
      </c>
      <c r="Q1520" t="str">
        <f>VLOOKUP(B1520,Customers!A:J,8,0)</f>
        <v>Female</v>
      </c>
      <c r="R1520" t="b">
        <f t="shared" si="46"/>
        <v>1</v>
      </c>
      <c r="S1520" s="18">
        <f t="shared" si="47"/>
        <v>44621</v>
      </c>
    </row>
    <row r="1521" spans="1:19" x14ac:dyDescent="0.25">
      <c r="A1521" s="6" t="s">
        <v>2935</v>
      </c>
      <c r="B1521" s="7" t="s">
        <v>592</v>
      </c>
      <c r="C1521" s="15">
        <v>45401</v>
      </c>
      <c r="D1521" s="7" t="s">
        <v>667</v>
      </c>
      <c r="E1521" s="7" t="s">
        <v>714</v>
      </c>
      <c r="F1521" s="7">
        <v>44.99</v>
      </c>
      <c r="G1521" s="7">
        <v>2</v>
      </c>
      <c r="H1521" s="7">
        <v>20</v>
      </c>
      <c r="I1521" s="7">
        <v>35.99</v>
      </c>
      <c r="J1521" s="7">
        <v>71.98</v>
      </c>
      <c r="K1521" s="7" t="s">
        <v>669</v>
      </c>
      <c r="L1521" s="7" t="s">
        <v>656</v>
      </c>
      <c r="M1521" s="8"/>
      <c r="N1521">
        <f>VLOOKUP(B1521,Customers!A:J,7,0)</f>
        <v>28</v>
      </c>
      <c r="O1521" t="str">
        <f>VLOOKUP(B1521,Customers!A:J,5,0)</f>
        <v>Los Angeles</v>
      </c>
      <c r="P1521" t="str">
        <f>VLOOKUP(B1521,Customers!A:J,10,0)</f>
        <v>Free</v>
      </c>
      <c r="Q1521" t="str">
        <f>VLOOKUP(B1521,Customers!A:J,8,0)</f>
        <v>Female</v>
      </c>
      <c r="R1521" t="b">
        <f t="shared" si="46"/>
        <v>1</v>
      </c>
      <c r="S1521" s="18">
        <f t="shared" si="47"/>
        <v>45383</v>
      </c>
    </row>
    <row r="1522" spans="1:19" x14ac:dyDescent="0.25">
      <c r="A1522" s="3" t="s">
        <v>2936</v>
      </c>
      <c r="B1522" s="4" t="s">
        <v>594</v>
      </c>
      <c r="C1522" s="14">
        <v>45341</v>
      </c>
      <c r="D1522" s="4" t="s">
        <v>710</v>
      </c>
      <c r="E1522" s="4" t="s">
        <v>711</v>
      </c>
      <c r="F1522" s="4">
        <v>14.99</v>
      </c>
      <c r="G1522" s="4">
        <v>3</v>
      </c>
      <c r="H1522" s="4">
        <v>15</v>
      </c>
      <c r="I1522" s="4">
        <v>12.74</v>
      </c>
      <c r="J1522" s="4">
        <v>38.22</v>
      </c>
      <c r="K1522" s="4" t="s">
        <v>661</v>
      </c>
      <c r="L1522" s="4" t="s">
        <v>656</v>
      </c>
      <c r="M1522" s="5"/>
      <c r="N1522">
        <f>VLOOKUP(B1522,Customers!A:J,7,0)</f>
        <v>21</v>
      </c>
      <c r="O1522" t="str">
        <f>VLOOKUP(B1522,Customers!A:J,5,0)</f>
        <v>San Jose</v>
      </c>
      <c r="P1522" t="str">
        <f>VLOOKUP(B1522,Customers!A:J,10,0)</f>
        <v>Gold</v>
      </c>
      <c r="Q1522" t="str">
        <f>VLOOKUP(B1522,Customers!A:J,8,0)</f>
        <v>Female</v>
      </c>
      <c r="R1522" t="b">
        <f t="shared" si="46"/>
        <v>1</v>
      </c>
      <c r="S1522" s="18">
        <f t="shared" si="47"/>
        <v>45323</v>
      </c>
    </row>
    <row r="1523" spans="1:19" x14ac:dyDescent="0.25">
      <c r="A1523" s="6" t="s">
        <v>2937</v>
      </c>
      <c r="B1523" s="7" t="s">
        <v>594</v>
      </c>
      <c r="C1523" s="15">
        <v>45035</v>
      </c>
      <c r="D1523" s="7" t="s">
        <v>653</v>
      </c>
      <c r="E1523" s="7" t="s">
        <v>769</v>
      </c>
      <c r="F1523" s="7">
        <v>49.99</v>
      </c>
      <c r="G1523" s="7">
        <v>3</v>
      </c>
      <c r="H1523" s="7">
        <v>0</v>
      </c>
      <c r="I1523" s="7">
        <v>49.99</v>
      </c>
      <c r="J1523" s="7">
        <v>149.97</v>
      </c>
      <c r="K1523" s="7" t="s">
        <v>682</v>
      </c>
      <c r="L1523" s="7" t="s">
        <v>656</v>
      </c>
      <c r="M1523" s="8">
        <v>3</v>
      </c>
      <c r="N1523">
        <f>VLOOKUP(B1523,Customers!A:J,7,0)</f>
        <v>21</v>
      </c>
      <c r="O1523" t="str">
        <f>VLOOKUP(B1523,Customers!A:J,5,0)</f>
        <v>San Jose</v>
      </c>
      <c r="P1523" t="str">
        <f>VLOOKUP(B1523,Customers!A:J,10,0)</f>
        <v>Gold</v>
      </c>
      <c r="Q1523" t="str">
        <f>VLOOKUP(B1523,Customers!A:J,8,0)</f>
        <v>Female</v>
      </c>
      <c r="R1523" t="b">
        <f t="shared" si="46"/>
        <v>1</v>
      </c>
      <c r="S1523" s="18">
        <f t="shared" si="47"/>
        <v>45017</v>
      </c>
    </row>
    <row r="1524" spans="1:19" x14ac:dyDescent="0.25">
      <c r="A1524" s="3" t="s">
        <v>2938</v>
      </c>
      <c r="B1524" s="4" t="s">
        <v>594</v>
      </c>
      <c r="C1524" s="14">
        <v>44576</v>
      </c>
      <c r="D1524" s="4" t="s">
        <v>667</v>
      </c>
      <c r="E1524" s="4" t="s">
        <v>714</v>
      </c>
      <c r="F1524" s="4">
        <v>44.99</v>
      </c>
      <c r="G1524" s="4">
        <v>1</v>
      </c>
      <c r="H1524" s="4">
        <v>20</v>
      </c>
      <c r="I1524" s="4">
        <v>35.99</v>
      </c>
      <c r="J1524" s="4">
        <v>35.99</v>
      </c>
      <c r="K1524" s="4" t="s">
        <v>661</v>
      </c>
      <c r="L1524" s="4" t="s">
        <v>656</v>
      </c>
      <c r="M1524" s="5"/>
      <c r="N1524">
        <f>VLOOKUP(B1524,Customers!A:J,7,0)</f>
        <v>21</v>
      </c>
      <c r="O1524" t="str">
        <f>VLOOKUP(B1524,Customers!A:J,5,0)</f>
        <v>San Jose</v>
      </c>
      <c r="P1524" t="str">
        <f>VLOOKUP(B1524,Customers!A:J,10,0)</f>
        <v>Gold</v>
      </c>
      <c r="Q1524" t="str">
        <f>VLOOKUP(B1524,Customers!A:J,8,0)</f>
        <v>Female</v>
      </c>
      <c r="R1524" t="b">
        <f t="shared" si="46"/>
        <v>1</v>
      </c>
      <c r="S1524" s="18">
        <f t="shared" si="47"/>
        <v>44562</v>
      </c>
    </row>
    <row r="1525" spans="1:19" x14ac:dyDescent="0.25">
      <c r="A1525" s="6" t="s">
        <v>2939</v>
      </c>
      <c r="B1525" s="7" t="s">
        <v>594</v>
      </c>
      <c r="C1525" s="15">
        <v>44814</v>
      </c>
      <c r="D1525" s="7" t="s">
        <v>659</v>
      </c>
      <c r="E1525" s="7" t="s">
        <v>660</v>
      </c>
      <c r="F1525" s="7">
        <v>19.989999999999998</v>
      </c>
      <c r="G1525" s="7">
        <v>3</v>
      </c>
      <c r="H1525" s="7">
        <v>5</v>
      </c>
      <c r="I1525" s="7">
        <v>18.989999999999998</v>
      </c>
      <c r="J1525" s="7">
        <v>56.97</v>
      </c>
      <c r="K1525" s="7" t="s">
        <v>661</v>
      </c>
      <c r="L1525" s="7" t="s">
        <v>656</v>
      </c>
      <c r="M1525" s="8"/>
      <c r="N1525">
        <f>VLOOKUP(B1525,Customers!A:J,7,0)</f>
        <v>21</v>
      </c>
      <c r="O1525" t="str">
        <f>VLOOKUP(B1525,Customers!A:J,5,0)</f>
        <v>San Jose</v>
      </c>
      <c r="P1525" t="str">
        <f>VLOOKUP(B1525,Customers!A:J,10,0)</f>
        <v>Gold</v>
      </c>
      <c r="Q1525" t="str">
        <f>VLOOKUP(B1525,Customers!A:J,8,0)</f>
        <v>Female</v>
      </c>
      <c r="R1525" t="b">
        <f t="shared" si="46"/>
        <v>1</v>
      </c>
      <c r="S1525" s="18">
        <f t="shared" si="47"/>
        <v>44805</v>
      </c>
    </row>
    <row r="1526" spans="1:19" x14ac:dyDescent="0.25">
      <c r="A1526" s="3" t="s">
        <v>2940</v>
      </c>
      <c r="B1526" s="4" t="s">
        <v>594</v>
      </c>
      <c r="C1526" s="14">
        <v>44703</v>
      </c>
      <c r="D1526" s="4" t="s">
        <v>684</v>
      </c>
      <c r="E1526" s="4" t="s">
        <v>705</v>
      </c>
      <c r="F1526" s="4">
        <v>79.989999999999995</v>
      </c>
      <c r="G1526" s="4">
        <v>4</v>
      </c>
      <c r="H1526" s="4">
        <v>0</v>
      </c>
      <c r="I1526" s="4">
        <v>79.989999999999995</v>
      </c>
      <c r="J1526" s="4">
        <v>319.95999999999998</v>
      </c>
      <c r="K1526" s="4" t="s">
        <v>675</v>
      </c>
      <c r="L1526" s="4" t="s">
        <v>656</v>
      </c>
      <c r="M1526" s="5"/>
      <c r="N1526">
        <f>VLOOKUP(B1526,Customers!A:J,7,0)</f>
        <v>21</v>
      </c>
      <c r="O1526" t="str">
        <f>VLOOKUP(B1526,Customers!A:J,5,0)</f>
        <v>San Jose</v>
      </c>
      <c r="P1526" t="str">
        <f>VLOOKUP(B1526,Customers!A:J,10,0)</f>
        <v>Gold</v>
      </c>
      <c r="Q1526" t="str">
        <f>VLOOKUP(B1526,Customers!A:J,8,0)</f>
        <v>Female</v>
      </c>
      <c r="R1526" t="b">
        <f t="shared" si="46"/>
        <v>1</v>
      </c>
      <c r="S1526" s="18">
        <f t="shared" si="47"/>
        <v>44682</v>
      </c>
    </row>
    <row r="1527" spans="1:19" x14ac:dyDescent="0.25">
      <c r="A1527" s="6" t="s">
        <v>2941</v>
      </c>
      <c r="B1527" s="7" t="s">
        <v>594</v>
      </c>
      <c r="C1527" s="15">
        <v>44676</v>
      </c>
      <c r="D1527" s="7" t="s">
        <v>680</v>
      </c>
      <c r="E1527" s="7" t="s">
        <v>749</v>
      </c>
      <c r="F1527" s="7">
        <v>14.99</v>
      </c>
      <c r="G1527" s="7">
        <v>3</v>
      </c>
      <c r="H1527" s="7">
        <v>5</v>
      </c>
      <c r="I1527" s="7">
        <v>14.24</v>
      </c>
      <c r="J1527" s="7">
        <v>42.72</v>
      </c>
      <c r="K1527" s="7" t="s">
        <v>669</v>
      </c>
      <c r="L1527" s="7" t="s">
        <v>656</v>
      </c>
      <c r="M1527" s="8">
        <v>4</v>
      </c>
      <c r="N1527">
        <f>VLOOKUP(B1527,Customers!A:J,7,0)</f>
        <v>21</v>
      </c>
      <c r="O1527" t="str">
        <f>VLOOKUP(B1527,Customers!A:J,5,0)</f>
        <v>San Jose</v>
      </c>
      <c r="P1527" t="str">
        <f>VLOOKUP(B1527,Customers!A:J,10,0)</f>
        <v>Gold</v>
      </c>
      <c r="Q1527" t="str">
        <f>VLOOKUP(B1527,Customers!A:J,8,0)</f>
        <v>Female</v>
      </c>
      <c r="R1527" t="b">
        <f t="shared" si="46"/>
        <v>1</v>
      </c>
      <c r="S1527" s="18">
        <f t="shared" si="47"/>
        <v>44652</v>
      </c>
    </row>
    <row r="1528" spans="1:19" x14ac:dyDescent="0.25">
      <c r="A1528" s="3" t="s">
        <v>2942</v>
      </c>
      <c r="B1528" s="4" t="s">
        <v>594</v>
      </c>
      <c r="C1528" s="14">
        <v>45184</v>
      </c>
      <c r="D1528" s="4" t="s">
        <v>653</v>
      </c>
      <c r="E1528" s="4" t="s">
        <v>827</v>
      </c>
      <c r="F1528" s="4">
        <v>29.99</v>
      </c>
      <c r="G1528" s="4">
        <v>4</v>
      </c>
      <c r="H1528" s="4">
        <v>5</v>
      </c>
      <c r="I1528" s="4">
        <v>28.49</v>
      </c>
      <c r="J1528" s="4">
        <v>113.96</v>
      </c>
      <c r="K1528" s="4" t="s">
        <v>675</v>
      </c>
      <c r="L1528" s="4" t="s">
        <v>656</v>
      </c>
      <c r="M1528" s="5">
        <v>4</v>
      </c>
      <c r="N1528">
        <f>VLOOKUP(B1528,Customers!A:J,7,0)</f>
        <v>21</v>
      </c>
      <c r="O1528" t="str">
        <f>VLOOKUP(B1528,Customers!A:J,5,0)</f>
        <v>San Jose</v>
      </c>
      <c r="P1528" t="str">
        <f>VLOOKUP(B1528,Customers!A:J,10,0)</f>
        <v>Gold</v>
      </c>
      <c r="Q1528" t="str">
        <f>VLOOKUP(B1528,Customers!A:J,8,0)</f>
        <v>Female</v>
      </c>
      <c r="R1528" t="b">
        <f t="shared" si="46"/>
        <v>1</v>
      </c>
      <c r="S1528" s="18">
        <f t="shared" si="47"/>
        <v>45170</v>
      </c>
    </row>
    <row r="1529" spans="1:19" x14ac:dyDescent="0.25">
      <c r="A1529" s="6" t="s">
        <v>2943</v>
      </c>
      <c r="B1529" s="7" t="s">
        <v>594</v>
      </c>
      <c r="C1529" s="15">
        <v>44731</v>
      </c>
      <c r="D1529" s="7" t="s">
        <v>659</v>
      </c>
      <c r="E1529" s="7" t="s">
        <v>820</v>
      </c>
      <c r="F1529" s="7">
        <v>39.99</v>
      </c>
      <c r="G1529" s="7">
        <v>2</v>
      </c>
      <c r="H1529" s="7">
        <v>20</v>
      </c>
      <c r="I1529" s="7">
        <v>31.99</v>
      </c>
      <c r="J1529" s="7">
        <v>63.98</v>
      </c>
      <c r="K1529" s="7" t="s">
        <v>661</v>
      </c>
      <c r="L1529" s="7" t="s">
        <v>656</v>
      </c>
      <c r="M1529" s="8">
        <v>5</v>
      </c>
      <c r="N1529">
        <f>VLOOKUP(B1529,Customers!A:J,7,0)</f>
        <v>21</v>
      </c>
      <c r="O1529" t="str">
        <f>VLOOKUP(B1529,Customers!A:J,5,0)</f>
        <v>San Jose</v>
      </c>
      <c r="P1529" t="str">
        <f>VLOOKUP(B1529,Customers!A:J,10,0)</f>
        <v>Gold</v>
      </c>
      <c r="Q1529" t="str">
        <f>VLOOKUP(B1529,Customers!A:J,8,0)</f>
        <v>Female</v>
      </c>
      <c r="R1529" t="b">
        <f t="shared" si="46"/>
        <v>1</v>
      </c>
      <c r="S1529" s="18">
        <f t="shared" si="47"/>
        <v>44713</v>
      </c>
    </row>
    <row r="1530" spans="1:19" x14ac:dyDescent="0.25">
      <c r="A1530" s="3" t="s">
        <v>2944</v>
      </c>
      <c r="B1530" s="4" t="s">
        <v>594</v>
      </c>
      <c r="C1530" s="14">
        <v>44918</v>
      </c>
      <c r="D1530" s="4" t="s">
        <v>667</v>
      </c>
      <c r="E1530" s="4" t="s">
        <v>668</v>
      </c>
      <c r="F1530" s="4">
        <v>64.989999999999995</v>
      </c>
      <c r="G1530" s="4">
        <v>1</v>
      </c>
      <c r="H1530" s="4">
        <v>10</v>
      </c>
      <c r="I1530" s="4">
        <v>58.49</v>
      </c>
      <c r="J1530" s="4">
        <v>58.49</v>
      </c>
      <c r="K1530" s="4" t="s">
        <v>661</v>
      </c>
      <c r="L1530" s="4" t="s">
        <v>656</v>
      </c>
      <c r="M1530" s="5"/>
      <c r="N1530">
        <f>VLOOKUP(B1530,Customers!A:J,7,0)</f>
        <v>21</v>
      </c>
      <c r="O1530" t="str">
        <f>VLOOKUP(B1530,Customers!A:J,5,0)</f>
        <v>San Jose</v>
      </c>
      <c r="P1530" t="str">
        <f>VLOOKUP(B1530,Customers!A:J,10,0)</f>
        <v>Gold</v>
      </c>
      <c r="Q1530" t="str">
        <f>VLOOKUP(B1530,Customers!A:J,8,0)</f>
        <v>Female</v>
      </c>
      <c r="R1530" t="b">
        <f t="shared" si="46"/>
        <v>1</v>
      </c>
      <c r="S1530" s="18">
        <f t="shared" si="47"/>
        <v>44896</v>
      </c>
    </row>
    <row r="1531" spans="1:19" x14ac:dyDescent="0.25">
      <c r="A1531" s="6" t="s">
        <v>2945</v>
      </c>
      <c r="B1531" s="7" t="s">
        <v>594</v>
      </c>
      <c r="C1531" s="15">
        <v>45522</v>
      </c>
      <c r="D1531" s="7" t="s">
        <v>680</v>
      </c>
      <c r="E1531" s="7" t="s">
        <v>688</v>
      </c>
      <c r="F1531" s="7">
        <v>29.99</v>
      </c>
      <c r="G1531" s="7">
        <v>4</v>
      </c>
      <c r="H1531" s="7">
        <v>0</v>
      </c>
      <c r="I1531" s="7">
        <v>29.99</v>
      </c>
      <c r="J1531" s="7">
        <v>119.96</v>
      </c>
      <c r="K1531" s="7" t="s">
        <v>682</v>
      </c>
      <c r="L1531" s="7" t="s">
        <v>788</v>
      </c>
      <c r="M1531" s="8">
        <v>4</v>
      </c>
      <c r="N1531">
        <f>VLOOKUP(B1531,Customers!A:J,7,0)</f>
        <v>21</v>
      </c>
      <c r="O1531" t="str">
        <f>VLOOKUP(B1531,Customers!A:J,5,0)</f>
        <v>San Jose</v>
      </c>
      <c r="P1531" t="str">
        <f>VLOOKUP(B1531,Customers!A:J,10,0)</f>
        <v>Gold</v>
      </c>
      <c r="Q1531" t="str">
        <f>VLOOKUP(B1531,Customers!A:J,8,0)</f>
        <v>Female</v>
      </c>
      <c r="R1531" t="b">
        <f t="shared" si="46"/>
        <v>1</v>
      </c>
      <c r="S1531" s="18">
        <f t="shared" si="47"/>
        <v>45505</v>
      </c>
    </row>
    <row r="1532" spans="1:19" x14ac:dyDescent="0.25">
      <c r="A1532" s="3" t="s">
        <v>2947</v>
      </c>
      <c r="B1532" s="4" t="s">
        <v>594</v>
      </c>
      <c r="C1532" s="14">
        <v>44797</v>
      </c>
      <c r="D1532" s="4" t="s">
        <v>680</v>
      </c>
      <c r="E1532" s="4" t="s">
        <v>749</v>
      </c>
      <c r="F1532" s="4">
        <v>14.99</v>
      </c>
      <c r="G1532" s="4">
        <v>2</v>
      </c>
      <c r="H1532" s="4">
        <v>5</v>
      </c>
      <c r="I1532" s="4">
        <v>14.24</v>
      </c>
      <c r="J1532" s="4">
        <v>28.48</v>
      </c>
      <c r="K1532" s="4" t="s">
        <v>669</v>
      </c>
      <c r="L1532" s="4" t="s">
        <v>656</v>
      </c>
      <c r="M1532" s="5">
        <v>5</v>
      </c>
      <c r="N1532">
        <f>VLOOKUP(B1532,Customers!A:J,7,0)</f>
        <v>21</v>
      </c>
      <c r="O1532" t="str">
        <f>VLOOKUP(B1532,Customers!A:J,5,0)</f>
        <v>San Jose</v>
      </c>
      <c r="P1532" t="str">
        <f>VLOOKUP(B1532,Customers!A:J,10,0)</f>
        <v>Gold</v>
      </c>
      <c r="Q1532" t="str">
        <f>VLOOKUP(B1532,Customers!A:J,8,0)</f>
        <v>Female</v>
      </c>
      <c r="R1532" t="b">
        <f t="shared" si="46"/>
        <v>1</v>
      </c>
      <c r="S1532" s="18">
        <f t="shared" si="47"/>
        <v>44774</v>
      </c>
    </row>
    <row r="1533" spans="1:19" x14ac:dyDescent="0.25">
      <c r="A1533" s="6" t="s">
        <v>2948</v>
      </c>
      <c r="B1533" s="7" t="s">
        <v>594</v>
      </c>
      <c r="C1533" s="15">
        <v>44759</v>
      </c>
      <c r="D1533" s="7" t="s">
        <v>667</v>
      </c>
      <c r="E1533" s="7" t="s">
        <v>668</v>
      </c>
      <c r="F1533" s="7">
        <v>64.989999999999995</v>
      </c>
      <c r="G1533" s="7">
        <v>1</v>
      </c>
      <c r="H1533" s="7">
        <v>0</v>
      </c>
      <c r="I1533" s="7">
        <v>64.989999999999995</v>
      </c>
      <c r="J1533" s="7">
        <v>64.989999999999995</v>
      </c>
      <c r="K1533" s="7" t="s">
        <v>682</v>
      </c>
      <c r="L1533" s="7" t="s">
        <v>656</v>
      </c>
      <c r="M1533" s="8">
        <v>3</v>
      </c>
      <c r="N1533">
        <f>VLOOKUP(B1533,Customers!A:J,7,0)</f>
        <v>21</v>
      </c>
      <c r="O1533" t="str">
        <f>VLOOKUP(B1533,Customers!A:J,5,0)</f>
        <v>San Jose</v>
      </c>
      <c r="P1533" t="str">
        <f>VLOOKUP(B1533,Customers!A:J,10,0)</f>
        <v>Gold</v>
      </c>
      <c r="Q1533" t="str">
        <f>VLOOKUP(B1533,Customers!A:J,8,0)</f>
        <v>Female</v>
      </c>
      <c r="R1533" t="b">
        <f t="shared" si="46"/>
        <v>1</v>
      </c>
      <c r="S1533" s="18">
        <f t="shared" si="47"/>
        <v>44743</v>
      </c>
    </row>
    <row r="1534" spans="1:19" x14ac:dyDescent="0.25">
      <c r="A1534" s="3" t="s">
        <v>2949</v>
      </c>
      <c r="B1534" s="4" t="s">
        <v>594</v>
      </c>
      <c r="C1534" s="14">
        <v>44793</v>
      </c>
      <c r="D1534" s="4" t="s">
        <v>672</v>
      </c>
      <c r="E1534" s="4" t="s">
        <v>724</v>
      </c>
      <c r="F1534" s="4">
        <v>89.99</v>
      </c>
      <c r="G1534" s="4">
        <v>4</v>
      </c>
      <c r="H1534" s="4">
        <v>10</v>
      </c>
      <c r="I1534" s="4">
        <v>80.989999999999995</v>
      </c>
      <c r="J1534" s="4">
        <v>323.95999999999998</v>
      </c>
      <c r="K1534" s="4" t="s">
        <v>675</v>
      </c>
      <c r="L1534" s="4" t="s">
        <v>656</v>
      </c>
      <c r="M1534" s="5"/>
      <c r="N1534">
        <f>VLOOKUP(B1534,Customers!A:J,7,0)</f>
        <v>21</v>
      </c>
      <c r="O1534" t="str">
        <f>VLOOKUP(B1534,Customers!A:J,5,0)</f>
        <v>San Jose</v>
      </c>
      <c r="P1534" t="str">
        <f>VLOOKUP(B1534,Customers!A:J,10,0)</f>
        <v>Gold</v>
      </c>
      <c r="Q1534" t="str">
        <f>VLOOKUP(B1534,Customers!A:J,8,0)</f>
        <v>Female</v>
      </c>
      <c r="R1534" t="b">
        <f t="shared" si="46"/>
        <v>1</v>
      </c>
      <c r="S1534" s="18">
        <f t="shared" si="47"/>
        <v>44774</v>
      </c>
    </row>
    <row r="1535" spans="1:19" x14ac:dyDescent="0.25">
      <c r="A1535" s="6" t="s">
        <v>2950</v>
      </c>
      <c r="B1535" s="7" t="s">
        <v>597</v>
      </c>
      <c r="C1535" s="15">
        <v>45546</v>
      </c>
      <c r="D1535" s="7" t="s">
        <v>653</v>
      </c>
      <c r="E1535" s="7" t="s">
        <v>769</v>
      </c>
      <c r="F1535" s="7">
        <v>49.99</v>
      </c>
      <c r="G1535" s="7">
        <v>3</v>
      </c>
      <c r="H1535" s="7">
        <v>0</v>
      </c>
      <c r="I1535" s="7">
        <v>49.99</v>
      </c>
      <c r="J1535" s="7">
        <v>149.97</v>
      </c>
      <c r="K1535" s="7" t="s">
        <v>661</v>
      </c>
      <c r="L1535" s="7" t="s">
        <v>739</v>
      </c>
      <c r="M1535" s="8">
        <v>5</v>
      </c>
      <c r="N1535">
        <f>VLOOKUP(B1535,Customers!A:J,7,0)</f>
        <v>33</v>
      </c>
      <c r="O1535" t="str">
        <f>VLOOKUP(B1535,Customers!A:J,5,0)</f>
        <v>Phoenix</v>
      </c>
      <c r="P1535" t="str">
        <f>VLOOKUP(B1535,Customers!A:J,10,0)</f>
        <v>Silver</v>
      </c>
      <c r="Q1535" t="str">
        <f>VLOOKUP(B1535,Customers!A:J,8,0)</f>
        <v>Male</v>
      </c>
      <c r="R1535" t="b">
        <f t="shared" si="46"/>
        <v>1</v>
      </c>
      <c r="S1535" s="18">
        <f t="shared" si="47"/>
        <v>45536</v>
      </c>
    </row>
    <row r="1536" spans="1:19" x14ac:dyDescent="0.25">
      <c r="A1536" s="3" t="s">
        <v>2952</v>
      </c>
      <c r="B1536" s="4" t="s">
        <v>597</v>
      </c>
      <c r="C1536" s="14">
        <v>45064</v>
      </c>
      <c r="D1536" s="4" t="s">
        <v>653</v>
      </c>
      <c r="E1536" s="4" t="s">
        <v>827</v>
      </c>
      <c r="F1536" s="4">
        <v>29.99</v>
      </c>
      <c r="G1536" s="4">
        <v>2</v>
      </c>
      <c r="H1536" s="4">
        <v>0</v>
      </c>
      <c r="I1536" s="4">
        <v>29.99</v>
      </c>
      <c r="J1536" s="4">
        <v>59.98</v>
      </c>
      <c r="K1536" s="4" t="s">
        <v>655</v>
      </c>
      <c r="L1536" s="4" t="s">
        <v>656</v>
      </c>
      <c r="M1536" s="5">
        <v>5</v>
      </c>
      <c r="N1536">
        <f>VLOOKUP(B1536,Customers!A:J,7,0)</f>
        <v>33</v>
      </c>
      <c r="O1536" t="str">
        <f>VLOOKUP(B1536,Customers!A:J,5,0)</f>
        <v>Phoenix</v>
      </c>
      <c r="P1536" t="str">
        <f>VLOOKUP(B1536,Customers!A:J,10,0)</f>
        <v>Silver</v>
      </c>
      <c r="Q1536" t="str">
        <f>VLOOKUP(B1536,Customers!A:J,8,0)</f>
        <v>Male</v>
      </c>
      <c r="R1536" t="b">
        <f t="shared" si="46"/>
        <v>1</v>
      </c>
      <c r="S1536" s="18">
        <f t="shared" si="47"/>
        <v>45047</v>
      </c>
    </row>
    <row r="1537" spans="1:19" x14ac:dyDescent="0.25">
      <c r="A1537" s="6" t="s">
        <v>2954</v>
      </c>
      <c r="B1537" s="7" t="s">
        <v>597</v>
      </c>
      <c r="C1537" s="15">
        <v>44998</v>
      </c>
      <c r="D1537" s="7" t="s">
        <v>667</v>
      </c>
      <c r="E1537" s="7" t="s">
        <v>714</v>
      </c>
      <c r="F1537" s="7">
        <v>44.99</v>
      </c>
      <c r="G1537" s="7">
        <v>1</v>
      </c>
      <c r="H1537" s="7">
        <v>5</v>
      </c>
      <c r="I1537" s="7">
        <v>42.74</v>
      </c>
      <c r="J1537" s="7">
        <v>42.74</v>
      </c>
      <c r="K1537" s="7" t="s">
        <v>669</v>
      </c>
      <c r="L1537" s="7" t="s">
        <v>656</v>
      </c>
      <c r="M1537" s="8">
        <v>4</v>
      </c>
      <c r="N1537">
        <f>VLOOKUP(B1537,Customers!A:J,7,0)</f>
        <v>33</v>
      </c>
      <c r="O1537" t="str">
        <f>VLOOKUP(B1537,Customers!A:J,5,0)</f>
        <v>Phoenix</v>
      </c>
      <c r="P1537" t="str">
        <f>VLOOKUP(B1537,Customers!A:J,10,0)</f>
        <v>Silver</v>
      </c>
      <c r="Q1537" t="str">
        <f>VLOOKUP(B1537,Customers!A:J,8,0)</f>
        <v>Male</v>
      </c>
      <c r="R1537" t="b">
        <f t="shared" si="46"/>
        <v>1</v>
      </c>
      <c r="S1537" s="18">
        <f t="shared" si="47"/>
        <v>44986</v>
      </c>
    </row>
    <row r="1538" spans="1:19" x14ac:dyDescent="0.25">
      <c r="A1538" s="3" t="s">
        <v>2955</v>
      </c>
      <c r="B1538" s="4" t="s">
        <v>597</v>
      </c>
      <c r="C1538" s="14">
        <v>44678</v>
      </c>
      <c r="D1538" s="4" t="s">
        <v>659</v>
      </c>
      <c r="E1538" s="4" t="s">
        <v>660</v>
      </c>
      <c r="F1538" s="4">
        <v>19.989999999999998</v>
      </c>
      <c r="G1538" s="4">
        <v>2</v>
      </c>
      <c r="H1538" s="4">
        <v>0</v>
      </c>
      <c r="I1538" s="4">
        <v>19.989999999999998</v>
      </c>
      <c r="J1538" s="4">
        <v>39.979999999999997</v>
      </c>
      <c r="K1538" s="4" t="s">
        <v>655</v>
      </c>
      <c r="L1538" s="4" t="s">
        <v>656</v>
      </c>
      <c r="M1538" s="5">
        <v>5</v>
      </c>
      <c r="N1538">
        <f>VLOOKUP(B1538,Customers!A:J,7,0)</f>
        <v>33</v>
      </c>
      <c r="O1538" t="str">
        <f>VLOOKUP(B1538,Customers!A:J,5,0)</f>
        <v>Phoenix</v>
      </c>
      <c r="P1538" t="str">
        <f>VLOOKUP(B1538,Customers!A:J,10,0)</f>
        <v>Silver</v>
      </c>
      <c r="Q1538" t="str">
        <f>VLOOKUP(B1538,Customers!A:J,8,0)</f>
        <v>Male</v>
      </c>
      <c r="R1538" t="b">
        <f t="shared" si="46"/>
        <v>1</v>
      </c>
      <c r="S1538" s="18">
        <f t="shared" si="47"/>
        <v>44652</v>
      </c>
    </row>
    <row r="1539" spans="1:19" x14ac:dyDescent="0.25">
      <c r="A1539" s="6" t="s">
        <v>2956</v>
      </c>
      <c r="B1539" s="7" t="s">
        <v>597</v>
      </c>
      <c r="C1539" s="15">
        <v>45490</v>
      </c>
      <c r="D1539" s="7" t="s">
        <v>653</v>
      </c>
      <c r="E1539" s="7" t="s">
        <v>827</v>
      </c>
      <c r="F1539" s="7">
        <v>29.99</v>
      </c>
      <c r="G1539" s="7">
        <v>4</v>
      </c>
      <c r="H1539" s="7">
        <v>10</v>
      </c>
      <c r="I1539" s="7">
        <v>26.99</v>
      </c>
      <c r="J1539" s="7">
        <v>107.96</v>
      </c>
      <c r="K1539" s="7" t="s">
        <v>655</v>
      </c>
      <c r="L1539" s="7" t="s">
        <v>656</v>
      </c>
      <c r="M1539" s="8"/>
      <c r="N1539">
        <f>VLOOKUP(B1539,Customers!A:J,7,0)</f>
        <v>33</v>
      </c>
      <c r="O1539" t="str">
        <f>VLOOKUP(B1539,Customers!A:J,5,0)</f>
        <v>Phoenix</v>
      </c>
      <c r="P1539" t="str">
        <f>VLOOKUP(B1539,Customers!A:J,10,0)</f>
        <v>Silver</v>
      </c>
      <c r="Q1539" t="str">
        <f>VLOOKUP(B1539,Customers!A:J,8,0)</f>
        <v>Male</v>
      </c>
      <c r="R1539" t="b">
        <f t="shared" ref="R1539:R1602" si="48">ISNUMBER(C1539)</f>
        <v>1</v>
      </c>
      <c r="S1539" s="18">
        <f t="shared" ref="S1539:S1602" si="49">DATE(YEAR(C1539),MONTH(C1539),1)</f>
        <v>45474</v>
      </c>
    </row>
    <row r="1540" spans="1:19" x14ac:dyDescent="0.25">
      <c r="A1540" s="3" t="s">
        <v>2957</v>
      </c>
      <c r="B1540" s="4" t="s">
        <v>597</v>
      </c>
      <c r="C1540" s="14">
        <v>45426</v>
      </c>
      <c r="D1540" s="4" t="s">
        <v>653</v>
      </c>
      <c r="E1540" s="4" t="s">
        <v>727</v>
      </c>
      <c r="F1540" s="4">
        <v>14.99</v>
      </c>
      <c r="G1540" s="4">
        <v>3</v>
      </c>
      <c r="H1540" s="4">
        <v>20</v>
      </c>
      <c r="I1540" s="4">
        <v>11.99</v>
      </c>
      <c r="J1540" s="4">
        <v>35.97</v>
      </c>
      <c r="K1540" s="4" t="s">
        <v>669</v>
      </c>
      <c r="L1540" s="4" t="s">
        <v>656</v>
      </c>
      <c r="M1540" s="5">
        <v>4</v>
      </c>
      <c r="N1540">
        <f>VLOOKUP(B1540,Customers!A:J,7,0)</f>
        <v>33</v>
      </c>
      <c r="O1540" t="str">
        <f>VLOOKUP(B1540,Customers!A:J,5,0)</f>
        <v>Phoenix</v>
      </c>
      <c r="P1540" t="str">
        <f>VLOOKUP(B1540,Customers!A:J,10,0)</f>
        <v>Silver</v>
      </c>
      <c r="Q1540" t="str">
        <f>VLOOKUP(B1540,Customers!A:J,8,0)</f>
        <v>Male</v>
      </c>
      <c r="R1540" t="b">
        <f t="shared" si="48"/>
        <v>1</v>
      </c>
      <c r="S1540" s="18">
        <f t="shared" si="49"/>
        <v>45413</v>
      </c>
    </row>
    <row r="1541" spans="1:19" x14ac:dyDescent="0.25">
      <c r="A1541" s="6" t="s">
        <v>2958</v>
      </c>
      <c r="B1541" s="7" t="s">
        <v>600</v>
      </c>
      <c r="C1541" s="15">
        <v>45387</v>
      </c>
      <c r="D1541" s="7" t="s">
        <v>672</v>
      </c>
      <c r="E1541" s="7" t="s">
        <v>673</v>
      </c>
      <c r="F1541" s="7">
        <v>24.99</v>
      </c>
      <c r="G1541" s="7">
        <v>4</v>
      </c>
      <c r="H1541" s="7">
        <v>0</v>
      </c>
      <c r="I1541" s="7">
        <v>24.99</v>
      </c>
      <c r="J1541" s="7">
        <v>99.96</v>
      </c>
      <c r="K1541" s="7" t="s">
        <v>661</v>
      </c>
      <c r="L1541" s="7" t="s">
        <v>656</v>
      </c>
      <c r="M1541" s="8">
        <v>4</v>
      </c>
      <c r="N1541">
        <f>VLOOKUP(B1541,Customers!A:J,7,0)</f>
        <v>61</v>
      </c>
      <c r="O1541" t="str">
        <f>VLOOKUP(B1541,Customers!A:J,5,0)</f>
        <v>San Jose</v>
      </c>
      <c r="P1541" t="str">
        <f>VLOOKUP(B1541,Customers!A:J,10,0)</f>
        <v>Free</v>
      </c>
      <c r="Q1541" t="str">
        <f>VLOOKUP(B1541,Customers!A:J,8,0)</f>
        <v>Female</v>
      </c>
      <c r="R1541" t="b">
        <f t="shared" si="48"/>
        <v>1</v>
      </c>
      <c r="S1541" s="18">
        <f t="shared" si="49"/>
        <v>45383</v>
      </c>
    </row>
    <row r="1542" spans="1:19" x14ac:dyDescent="0.25">
      <c r="A1542" s="3" t="s">
        <v>2959</v>
      </c>
      <c r="B1542" s="4" t="s">
        <v>600</v>
      </c>
      <c r="C1542" s="14">
        <v>45203</v>
      </c>
      <c r="D1542" s="4" t="s">
        <v>667</v>
      </c>
      <c r="E1542" s="4" t="s">
        <v>714</v>
      </c>
      <c r="F1542" s="4">
        <v>44.99</v>
      </c>
      <c r="G1542" s="4">
        <v>2</v>
      </c>
      <c r="H1542" s="4">
        <v>20</v>
      </c>
      <c r="I1542" s="4">
        <v>35.99</v>
      </c>
      <c r="J1542" s="4">
        <v>71.98</v>
      </c>
      <c r="K1542" s="4" t="s">
        <v>655</v>
      </c>
      <c r="L1542" s="4" t="s">
        <v>656</v>
      </c>
      <c r="M1542" s="5"/>
      <c r="N1542">
        <f>VLOOKUP(B1542,Customers!A:J,7,0)</f>
        <v>61</v>
      </c>
      <c r="O1542" t="str">
        <f>VLOOKUP(B1542,Customers!A:J,5,0)</f>
        <v>San Jose</v>
      </c>
      <c r="P1542" t="str">
        <f>VLOOKUP(B1542,Customers!A:J,10,0)</f>
        <v>Free</v>
      </c>
      <c r="Q1542" t="str">
        <f>VLOOKUP(B1542,Customers!A:J,8,0)</f>
        <v>Female</v>
      </c>
      <c r="R1542" t="b">
        <f t="shared" si="48"/>
        <v>1</v>
      </c>
      <c r="S1542" s="18">
        <f t="shared" si="49"/>
        <v>45200</v>
      </c>
    </row>
    <row r="1543" spans="1:19" x14ac:dyDescent="0.25">
      <c r="A1543" s="6" t="s">
        <v>2961</v>
      </c>
      <c r="B1543" s="7" t="s">
        <v>600</v>
      </c>
      <c r="C1543" s="15">
        <v>44896</v>
      </c>
      <c r="D1543" s="7" t="s">
        <v>684</v>
      </c>
      <c r="E1543" s="7" t="s">
        <v>685</v>
      </c>
      <c r="F1543" s="7">
        <v>49.99</v>
      </c>
      <c r="G1543" s="7">
        <v>4</v>
      </c>
      <c r="H1543" s="7">
        <v>20</v>
      </c>
      <c r="I1543" s="7">
        <v>39.99</v>
      </c>
      <c r="J1543" s="7">
        <v>159.96</v>
      </c>
      <c r="K1543" s="7" t="s">
        <v>661</v>
      </c>
      <c r="L1543" s="7" t="s">
        <v>656</v>
      </c>
      <c r="M1543" s="8">
        <v>3</v>
      </c>
      <c r="N1543">
        <f>VLOOKUP(B1543,Customers!A:J,7,0)</f>
        <v>61</v>
      </c>
      <c r="O1543" t="str">
        <f>VLOOKUP(B1543,Customers!A:J,5,0)</f>
        <v>San Jose</v>
      </c>
      <c r="P1543" t="str">
        <f>VLOOKUP(B1543,Customers!A:J,10,0)</f>
        <v>Free</v>
      </c>
      <c r="Q1543" t="str">
        <f>VLOOKUP(B1543,Customers!A:J,8,0)</f>
        <v>Female</v>
      </c>
      <c r="R1543" t="b">
        <f t="shared" si="48"/>
        <v>1</v>
      </c>
      <c r="S1543" s="18">
        <f t="shared" si="49"/>
        <v>44896</v>
      </c>
    </row>
    <row r="1544" spans="1:19" x14ac:dyDescent="0.25">
      <c r="A1544" s="3" t="s">
        <v>2962</v>
      </c>
      <c r="B1544" s="4" t="s">
        <v>600</v>
      </c>
      <c r="C1544" s="14">
        <v>44743</v>
      </c>
      <c r="D1544" s="4" t="s">
        <v>710</v>
      </c>
      <c r="E1544" s="4" t="s">
        <v>730</v>
      </c>
      <c r="F1544" s="4">
        <v>39.99</v>
      </c>
      <c r="G1544" s="4">
        <v>2</v>
      </c>
      <c r="H1544" s="4">
        <v>15</v>
      </c>
      <c r="I1544" s="4">
        <v>33.99</v>
      </c>
      <c r="J1544" s="4">
        <v>67.98</v>
      </c>
      <c r="K1544" s="4" t="s">
        <v>655</v>
      </c>
      <c r="L1544" s="4" t="s">
        <v>656</v>
      </c>
      <c r="M1544" s="5"/>
      <c r="N1544">
        <f>VLOOKUP(B1544,Customers!A:J,7,0)</f>
        <v>61</v>
      </c>
      <c r="O1544" t="str">
        <f>VLOOKUP(B1544,Customers!A:J,5,0)</f>
        <v>San Jose</v>
      </c>
      <c r="P1544" t="str">
        <f>VLOOKUP(B1544,Customers!A:J,10,0)</f>
        <v>Free</v>
      </c>
      <c r="Q1544" t="str">
        <f>VLOOKUP(B1544,Customers!A:J,8,0)</f>
        <v>Female</v>
      </c>
      <c r="R1544" t="b">
        <f t="shared" si="48"/>
        <v>1</v>
      </c>
      <c r="S1544" s="18">
        <f t="shared" si="49"/>
        <v>44743</v>
      </c>
    </row>
    <row r="1545" spans="1:19" x14ac:dyDescent="0.25">
      <c r="A1545" s="6" t="s">
        <v>2963</v>
      </c>
      <c r="B1545" s="7" t="s">
        <v>600</v>
      </c>
      <c r="C1545" s="15">
        <v>45161</v>
      </c>
      <c r="D1545" s="7" t="s">
        <v>667</v>
      </c>
      <c r="E1545" s="7" t="s">
        <v>714</v>
      </c>
      <c r="F1545" s="7">
        <v>44.99</v>
      </c>
      <c r="G1545" s="7">
        <v>4</v>
      </c>
      <c r="H1545" s="7">
        <v>0</v>
      </c>
      <c r="I1545" s="7">
        <v>44.99</v>
      </c>
      <c r="J1545" s="7">
        <v>179.96</v>
      </c>
      <c r="K1545" s="7" t="s">
        <v>675</v>
      </c>
      <c r="L1545" s="7" t="s">
        <v>739</v>
      </c>
      <c r="M1545" s="8"/>
      <c r="N1545">
        <f>VLOOKUP(B1545,Customers!A:J,7,0)</f>
        <v>61</v>
      </c>
      <c r="O1545" t="str">
        <f>VLOOKUP(B1545,Customers!A:J,5,0)</f>
        <v>San Jose</v>
      </c>
      <c r="P1545" t="str">
        <f>VLOOKUP(B1545,Customers!A:J,10,0)</f>
        <v>Free</v>
      </c>
      <c r="Q1545" t="str">
        <f>VLOOKUP(B1545,Customers!A:J,8,0)</f>
        <v>Female</v>
      </c>
      <c r="R1545" t="b">
        <f t="shared" si="48"/>
        <v>1</v>
      </c>
      <c r="S1545" s="18">
        <f t="shared" si="49"/>
        <v>45139</v>
      </c>
    </row>
    <row r="1546" spans="1:19" x14ac:dyDescent="0.25">
      <c r="A1546" s="3" t="s">
        <v>2964</v>
      </c>
      <c r="B1546" s="4" t="s">
        <v>600</v>
      </c>
      <c r="C1546" s="14">
        <v>45483</v>
      </c>
      <c r="D1546" s="4" t="s">
        <v>659</v>
      </c>
      <c r="E1546" s="4" t="s">
        <v>664</v>
      </c>
      <c r="F1546" s="4">
        <v>24.99</v>
      </c>
      <c r="G1546" s="4">
        <v>1</v>
      </c>
      <c r="H1546" s="4">
        <v>5</v>
      </c>
      <c r="I1546" s="4">
        <v>23.74</v>
      </c>
      <c r="J1546" s="4">
        <v>23.74</v>
      </c>
      <c r="K1546" s="4" t="s">
        <v>682</v>
      </c>
      <c r="L1546" s="4" t="s">
        <v>656</v>
      </c>
      <c r="M1546" s="5">
        <v>5</v>
      </c>
      <c r="N1546">
        <f>VLOOKUP(B1546,Customers!A:J,7,0)</f>
        <v>61</v>
      </c>
      <c r="O1546" t="str">
        <f>VLOOKUP(B1546,Customers!A:J,5,0)</f>
        <v>San Jose</v>
      </c>
      <c r="P1546" t="str">
        <f>VLOOKUP(B1546,Customers!A:J,10,0)</f>
        <v>Free</v>
      </c>
      <c r="Q1546" t="str">
        <f>VLOOKUP(B1546,Customers!A:J,8,0)</f>
        <v>Female</v>
      </c>
      <c r="R1546" t="b">
        <f t="shared" si="48"/>
        <v>1</v>
      </c>
      <c r="S1546" s="18">
        <f t="shared" si="49"/>
        <v>45474</v>
      </c>
    </row>
    <row r="1547" spans="1:19" x14ac:dyDescent="0.25">
      <c r="A1547" s="6" t="s">
        <v>2965</v>
      </c>
      <c r="B1547" s="7" t="s">
        <v>600</v>
      </c>
      <c r="C1547" s="15">
        <v>44994</v>
      </c>
      <c r="D1547" s="7" t="s">
        <v>653</v>
      </c>
      <c r="E1547" s="7" t="s">
        <v>727</v>
      </c>
      <c r="F1547" s="7">
        <v>14.99</v>
      </c>
      <c r="G1547" s="7">
        <v>3</v>
      </c>
      <c r="H1547" s="7">
        <v>0</v>
      </c>
      <c r="I1547" s="7">
        <v>14.99</v>
      </c>
      <c r="J1547" s="7">
        <v>44.97</v>
      </c>
      <c r="K1547" s="7" t="s">
        <v>675</v>
      </c>
      <c r="L1547" s="7" t="s">
        <v>656</v>
      </c>
      <c r="M1547" s="8">
        <v>5</v>
      </c>
      <c r="N1547">
        <f>VLOOKUP(B1547,Customers!A:J,7,0)</f>
        <v>61</v>
      </c>
      <c r="O1547" t="str">
        <f>VLOOKUP(B1547,Customers!A:J,5,0)</f>
        <v>San Jose</v>
      </c>
      <c r="P1547" t="str">
        <f>VLOOKUP(B1547,Customers!A:J,10,0)</f>
        <v>Free</v>
      </c>
      <c r="Q1547" t="str">
        <f>VLOOKUP(B1547,Customers!A:J,8,0)</f>
        <v>Female</v>
      </c>
      <c r="R1547" t="b">
        <f t="shared" si="48"/>
        <v>1</v>
      </c>
      <c r="S1547" s="18">
        <f t="shared" si="49"/>
        <v>44986</v>
      </c>
    </row>
    <row r="1548" spans="1:19" x14ac:dyDescent="0.25">
      <c r="A1548" s="3" t="s">
        <v>2966</v>
      </c>
      <c r="B1548" s="4" t="s">
        <v>600</v>
      </c>
      <c r="C1548" s="14">
        <v>45446</v>
      </c>
      <c r="D1548" s="4" t="s">
        <v>684</v>
      </c>
      <c r="E1548" s="4" t="s">
        <v>815</v>
      </c>
      <c r="F1548" s="4">
        <v>34.99</v>
      </c>
      <c r="G1548" s="4">
        <v>3</v>
      </c>
      <c r="H1548" s="4">
        <v>20</v>
      </c>
      <c r="I1548" s="4">
        <v>27.99</v>
      </c>
      <c r="J1548" s="4">
        <v>83.97</v>
      </c>
      <c r="K1548" s="4" t="s">
        <v>661</v>
      </c>
      <c r="L1548" s="4" t="s">
        <v>656</v>
      </c>
      <c r="M1548" s="5">
        <v>5</v>
      </c>
      <c r="N1548">
        <f>VLOOKUP(B1548,Customers!A:J,7,0)</f>
        <v>61</v>
      </c>
      <c r="O1548" t="str">
        <f>VLOOKUP(B1548,Customers!A:J,5,0)</f>
        <v>San Jose</v>
      </c>
      <c r="P1548" t="str">
        <f>VLOOKUP(B1548,Customers!A:J,10,0)</f>
        <v>Free</v>
      </c>
      <c r="Q1548" t="str">
        <f>VLOOKUP(B1548,Customers!A:J,8,0)</f>
        <v>Female</v>
      </c>
      <c r="R1548" t="b">
        <f t="shared" si="48"/>
        <v>1</v>
      </c>
      <c r="S1548" s="18">
        <f t="shared" si="49"/>
        <v>45444</v>
      </c>
    </row>
    <row r="1549" spans="1:19" x14ac:dyDescent="0.25">
      <c r="A1549" s="6" t="s">
        <v>2967</v>
      </c>
      <c r="B1549" s="7" t="s">
        <v>600</v>
      </c>
      <c r="C1549" s="15">
        <v>45000</v>
      </c>
      <c r="D1549" s="7" t="s">
        <v>684</v>
      </c>
      <c r="E1549" s="7" t="s">
        <v>702</v>
      </c>
      <c r="F1549" s="7">
        <v>199.99</v>
      </c>
      <c r="G1549" s="7">
        <v>3</v>
      </c>
      <c r="H1549" s="7">
        <v>10</v>
      </c>
      <c r="I1549" s="7">
        <v>179.99</v>
      </c>
      <c r="J1549" s="7">
        <v>539.97</v>
      </c>
      <c r="K1549" s="7" t="s">
        <v>669</v>
      </c>
      <c r="L1549" s="7" t="s">
        <v>656</v>
      </c>
      <c r="M1549" s="8"/>
      <c r="N1549">
        <f>VLOOKUP(B1549,Customers!A:J,7,0)</f>
        <v>61</v>
      </c>
      <c r="O1549" t="str">
        <f>VLOOKUP(B1549,Customers!A:J,5,0)</f>
        <v>San Jose</v>
      </c>
      <c r="P1549" t="str">
        <f>VLOOKUP(B1549,Customers!A:J,10,0)</f>
        <v>Free</v>
      </c>
      <c r="Q1549" t="str">
        <f>VLOOKUP(B1549,Customers!A:J,8,0)</f>
        <v>Female</v>
      </c>
      <c r="R1549" t="b">
        <f t="shared" si="48"/>
        <v>1</v>
      </c>
      <c r="S1549" s="18">
        <f t="shared" si="49"/>
        <v>44986</v>
      </c>
    </row>
    <row r="1550" spans="1:19" x14ac:dyDescent="0.25">
      <c r="A1550" s="3" t="s">
        <v>2968</v>
      </c>
      <c r="B1550" s="4" t="s">
        <v>600</v>
      </c>
      <c r="C1550" s="14">
        <v>44682</v>
      </c>
      <c r="D1550" s="4" t="s">
        <v>667</v>
      </c>
      <c r="E1550" s="4" t="s">
        <v>668</v>
      </c>
      <c r="F1550" s="4">
        <v>64.989999999999995</v>
      </c>
      <c r="G1550" s="4">
        <v>3</v>
      </c>
      <c r="H1550" s="4">
        <v>10</v>
      </c>
      <c r="I1550" s="4">
        <v>58.49</v>
      </c>
      <c r="J1550" s="4">
        <v>175.47</v>
      </c>
      <c r="K1550" s="4" t="s">
        <v>655</v>
      </c>
      <c r="L1550" s="4" t="s">
        <v>656</v>
      </c>
      <c r="M1550" s="5">
        <v>5</v>
      </c>
      <c r="N1550">
        <f>VLOOKUP(B1550,Customers!A:J,7,0)</f>
        <v>61</v>
      </c>
      <c r="O1550" t="str">
        <f>VLOOKUP(B1550,Customers!A:J,5,0)</f>
        <v>San Jose</v>
      </c>
      <c r="P1550" t="str">
        <f>VLOOKUP(B1550,Customers!A:J,10,0)</f>
        <v>Free</v>
      </c>
      <c r="Q1550" t="str">
        <f>VLOOKUP(B1550,Customers!A:J,8,0)</f>
        <v>Female</v>
      </c>
      <c r="R1550" t="b">
        <f t="shared" si="48"/>
        <v>1</v>
      </c>
      <c r="S1550" s="18">
        <f t="shared" si="49"/>
        <v>44682</v>
      </c>
    </row>
    <row r="1551" spans="1:19" x14ac:dyDescent="0.25">
      <c r="A1551" s="6" t="s">
        <v>2970</v>
      </c>
      <c r="B1551" s="7" t="s">
        <v>600</v>
      </c>
      <c r="C1551" s="15">
        <v>45616</v>
      </c>
      <c r="D1551" s="7" t="s">
        <v>680</v>
      </c>
      <c r="E1551" s="7" t="s">
        <v>688</v>
      </c>
      <c r="F1551" s="7">
        <v>29.99</v>
      </c>
      <c r="G1551" s="7">
        <v>4</v>
      </c>
      <c r="H1551" s="7">
        <v>10</v>
      </c>
      <c r="I1551" s="7">
        <v>26.99</v>
      </c>
      <c r="J1551" s="7">
        <v>107.96</v>
      </c>
      <c r="K1551" s="7" t="s">
        <v>675</v>
      </c>
      <c r="L1551" s="7" t="s">
        <v>656</v>
      </c>
      <c r="M1551" s="8"/>
      <c r="N1551">
        <f>VLOOKUP(B1551,Customers!A:J,7,0)</f>
        <v>61</v>
      </c>
      <c r="O1551" t="str">
        <f>VLOOKUP(B1551,Customers!A:J,5,0)</f>
        <v>San Jose</v>
      </c>
      <c r="P1551" t="str">
        <f>VLOOKUP(B1551,Customers!A:J,10,0)</f>
        <v>Free</v>
      </c>
      <c r="Q1551" t="str">
        <f>VLOOKUP(B1551,Customers!A:J,8,0)</f>
        <v>Female</v>
      </c>
      <c r="R1551" t="b">
        <f t="shared" si="48"/>
        <v>1</v>
      </c>
      <c r="S1551" s="18">
        <f t="shared" si="49"/>
        <v>45597</v>
      </c>
    </row>
    <row r="1552" spans="1:19" x14ac:dyDescent="0.25">
      <c r="A1552" s="3" t="s">
        <v>2971</v>
      </c>
      <c r="B1552" s="4" t="s">
        <v>600</v>
      </c>
      <c r="C1552" s="14">
        <v>44620</v>
      </c>
      <c r="D1552" s="4" t="s">
        <v>710</v>
      </c>
      <c r="E1552" s="4" t="s">
        <v>730</v>
      </c>
      <c r="F1552" s="4">
        <v>39.99</v>
      </c>
      <c r="G1552" s="4">
        <v>4</v>
      </c>
      <c r="H1552" s="4">
        <v>0</v>
      </c>
      <c r="I1552" s="4">
        <v>39.99</v>
      </c>
      <c r="J1552" s="4">
        <v>159.96</v>
      </c>
      <c r="K1552" s="4" t="s">
        <v>661</v>
      </c>
      <c r="L1552" s="4" t="s">
        <v>656</v>
      </c>
      <c r="M1552" s="5"/>
      <c r="N1552">
        <f>VLOOKUP(B1552,Customers!A:J,7,0)</f>
        <v>61</v>
      </c>
      <c r="O1552" t="str">
        <f>VLOOKUP(B1552,Customers!A:J,5,0)</f>
        <v>San Jose</v>
      </c>
      <c r="P1552" t="str">
        <f>VLOOKUP(B1552,Customers!A:J,10,0)</f>
        <v>Free</v>
      </c>
      <c r="Q1552" t="str">
        <f>VLOOKUP(B1552,Customers!A:J,8,0)</f>
        <v>Female</v>
      </c>
      <c r="R1552" t="b">
        <f t="shared" si="48"/>
        <v>1</v>
      </c>
      <c r="S1552" s="18">
        <f t="shared" si="49"/>
        <v>44593</v>
      </c>
    </row>
    <row r="1553" spans="1:19" x14ac:dyDescent="0.25">
      <c r="A1553" s="6" t="s">
        <v>2972</v>
      </c>
      <c r="B1553" s="7" t="s">
        <v>600</v>
      </c>
      <c r="C1553" s="15">
        <v>45519</v>
      </c>
      <c r="D1553" s="7" t="s">
        <v>680</v>
      </c>
      <c r="E1553" s="7" t="s">
        <v>688</v>
      </c>
      <c r="F1553" s="7">
        <v>29.99</v>
      </c>
      <c r="G1553" s="7">
        <v>4</v>
      </c>
      <c r="H1553" s="7">
        <v>0</v>
      </c>
      <c r="I1553" s="7">
        <v>29.99</v>
      </c>
      <c r="J1553" s="7">
        <v>119.96</v>
      </c>
      <c r="K1553" s="7" t="s">
        <v>669</v>
      </c>
      <c r="L1553" s="7" t="s">
        <v>656</v>
      </c>
      <c r="M1553" s="8">
        <v>5</v>
      </c>
      <c r="N1553">
        <f>VLOOKUP(B1553,Customers!A:J,7,0)</f>
        <v>61</v>
      </c>
      <c r="O1553" t="str">
        <f>VLOOKUP(B1553,Customers!A:J,5,0)</f>
        <v>San Jose</v>
      </c>
      <c r="P1553" t="str">
        <f>VLOOKUP(B1553,Customers!A:J,10,0)</f>
        <v>Free</v>
      </c>
      <c r="Q1553" t="str">
        <f>VLOOKUP(B1553,Customers!A:J,8,0)</f>
        <v>Female</v>
      </c>
      <c r="R1553" t="b">
        <f t="shared" si="48"/>
        <v>1</v>
      </c>
      <c r="S1553" s="18">
        <f t="shared" si="49"/>
        <v>45505</v>
      </c>
    </row>
    <row r="1554" spans="1:19" x14ac:dyDescent="0.25">
      <c r="A1554" s="3" t="s">
        <v>2973</v>
      </c>
      <c r="B1554" s="4" t="s">
        <v>600</v>
      </c>
      <c r="C1554" s="14">
        <v>45219</v>
      </c>
      <c r="D1554" s="4" t="s">
        <v>680</v>
      </c>
      <c r="E1554" s="4" t="s">
        <v>749</v>
      </c>
      <c r="F1554" s="4">
        <v>14.99</v>
      </c>
      <c r="G1554" s="4">
        <v>4</v>
      </c>
      <c r="H1554" s="4">
        <v>0</v>
      </c>
      <c r="I1554" s="4">
        <v>14.99</v>
      </c>
      <c r="J1554" s="4">
        <v>59.96</v>
      </c>
      <c r="K1554" s="4" t="s">
        <v>669</v>
      </c>
      <c r="L1554" s="4" t="s">
        <v>656</v>
      </c>
      <c r="M1554" s="5">
        <v>5</v>
      </c>
      <c r="N1554">
        <f>VLOOKUP(B1554,Customers!A:J,7,0)</f>
        <v>61</v>
      </c>
      <c r="O1554" t="str">
        <f>VLOOKUP(B1554,Customers!A:J,5,0)</f>
        <v>San Jose</v>
      </c>
      <c r="P1554" t="str">
        <f>VLOOKUP(B1554,Customers!A:J,10,0)</f>
        <v>Free</v>
      </c>
      <c r="Q1554" t="str">
        <f>VLOOKUP(B1554,Customers!A:J,8,0)</f>
        <v>Female</v>
      </c>
      <c r="R1554" t="b">
        <f t="shared" si="48"/>
        <v>1</v>
      </c>
      <c r="S1554" s="18">
        <f t="shared" si="49"/>
        <v>45200</v>
      </c>
    </row>
    <row r="1555" spans="1:19" x14ac:dyDescent="0.25">
      <c r="A1555" s="6" t="s">
        <v>2974</v>
      </c>
      <c r="B1555" s="7" t="s">
        <v>603</v>
      </c>
      <c r="C1555" s="15">
        <v>45087</v>
      </c>
      <c r="D1555" s="7" t="s">
        <v>653</v>
      </c>
      <c r="E1555" s="7" t="s">
        <v>827</v>
      </c>
      <c r="F1555" s="7">
        <v>29.99</v>
      </c>
      <c r="G1555" s="7">
        <v>1</v>
      </c>
      <c r="H1555" s="7">
        <v>20</v>
      </c>
      <c r="I1555" s="7">
        <v>23.99</v>
      </c>
      <c r="J1555" s="7">
        <v>23.99</v>
      </c>
      <c r="K1555" s="7" t="s">
        <v>661</v>
      </c>
      <c r="L1555" s="7" t="s">
        <v>656</v>
      </c>
      <c r="M1555" s="8"/>
      <c r="N1555">
        <f>VLOOKUP(B1555,Customers!A:J,7,0)</f>
        <v>34</v>
      </c>
      <c r="O1555" t="str">
        <f>VLOOKUP(B1555,Customers!A:J,5,0)</f>
        <v>Austin</v>
      </c>
      <c r="P1555" t="str">
        <f>VLOOKUP(B1555,Customers!A:J,10,0)</f>
        <v>Free</v>
      </c>
      <c r="Q1555" t="str">
        <f>VLOOKUP(B1555,Customers!A:J,8,0)</f>
        <v>Male</v>
      </c>
      <c r="R1555" t="b">
        <f t="shared" si="48"/>
        <v>1</v>
      </c>
      <c r="S1555" s="18">
        <f t="shared" si="49"/>
        <v>45078</v>
      </c>
    </row>
    <row r="1556" spans="1:19" x14ac:dyDescent="0.25">
      <c r="A1556" s="3" t="s">
        <v>2975</v>
      </c>
      <c r="B1556" s="4" t="s">
        <v>603</v>
      </c>
      <c r="C1556" s="14">
        <v>44896</v>
      </c>
      <c r="D1556" s="4" t="s">
        <v>710</v>
      </c>
      <c r="E1556" s="4" t="s">
        <v>744</v>
      </c>
      <c r="F1556" s="4">
        <v>29.99</v>
      </c>
      <c r="G1556" s="4">
        <v>2</v>
      </c>
      <c r="H1556" s="4">
        <v>5</v>
      </c>
      <c r="I1556" s="4">
        <v>28.49</v>
      </c>
      <c r="J1556" s="4">
        <v>56.98</v>
      </c>
      <c r="K1556" s="4" t="s">
        <v>655</v>
      </c>
      <c r="L1556" s="4" t="s">
        <v>656</v>
      </c>
      <c r="M1556" s="5">
        <v>5</v>
      </c>
      <c r="N1556">
        <f>VLOOKUP(B1556,Customers!A:J,7,0)</f>
        <v>34</v>
      </c>
      <c r="O1556" t="str">
        <f>VLOOKUP(B1556,Customers!A:J,5,0)</f>
        <v>Austin</v>
      </c>
      <c r="P1556" t="str">
        <f>VLOOKUP(B1556,Customers!A:J,10,0)</f>
        <v>Free</v>
      </c>
      <c r="Q1556" t="str">
        <f>VLOOKUP(B1556,Customers!A:J,8,0)</f>
        <v>Male</v>
      </c>
      <c r="R1556" t="b">
        <f t="shared" si="48"/>
        <v>1</v>
      </c>
      <c r="S1556" s="18">
        <f t="shared" si="49"/>
        <v>44896</v>
      </c>
    </row>
    <row r="1557" spans="1:19" x14ac:dyDescent="0.25">
      <c r="A1557" s="6" t="s">
        <v>2976</v>
      </c>
      <c r="B1557" s="7" t="s">
        <v>603</v>
      </c>
      <c r="C1557" s="15">
        <v>45608</v>
      </c>
      <c r="D1557" s="7" t="s">
        <v>653</v>
      </c>
      <c r="E1557" s="7" t="s">
        <v>654</v>
      </c>
      <c r="F1557" s="7">
        <v>39.99</v>
      </c>
      <c r="G1557" s="7">
        <v>2</v>
      </c>
      <c r="H1557" s="7">
        <v>20</v>
      </c>
      <c r="I1557" s="7">
        <v>31.99</v>
      </c>
      <c r="J1557" s="7">
        <v>63.98</v>
      </c>
      <c r="K1557" s="7" t="s">
        <v>655</v>
      </c>
      <c r="L1557" s="7" t="s">
        <v>656</v>
      </c>
      <c r="M1557" s="8">
        <v>4</v>
      </c>
      <c r="N1557">
        <f>VLOOKUP(B1557,Customers!A:J,7,0)</f>
        <v>34</v>
      </c>
      <c r="O1557" t="str">
        <f>VLOOKUP(B1557,Customers!A:J,5,0)</f>
        <v>Austin</v>
      </c>
      <c r="P1557" t="str">
        <f>VLOOKUP(B1557,Customers!A:J,10,0)</f>
        <v>Free</v>
      </c>
      <c r="Q1557" t="str">
        <f>VLOOKUP(B1557,Customers!A:J,8,0)</f>
        <v>Male</v>
      </c>
      <c r="R1557" t="b">
        <f t="shared" si="48"/>
        <v>1</v>
      </c>
      <c r="S1557" s="18">
        <f t="shared" si="49"/>
        <v>45597</v>
      </c>
    </row>
    <row r="1558" spans="1:19" x14ac:dyDescent="0.25">
      <c r="A1558" s="3" t="s">
        <v>2977</v>
      </c>
      <c r="B1558" s="4" t="s">
        <v>603</v>
      </c>
      <c r="C1558" s="14">
        <v>45427</v>
      </c>
      <c r="D1558" s="4" t="s">
        <v>653</v>
      </c>
      <c r="E1558" s="4" t="s">
        <v>727</v>
      </c>
      <c r="F1558" s="4">
        <v>14.99</v>
      </c>
      <c r="G1558" s="4">
        <v>3</v>
      </c>
      <c r="H1558" s="4">
        <v>0</v>
      </c>
      <c r="I1558" s="4">
        <v>14.99</v>
      </c>
      <c r="J1558" s="4">
        <v>44.97</v>
      </c>
      <c r="K1558" s="4" t="s">
        <v>682</v>
      </c>
      <c r="L1558" s="4" t="s">
        <v>656</v>
      </c>
      <c r="M1558" s="5">
        <v>4</v>
      </c>
      <c r="N1558">
        <f>VLOOKUP(B1558,Customers!A:J,7,0)</f>
        <v>34</v>
      </c>
      <c r="O1558" t="str">
        <f>VLOOKUP(B1558,Customers!A:J,5,0)</f>
        <v>Austin</v>
      </c>
      <c r="P1558" t="str">
        <f>VLOOKUP(B1558,Customers!A:J,10,0)</f>
        <v>Free</v>
      </c>
      <c r="Q1558" t="str">
        <f>VLOOKUP(B1558,Customers!A:J,8,0)</f>
        <v>Male</v>
      </c>
      <c r="R1558" t="b">
        <f t="shared" si="48"/>
        <v>1</v>
      </c>
      <c r="S1558" s="18">
        <f t="shared" si="49"/>
        <v>45413</v>
      </c>
    </row>
    <row r="1559" spans="1:19" x14ac:dyDescent="0.25">
      <c r="A1559" s="6" t="s">
        <v>2979</v>
      </c>
      <c r="B1559" s="7" t="s">
        <v>603</v>
      </c>
      <c r="C1559" s="15">
        <v>44933</v>
      </c>
      <c r="D1559" s="7" t="s">
        <v>659</v>
      </c>
      <c r="E1559" s="7" t="s">
        <v>762</v>
      </c>
      <c r="F1559" s="7">
        <v>49.99</v>
      </c>
      <c r="G1559" s="7">
        <v>2</v>
      </c>
      <c r="H1559" s="7">
        <v>20</v>
      </c>
      <c r="I1559" s="7">
        <v>39.99</v>
      </c>
      <c r="J1559" s="7">
        <v>79.98</v>
      </c>
      <c r="K1559" s="7" t="s">
        <v>661</v>
      </c>
      <c r="L1559" s="7" t="s">
        <v>656</v>
      </c>
      <c r="M1559" s="8"/>
      <c r="N1559">
        <f>VLOOKUP(B1559,Customers!A:J,7,0)</f>
        <v>34</v>
      </c>
      <c r="O1559" t="str">
        <f>VLOOKUP(B1559,Customers!A:J,5,0)</f>
        <v>Austin</v>
      </c>
      <c r="P1559" t="str">
        <f>VLOOKUP(B1559,Customers!A:J,10,0)</f>
        <v>Free</v>
      </c>
      <c r="Q1559" t="str">
        <f>VLOOKUP(B1559,Customers!A:J,8,0)</f>
        <v>Male</v>
      </c>
      <c r="R1559" t="b">
        <f t="shared" si="48"/>
        <v>1</v>
      </c>
      <c r="S1559" s="18">
        <f t="shared" si="49"/>
        <v>44927</v>
      </c>
    </row>
    <row r="1560" spans="1:19" x14ac:dyDescent="0.25">
      <c r="A1560" s="3" t="s">
        <v>2980</v>
      </c>
      <c r="B1560" s="4" t="s">
        <v>603</v>
      </c>
      <c r="C1560" s="14">
        <v>45206</v>
      </c>
      <c r="D1560" s="4" t="s">
        <v>710</v>
      </c>
      <c r="E1560" s="4" t="s">
        <v>730</v>
      </c>
      <c r="F1560" s="4">
        <v>39.99</v>
      </c>
      <c r="G1560" s="4">
        <v>4</v>
      </c>
      <c r="H1560" s="4">
        <v>0</v>
      </c>
      <c r="I1560" s="4">
        <v>39.99</v>
      </c>
      <c r="J1560" s="4">
        <v>159.96</v>
      </c>
      <c r="K1560" s="4" t="s">
        <v>669</v>
      </c>
      <c r="L1560" s="4" t="s">
        <v>656</v>
      </c>
      <c r="M1560" s="5">
        <v>5</v>
      </c>
      <c r="N1560">
        <f>VLOOKUP(B1560,Customers!A:J,7,0)</f>
        <v>34</v>
      </c>
      <c r="O1560" t="str">
        <f>VLOOKUP(B1560,Customers!A:J,5,0)</f>
        <v>Austin</v>
      </c>
      <c r="P1560" t="str">
        <f>VLOOKUP(B1560,Customers!A:J,10,0)</f>
        <v>Free</v>
      </c>
      <c r="Q1560" t="str">
        <f>VLOOKUP(B1560,Customers!A:J,8,0)</f>
        <v>Male</v>
      </c>
      <c r="R1560" t="b">
        <f t="shared" si="48"/>
        <v>1</v>
      </c>
      <c r="S1560" s="18">
        <f t="shared" si="49"/>
        <v>45200</v>
      </c>
    </row>
    <row r="1561" spans="1:19" x14ac:dyDescent="0.25">
      <c r="A1561" s="6" t="s">
        <v>2982</v>
      </c>
      <c r="B1561" s="7" t="s">
        <v>603</v>
      </c>
      <c r="C1561" s="15">
        <v>44726</v>
      </c>
      <c r="D1561" s="7" t="s">
        <v>667</v>
      </c>
      <c r="E1561" s="7" t="s">
        <v>668</v>
      </c>
      <c r="F1561" s="7">
        <v>64.989999999999995</v>
      </c>
      <c r="G1561" s="7">
        <v>3</v>
      </c>
      <c r="H1561" s="7">
        <v>20</v>
      </c>
      <c r="I1561" s="7">
        <v>51.99</v>
      </c>
      <c r="J1561" s="7">
        <v>155.97</v>
      </c>
      <c r="K1561" s="7" t="s">
        <v>661</v>
      </c>
      <c r="L1561" s="7" t="s">
        <v>656</v>
      </c>
      <c r="M1561" s="8">
        <v>5</v>
      </c>
      <c r="N1561">
        <f>VLOOKUP(B1561,Customers!A:J,7,0)</f>
        <v>34</v>
      </c>
      <c r="O1561" t="str">
        <f>VLOOKUP(B1561,Customers!A:J,5,0)</f>
        <v>Austin</v>
      </c>
      <c r="P1561" t="str">
        <f>VLOOKUP(B1561,Customers!A:J,10,0)</f>
        <v>Free</v>
      </c>
      <c r="Q1561" t="str">
        <f>VLOOKUP(B1561,Customers!A:J,8,0)</f>
        <v>Male</v>
      </c>
      <c r="R1561" t="b">
        <f t="shared" si="48"/>
        <v>1</v>
      </c>
      <c r="S1561" s="18">
        <f t="shared" si="49"/>
        <v>44713</v>
      </c>
    </row>
    <row r="1562" spans="1:19" x14ac:dyDescent="0.25">
      <c r="A1562" s="3" t="s">
        <v>2983</v>
      </c>
      <c r="B1562" s="4" t="s">
        <v>603</v>
      </c>
      <c r="C1562" s="14">
        <v>44971</v>
      </c>
      <c r="D1562" s="4" t="s">
        <v>653</v>
      </c>
      <c r="E1562" s="4" t="s">
        <v>827</v>
      </c>
      <c r="F1562" s="4">
        <v>29.99</v>
      </c>
      <c r="G1562" s="4">
        <v>2</v>
      </c>
      <c r="H1562" s="4">
        <v>10</v>
      </c>
      <c r="I1562" s="4">
        <v>26.99</v>
      </c>
      <c r="J1562" s="4">
        <v>53.98</v>
      </c>
      <c r="K1562" s="4" t="s">
        <v>661</v>
      </c>
      <c r="L1562" s="4" t="s">
        <v>656</v>
      </c>
      <c r="M1562" s="5">
        <v>2</v>
      </c>
      <c r="N1562">
        <f>VLOOKUP(B1562,Customers!A:J,7,0)</f>
        <v>34</v>
      </c>
      <c r="O1562" t="str">
        <f>VLOOKUP(B1562,Customers!A:J,5,0)</f>
        <v>Austin</v>
      </c>
      <c r="P1562" t="str">
        <f>VLOOKUP(B1562,Customers!A:J,10,0)</f>
        <v>Free</v>
      </c>
      <c r="Q1562" t="str">
        <f>VLOOKUP(B1562,Customers!A:J,8,0)</f>
        <v>Male</v>
      </c>
      <c r="R1562" t="b">
        <f t="shared" si="48"/>
        <v>1</v>
      </c>
      <c r="S1562" s="18">
        <f t="shared" si="49"/>
        <v>44958</v>
      </c>
    </row>
    <row r="1563" spans="1:19" x14ac:dyDescent="0.25">
      <c r="A1563" s="6" t="s">
        <v>2984</v>
      </c>
      <c r="B1563" s="7" t="s">
        <v>603</v>
      </c>
      <c r="C1563" s="15">
        <v>44744</v>
      </c>
      <c r="D1563" s="7" t="s">
        <v>680</v>
      </c>
      <c r="E1563" s="7" t="s">
        <v>688</v>
      </c>
      <c r="F1563" s="7">
        <v>29.99</v>
      </c>
      <c r="G1563" s="7">
        <v>3</v>
      </c>
      <c r="H1563" s="7">
        <v>0</v>
      </c>
      <c r="I1563" s="7">
        <v>29.99</v>
      </c>
      <c r="J1563" s="7">
        <v>89.97</v>
      </c>
      <c r="K1563" s="7" t="s">
        <v>675</v>
      </c>
      <c r="L1563" s="7" t="s">
        <v>656</v>
      </c>
      <c r="M1563" s="8">
        <v>5</v>
      </c>
      <c r="N1563">
        <f>VLOOKUP(B1563,Customers!A:J,7,0)</f>
        <v>34</v>
      </c>
      <c r="O1563" t="str">
        <f>VLOOKUP(B1563,Customers!A:J,5,0)</f>
        <v>Austin</v>
      </c>
      <c r="P1563" t="str">
        <f>VLOOKUP(B1563,Customers!A:J,10,0)</f>
        <v>Free</v>
      </c>
      <c r="Q1563" t="str">
        <f>VLOOKUP(B1563,Customers!A:J,8,0)</f>
        <v>Male</v>
      </c>
      <c r="R1563" t="b">
        <f t="shared" si="48"/>
        <v>1</v>
      </c>
      <c r="S1563" s="18">
        <f t="shared" si="49"/>
        <v>44743</v>
      </c>
    </row>
    <row r="1564" spans="1:19" x14ac:dyDescent="0.25">
      <c r="A1564" s="3" t="s">
        <v>2986</v>
      </c>
      <c r="B1564" s="4" t="s">
        <v>603</v>
      </c>
      <c r="C1564" s="14">
        <v>44714</v>
      </c>
      <c r="D1564" s="4" t="s">
        <v>653</v>
      </c>
      <c r="E1564" s="4" t="s">
        <v>654</v>
      </c>
      <c r="F1564" s="4">
        <v>39.99</v>
      </c>
      <c r="G1564" s="4">
        <v>4</v>
      </c>
      <c r="H1564" s="4">
        <v>20</v>
      </c>
      <c r="I1564" s="4">
        <v>31.99</v>
      </c>
      <c r="J1564" s="4">
        <v>127.96</v>
      </c>
      <c r="K1564" s="4" t="s">
        <v>661</v>
      </c>
      <c r="L1564" s="4" t="s">
        <v>656</v>
      </c>
      <c r="M1564" s="5">
        <v>4</v>
      </c>
      <c r="N1564">
        <f>VLOOKUP(B1564,Customers!A:J,7,0)</f>
        <v>34</v>
      </c>
      <c r="O1564" t="str">
        <f>VLOOKUP(B1564,Customers!A:J,5,0)</f>
        <v>Austin</v>
      </c>
      <c r="P1564" t="str">
        <f>VLOOKUP(B1564,Customers!A:J,10,0)</f>
        <v>Free</v>
      </c>
      <c r="Q1564" t="str">
        <f>VLOOKUP(B1564,Customers!A:J,8,0)</f>
        <v>Male</v>
      </c>
      <c r="R1564" t="b">
        <f t="shared" si="48"/>
        <v>1</v>
      </c>
      <c r="S1564" s="18">
        <f t="shared" si="49"/>
        <v>44713</v>
      </c>
    </row>
    <row r="1565" spans="1:19" x14ac:dyDescent="0.25">
      <c r="A1565" s="6" t="s">
        <v>2987</v>
      </c>
      <c r="B1565" s="7" t="s">
        <v>605</v>
      </c>
      <c r="C1565" s="15">
        <v>44797</v>
      </c>
      <c r="D1565" s="7" t="s">
        <v>672</v>
      </c>
      <c r="E1565" s="7" t="s">
        <v>735</v>
      </c>
      <c r="F1565" s="7">
        <v>44.99</v>
      </c>
      <c r="G1565" s="7">
        <v>2</v>
      </c>
      <c r="H1565" s="7">
        <v>10</v>
      </c>
      <c r="I1565" s="7">
        <v>40.49</v>
      </c>
      <c r="J1565" s="7">
        <v>80.98</v>
      </c>
      <c r="K1565" s="7" t="s">
        <v>655</v>
      </c>
      <c r="L1565" s="7" t="s">
        <v>656</v>
      </c>
      <c r="M1565" s="8">
        <v>3</v>
      </c>
      <c r="N1565">
        <f>VLOOKUP(B1565,Customers!A:J,7,0)</f>
        <v>35</v>
      </c>
      <c r="O1565" t="str">
        <f>VLOOKUP(B1565,Customers!A:J,5,0)</f>
        <v>Chicago</v>
      </c>
      <c r="P1565" t="str">
        <f>VLOOKUP(B1565,Customers!A:J,10,0)</f>
        <v>Silver</v>
      </c>
      <c r="Q1565" t="str">
        <f>VLOOKUP(B1565,Customers!A:J,8,0)</f>
        <v>Female</v>
      </c>
      <c r="R1565" t="b">
        <f t="shared" si="48"/>
        <v>1</v>
      </c>
      <c r="S1565" s="18">
        <f t="shared" si="49"/>
        <v>44774</v>
      </c>
    </row>
    <row r="1566" spans="1:19" x14ac:dyDescent="0.25">
      <c r="A1566" s="3" t="s">
        <v>2988</v>
      </c>
      <c r="B1566" s="4" t="s">
        <v>605</v>
      </c>
      <c r="C1566" s="14">
        <v>44806</v>
      </c>
      <c r="D1566" s="4" t="s">
        <v>667</v>
      </c>
      <c r="E1566" s="4" t="s">
        <v>699</v>
      </c>
      <c r="F1566" s="4">
        <v>89.99</v>
      </c>
      <c r="G1566" s="4">
        <v>4</v>
      </c>
      <c r="H1566" s="4">
        <v>15</v>
      </c>
      <c r="I1566" s="4">
        <v>76.489999999999995</v>
      </c>
      <c r="J1566" s="4">
        <v>305.95999999999998</v>
      </c>
      <c r="K1566" s="4" t="s">
        <v>669</v>
      </c>
      <c r="L1566" s="4" t="s">
        <v>656</v>
      </c>
      <c r="M1566" s="5">
        <v>4</v>
      </c>
      <c r="N1566">
        <f>VLOOKUP(B1566,Customers!A:J,7,0)</f>
        <v>35</v>
      </c>
      <c r="O1566" t="str">
        <f>VLOOKUP(B1566,Customers!A:J,5,0)</f>
        <v>Chicago</v>
      </c>
      <c r="P1566" t="str">
        <f>VLOOKUP(B1566,Customers!A:J,10,0)</f>
        <v>Silver</v>
      </c>
      <c r="Q1566" t="str">
        <f>VLOOKUP(B1566,Customers!A:J,8,0)</f>
        <v>Female</v>
      </c>
      <c r="R1566" t="b">
        <f t="shared" si="48"/>
        <v>1</v>
      </c>
      <c r="S1566" s="18">
        <f t="shared" si="49"/>
        <v>44805</v>
      </c>
    </row>
    <row r="1567" spans="1:19" x14ac:dyDescent="0.25">
      <c r="A1567" s="6" t="s">
        <v>2990</v>
      </c>
      <c r="B1567" s="7" t="s">
        <v>605</v>
      </c>
      <c r="C1567" s="15">
        <v>45173</v>
      </c>
      <c r="D1567" s="7" t="s">
        <v>659</v>
      </c>
      <c r="E1567" s="7" t="s">
        <v>820</v>
      </c>
      <c r="F1567" s="7">
        <v>39.99</v>
      </c>
      <c r="G1567" s="7">
        <v>2</v>
      </c>
      <c r="H1567" s="7">
        <v>10</v>
      </c>
      <c r="I1567" s="7">
        <v>35.99</v>
      </c>
      <c r="J1567" s="7">
        <v>71.98</v>
      </c>
      <c r="K1567" s="7" t="s">
        <v>669</v>
      </c>
      <c r="L1567" s="7" t="s">
        <v>656</v>
      </c>
      <c r="M1567" s="8"/>
      <c r="N1567">
        <f>VLOOKUP(B1567,Customers!A:J,7,0)</f>
        <v>35</v>
      </c>
      <c r="O1567" t="str">
        <f>VLOOKUP(B1567,Customers!A:J,5,0)</f>
        <v>Chicago</v>
      </c>
      <c r="P1567" t="str">
        <f>VLOOKUP(B1567,Customers!A:J,10,0)</f>
        <v>Silver</v>
      </c>
      <c r="Q1567" t="str">
        <f>VLOOKUP(B1567,Customers!A:J,8,0)</f>
        <v>Female</v>
      </c>
      <c r="R1567" t="b">
        <f t="shared" si="48"/>
        <v>1</v>
      </c>
      <c r="S1567" s="18">
        <f t="shared" si="49"/>
        <v>45170</v>
      </c>
    </row>
    <row r="1568" spans="1:19" x14ac:dyDescent="0.25">
      <c r="A1568" s="3" t="s">
        <v>2991</v>
      </c>
      <c r="B1568" s="4" t="s">
        <v>605</v>
      </c>
      <c r="C1568" s="14">
        <v>44583</v>
      </c>
      <c r="D1568" s="4" t="s">
        <v>653</v>
      </c>
      <c r="E1568" s="4" t="s">
        <v>827</v>
      </c>
      <c r="F1568" s="4">
        <v>29.99</v>
      </c>
      <c r="G1568" s="4">
        <v>2</v>
      </c>
      <c r="H1568" s="4">
        <v>0</v>
      </c>
      <c r="I1568" s="4">
        <v>29.99</v>
      </c>
      <c r="J1568" s="4">
        <v>59.98</v>
      </c>
      <c r="K1568" s="4" t="s">
        <v>682</v>
      </c>
      <c r="L1568" s="4" t="s">
        <v>656</v>
      </c>
      <c r="M1568" s="5">
        <v>4</v>
      </c>
      <c r="N1568">
        <f>VLOOKUP(B1568,Customers!A:J,7,0)</f>
        <v>35</v>
      </c>
      <c r="O1568" t="str">
        <f>VLOOKUP(B1568,Customers!A:J,5,0)</f>
        <v>Chicago</v>
      </c>
      <c r="P1568" t="str">
        <f>VLOOKUP(B1568,Customers!A:J,10,0)</f>
        <v>Silver</v>
      </c>
      <c r="Q1568" t="str">
        <f>VLOOKUP(B1568,Customers!A:J,8,0)</f>
        <v>Female</v>
      </c>
      <c r="R1568" t="b">
        <f t="shared" si="48"/>
        <v>1</v>
      </c>
      <c r="S1568" s="18">
        <f t="shared" si="49"/>
        <v>44562</v>
      </c>
    </row>
    <row r="1569" spans="1:19" x14ac:dyDescent="0.25">
      <c r="A1569" s="6" t="s">
        <v>2993</v>
      </c>
      <c r="B1569" s="7" t="s">
        <v>605</v>
      </c>
      <c r="C1569" s="15">
        <v>44702</v>
      </c>
      <c r="D1569" s="7" t="s">
        <v>684</v>
      </c>
      <c r="E1569" s="7" t="s">
        <v>702</v>
      </c>
      <c r="F1569" s="7">
        <v>199.99</v>
      </c>
      <c r="G1569" s="7">
        <v>2</v>
      </c>
      <c r="H1569" s="7">
        <v>0</v>
      </c>
      <c r="I1569" s="7">
        <v>199.99</v>
      </c>
      <c r="J1569" s="7">
        <v>399.98</v>
      </c>
      <c r="K1569" s="7" t="s">
        <v>682</v>
      </c>
      <c r="L1569" s="7" t="s">
        <v>656</v>
      </c>
      <c r="M1569" s="8">
        <v>5</v>
      </c>
      <c r="N1569">
        <f>VLOOKUP(B1569,Customers!A:J,7,0)</f>
        <v>35</v>
      </c>
      <c r="O1569" t="str">
        <f>VLOOKUP(B1569,Customers!A:J,5,0)</f>
        <v>Chicago</v>
      </c>
      <c r="P1569" t="str">
        <f>VLOOKUP(B1569,Customers!A:J,10,0)</f>
        <v>Silver</v>
      </c>
      <c r="Q1569" t="str">
        <f>VLOOKUP(B1569,Customers!A:J,8,0)</f>
        <v>Female</v>
      </c>
      <c r="R1569" t="b">
        <f t="shared" si="48"/>
        <v>1</v>
      </c>
      <c r="S1569" s="18">
        <f t="shared" si="49"/>
        <v>44682</v>
      </c>
    </row>
    <row r="1570" spans="1:19" x14ac:dyDescent="0.25">
      <c r="A1570" s="3" t="s">
        <v>2994</v>
      </c>
      <c r="B1570" s="4" t="s">
        <v>605</v>
      </c>
      <c r="C1570" s="14">
        <v>45544</v>
      </c>
      <c r="D1570" s="4" t="s">
        <v>710</v>
      </c>
      <c r="E1570" s="4" t="s">
        <v>744</v>
      </c>
      <c r="F1570" s="4">
        <v>29.99</v>
      </c>
      <c r="G1570" s="4">
        <v>3</v>
      </c>
      <c r="H1570" s="4">
        <v>10</v>
      </c>
      <c r="I1570" s="4">
        <v>26.99</v>
      </c>
      <c r="J1570" s="4">
        <v>80.97</v>
      </c>
      <c r="K1570" s="4" t="s">
        <v>675</v>
      </c>
      <c r="L1570" s="4" t="s">
        <v>656</v>
      </c>
      <c r="M1570" s="5">
        <v>4</v>
      </c>
      <c r="N1570">
        <f>VLOOKUP(B1570,Customers!A:J,7,0)</f>
        <v>35</v>
      </c>
      <c r="O1570" t="str">
        <f>VLOOKUP(B1570,Customers!A:J,5,0)</f>
        <v>Chicago</v>
      </c>
      <c r="P1570" t="str">
        <f>VLOOKUP(B1570,Customers!A:J,10,0)</f>
        <v>Silver</v>
      </c>
      <c r="Q1570" t="str">
        <f>VLOOKUP(B1570,Customers!A:J,8,0)</f>
        <v>Female</v>
      </c>
      <c r="R1570" t="b">
        <f t="shared" si="48"/>
        <v>1</v>
      </c>
      <c r="S1570" s="18">
        <f t="shared" si="49"/>
        <v>45536</v>
      </c>
    </row>
    <row r="1571" spans="1:19" x14ac:dyDescent="0.25">
      <c r="A1571" s="6" t="s">
        <v>2995</v>
      </c>
      <c r="B1571" s="7" t="s">
        <v>605</v>
      </c>
      <c r="C1571" s="15">
        <v>45173</v>
      </c>
      <c r="D1571" s="7" t="s">
        <v>680</v>
      </c>
      <c r="E1571" s="7" t="s">
        <v>681</v>
      </c>
      <c r="F1571" s="7">
        <v>19.989999999999998</v>
      </c>
      <c r="G1571" s="7">
        <v>1</v>
      </c>
      <c r="H1571" s="7">
        <v>0</v>
      </c>
      <c r="I1571" s="7">
        <v>19.989999999999998</v>
      </c>
      <c r="J1571" s="7">
        <v>19.989999999999998</v>
      </c>
      <c r="K1571" s="7" t="s">
        <v>682</v>
      </c>
      <c r="L1571" s="7" t="s">
        <v>656</v>
      </c>
      <c r="M1571" s="8">
        <v>5</v>
      </c>
      <c r="N1571">
        <f>VLOOKUP(B1571,Customers!A:J,7,0)</f>
        <v>35</v>
      </c>
      <c r="O1571" t="str">
        <f>VLOOKUP(B1571,Customers!A:J,5,0)</f>
        <v>Chicago</v>
      </c>
      <c r="P1571" t="str">
        <f>VLOOKUP(B1571,Customers!A:J,10,0)</f>
        <v>Silver</v>
      </c>
      <c r="Q1571" t="str">
        <f>VLOOKUP(B1571,Customers!A:J,8,0)</f>
        <v>Female</v>
      </c>
      <c r="R1571" t="b">
        <f t="shared" si="48"/>
        <v>1</v>
      </c>
      <c r="S1571" s="18">
        <f t="shared" si="49"/>
        <v>45170</v>
      </c>
    </row>
    <row r="1572" spans="1:19" x14ac:dyDescent="0.25">
      <c r="A1572" s="3" t="s">
        <v>2996</v>
      </c>
      <c r="B1572" s="4" t="s">
        <v>605</v>
      </c>
      <c r="C1572" s="14">
        <v>45454</v>
      </c>
      <c r="D1572" s="4" t="s">
        <v>680</v>
      </c>
      <c r="E1572" s="4" t="s">
        <v>708</v>
      </c>
      <c r="F1572" s="4">
        <v>24.99</v>
      </c>
      <c r="G1572" s="4">
        <v>2</v>
      </c>
      <c r="H1572" s="4">
        <v>20</v>
      </c>
      <c r="I1572" s="4">
        <v>19.989999999999998</v>
      </c>
      <c r="J1572" s="4">
        <v>39.979999999999997</v>
      </c>
      <c r="K1572" s="4" t="s">
        <v>669</v>
      </c>
      <c r="L1572" s="4" t="s">
        <v>656</v>
      </c>
      <c r="M1572" s="5"/>
      <c r="N1572">
        <f>VLOOKUP(B1572,Customers!A:J,7,0)</f>
        <v>35</v>
      </c>
      <c r="O1572" t="str">
        <f>VLOOKUP(B1572,Customers!A:J,5,0)</f>
        <v>Chicago</v>
      </c>
      <c r="P1572" t="str">
        <f>VLOOKUP(B1572,Customers!A:J,10,0)</f>
        <v>Silver</v>
      </c>
      <c r="Q1572" t="str">
        <f>VLOOKUP(B1572,Customers!A:J,8,0)</f>
        <v>Female</v>
      </c>
      <c r="R1572" t="b">
        <f t="shared" si="48"/>
        <v>1</v>
      </c>
      <c r="S1572" s="18">
        <f t="shared" si="49"/>
        <v>45444</v>
      </c>
    </row>
    <row r="1573" spans="1:19" x14ac:dyDescent="0.25">
      <c r="A1573" s="6" t="s">
        <v>2997</v>
      </c>
      <c r="B1573" s="7" t="s">
        <v>605</v>
      </c>
      <c r="C1573" s="15">
        <v>45162</v>
      </c>
      <c r="D1573" s="7" t="s">
        <v>710</v>
      </c>
      <c r="E1573" s="7" t="s">
        <v>721</v>
      </c>
      <c r="F1573" s="7">
        <v>24.99</v>
      </c>
      <c r="G1573" s="7">
        <v>2</v>
      </c>
      <c r="H1573" s="7">
        <v>0</v>
      </c>
      <c r="I1573" s="7">
        <v>24.99</v>
      </c>
      <c r="J1573" s="7">
        <v>49.98</v>
      </c>
      <c r="K1573" s="7" t="s">
        <v>682</v>
      </c>
      <c r="L1573" s="7" t="s">
        <v>788</v>
      </c>
      <c r="M1573" s="8">
        <v>4</v>
      </c>
      <c r="N1573">
        <f>VLOOKUP(B1573,Customers!A:J,7,0)</f>
        <v>35</v>
      </c>
      <c r="O1573" t="str">
        <f>VLOOKUP(B1573,Customers!A:J,5,0)</f>
        <v>Chicago</v>
      </c>
      <c r="P1573" t="str">
        <f>VLOOKUP(B1573,Customers!A:J,10,0)</f>
        <v>Silver</v>
      </c>
      <c r="Q1573" t="str">
        <f>VLOOKUP(B1573,Customers!A:J,8,0)</f>
        <v>Female</v>
      </c>
      <c r="R1573" t="b">
        <f t="shared" si="48"/>
        <v>1</v>
      </c>
      <c r="S1573" s="18">
        <f t="shared" si="49"/>
        <v>45139</v>
      </c>
    </row>
    <row r="1574" spans="1:19" x14ac:dyDescent="0.25">
      <c r="A1574" s="3" t="s">
        <v>2999</v>
      </c>
      <c r="B1574" s="4" t="s">
        <v>608</v>
      </c>
      <c r="C1574" s="14">
        <v>44566</v>
      </c>
      <c r="D1574" s="4" t="s">
        <v>684</v>
      </c>
      <c r="E1574" s="4" t="s">
        <v>705</v>
      </c>
      <c r="F1574" s="4">
        <v>79.989999999999995</v>
      </c>
      <c r="G1574" s="4">
        <v>1</v>
      </c>
      <c r="H1574" s="4">
        <v>10</v>
      </c>
      <c r="I1574" s="4">
        <v>71.989999999999995</v>
      </c>
      <c r="J1574" s="4">
        <v>71.989999999999995</v>
      </c>
      <c r="K1574" s="4" t="s">
        <v>661</v>
      </c>
      <c r="L1574" s="4" t="s">
        <v>656</v>
      </c>
      <c r="M1574" s="5">
        <v>5</v>
      </c>
      <c r="N1574">
        <f>VLOOKUP(B1574,Customers!A:J,7,0)</f>
        <v>59</v>
      </c>
      <c r="O1574" t="str">
        <f>VLOOKUP(B1574,Customers!A:J,5,0)</f>
        <v>Dallas</v>
      </c>
      <c r="P1574" t="str">
        <f>VLOOKUP(B1574,Customers!A:J,10,0)</f>
        <v>Silver</v>
      </c>
      <c r="Q1574" t="str">
        <f>VLOOKUP(B1574,Customers!A:J,8,0)</f>
        <v>Female</v>
      </c>
      <c r="R1574" t="b">
        <f t="shared" si="48"/>
        <v>1</v>
      </c>
      <c r="S1574" s="18">
        <f t="shared" si="49"/>
        <v>44562</v>
      </c>
    </row>
    <row r="1575" spans="1:19" x14ac:dyDescent="0.25">
      <c r="A1575" s="6" t="s">
        <v>3000</v>
      </c>
      <c r="B1575" s="7" t="s">
        <v>608</v>
      </c>
      <c r="C1575" s="15">
        <v>44862</v>
      </c>
      <c r="D1575" s="7" t="s">
        <v>659</v>
      </c>
      <c r="E1575" s="7" t="s">
        <v>664</v>
      </c>
      <c r="F1575" s="7">
        <v>24.99</v>
      </c>
      <c r="G1575" s="7">
        <v>3</v>
      </c>
      <c r="H1575" s="7">
        <v>20</v>
      </c>
      <c r="I1575" s="7">
        <v>19.989999999999998</v>
      </c>
      <c r="J1575" s="7">
        <v>59.97</v>
      </c>
      <c r="K1575" s="7" t="s">
        <v>669</v>
      </c>
      <c r="L1575" s="7" t="s">
        <v>788</v>
      </c>
      <c r="M1575" s="8">
        <v>5</v>
      </c>
      <c r="N1575">
        <f>VLOOKUP(B1575,Customers!A:J,7,0)</f>
        <v>59</v>
      </c>
      <c r="O1575" t="str">
        <f>VLOOKUP(B1575,Customers!A:J,5,0)</f>
        <v>Dallas</v>
      </c>
      <c r="P1575" t="str">
        <f>VLOOKUP(B1575,Customers!A:J,10,0)</f>
        <v>Silver</v>
      </c>
      <c r="Q1575" t="str">
        <f>VLOOKUP(B1575,Customers!A:J,8,0)</f>
        <v>Female</v>
      </c>
      <c r="R1575" t="b">
        <f t="shared" si="48"/>
        <v>1</v>
      </c>
      <c r="S1575" s="18">
        <f t="shared" si="49"/>
        <v>44835</v>
      </c>
    </row>
    <row r="1576" spans="1:19" x14ac:dyDescent="0.25">
      <c r="A1576" s="3" t="s">
        <v>3001</v>
      </c>
      <c r="B1576" s="4" t="s">
        <v>608</v>
      </c>
      <c r="C1576" s="14">
        <v>44846</v>
      </c>
      <c r="D1576" s="4" t="s">
        <v>672</v>
      </c>
      <c r="E1576" s="4" t="s">
        <v>735</v>
      </c>
      <c r="F1576" s="4">
        <v>44.99</v>
      </c>
      <c r="G1576" s="4">
        <v>3</v>
      </c>
      <c r="H1576" s="4">
        <v>10</v>
      </c>
      <c r="I1576" s="4">
        <v>40.49</v>
      </c>
      <c r="J1576" s="4">
        <v>121.47</v>
      </c>
      <c r="K1576" s="4" t="s">
        <v>661</v>
      </c>
      <c r="L1576" s="4" t="s">
        <v>656</v>
      </c>
      <c r="M1576" s="5"/>
      <c r="N1576">
        <f>VLOOKUP(B1576,Customers!A:J,7,0)</f>
        <v>59</v>
      </c>
      <c r="O1576" t="str">
        <f>VLOOKUP(B1576,Customers!A:J,5,0)</f>
        <v>Dallas</v>
      </c>
      <c r="P1576" t="str">
        <f>VLOOKUP(B1576,Customers!A:J,10,0)</f>
        <v>Silver</v>
      </c>
      <c r="Q1576" t="str">
        <f>VLOOKUP(B1576,Customers!A:J,8,0)</f>
        <v>Female</v>
      </c>
      <c r="R1576" t="b">
        <f t="shared" si="48"/>
        <v>1</v>
      </c>
      <c r="S1576" s="18">
        <f t="shared" si="49"/>
        <v>44835</v>
      </c>
    </row>
    <row r="1577" spans="1:19" x14ac:dyDescent="0.25">
      <c r="A1577" s="6" t="s">
        <v>3003</v>
      </c>
      <c r="B1577" s="7" t="s">
        <v>608</v>
      </c>
      <c r="C1577" s="15">
        <v>45020</v>
      </c>
      <c r="D1577" s="7" t="s">
        <v>684</v>
      </c>
      <c r="E1577" s="7" t="s">
        <v>815</v>
      </c>
      <c r="F1577" s="7">
        <v>34.99</v>
      </c>
      <c r="G1577" s="7">
        <v>3</v>
      </c>
      <c r="H1577" s="7">
        <v>10</v>
      </c>
      <c r="I1577" s="7">
        <v>31.49</v>
      </c>
      <c r="J1577" s="7">
        <v>94.47</v>
      </c>
      <c r="K1577" s="7" t="s">
        <v>682</v>
      </c>
      <c r="L1577" s="7" t="s">
        <v>656</v>
      </c>
      <c r="M1577" s="8"/>
      <c r="N1577">
        <f>VLOOKUP(B1577,Customers!A:J,7,0)</f>
        <v>59</v>
      </c>
      <c r="O1577" t="str">
        <f>VLOOKUP(B1577,Customers!A:J,5,0)</f>
        <v>Dallas</v>
      </c>
      <c r="P1577" t="str">
        <f>VLOOKUP(B1577,Customers!A:J,10,0)</f>
        <v>Silver</v>
      </c>
      <c r="Q1577" t="str">
        <f>VLOOKUP(B1577,Customers!A:J,8,0)</f>
        <v>Female</v>
      </c>
      <c r="R1577" t="b">
        <f t="shared" si="48"/>
        <v>1</v>
      </c>
      <c r="S1577" s="18">
        <f t="shared" si="49"/>
        <v>45017</v>
      </c>
    </row>
    <row r="1578" spans="1:19" x14ac:dyDescent="0.25">
      <c r="A1578" s="3" t="s">
        <v>3004</v>
      </c>
      <c r="B1578" s="4" t="s">
        <v>608</v>
      </c>
      <c r="C1578" s="14">
        <v>45523</v>
      </c>
      <c r="D1578" s="4" t="s">
        <v>659</v>
      </c>
      <c r="E1578" s="4" t="s">
        <v>660</v>
      </c>
      <c r="F1578" s="4">
        <v>19.989999999999998</v>
      </c>
      <c r="G1578" s="4">
        <v>4</v>
      </c>
      <c r="H1578" s="4">
        <v>5</v>
      </c>
      <c r="I1578" s="4">
        <v>18.989999999999998</v>
      </c>
      <c r="J1578" s="4">
        <v>75.959999999999994</v>
      </c>
      <c r="K1578" s="4" t="s">
        <v>669</v>
      </c>
      <c r="L1578" s="4" t="s">
        <v>656</v>
      </c>
      <c r="M1578" s="5">
        <v>5</v>
      </c>
      <c r="N1578">
        <f>VLOOKUP(B1578,Customers!A:J,7,0)</f>
        <v>59</v>
      </c>
      <c r="O1578" t="str">
        <f>VLOOKUP(B1578,Customers!A:J,5,0)</f>
        <v>Dallas</v>
      </c>
      <c r="P1578" t="str">
        <f>VLOOKUP(B1578,Customers!A:J,10,0)</f>
        <v>Silver</v>
      </c>
      <c r="Q1578" t="str">
        <f>VLOOKUP(B1578,Customers!A:J,8,0)</f>
        <v>Female</v>
      </c>
      <c r="R1578" t="b">
        <f t="shared" si="48"/>
        <v>1</v>
      </c>
      <c r="S1578" s="18">
        <f t="shared" si="49"/>
        <v>45505</v>
      </c>
    </row>
    <row r="1579" spans="1:19" x14ac:dyDescent="0.25">
      <c r="A1579" s="6" t="s">
        <v>3005</v>
      </c>
      <c r="B1579" s="7" t="s">
        <v>608</v>
      </c>
      <c r="C1579" s="15">
        <v>44616</v>
      </c>
      <c r="D1579" s="7" t="s">
        <v>710</v>
      </c>
      <c r="E1579" s="7" t="s">
        <v>721</v>
      </c>
      <c r="F1579" s="7">
        <v>24.99</v>
      </c>
      <c r="G1579" s="7">
        <v>4</v>
      </c>
      <c r="H1579" s="7">
        <v>15</v>
      </c>
      <c r="I1579" s="7">
        <v>21.24</v>
      </c>
      <c r="J1579" s="7">
        <v>84.96</v>
      </c>
      <c r="K1579" s="7" t="s">
        <v>661</v>
      </c>
      <c r="L1579" s="7" t="s">
        <v>656</v>
      </c>
      <c r="M1579" s="8">
        <v>5</v>
      </c>
      <c r="N1579">
        <f>VLOOKUP(B1579,Customers!A:J,7,0)</f>
        <v>59</v>
      </c>
      <c r="O1579" t="str">
        <f>VLOOKUP(B1579,Customers!A:J,5,0)</f>
        <v>Dallas</v>
      </c>
      <c r="P1579" t="str">
        <f>VLOOKUP(B1579,Customers!A:J,10,0)</f>
        <v>Silver</v>
      </c>
      <c r="Q1579" t="str">
        <f>VLOOKUP(B1579,Customers!A:J,8,0)</f>
        <v>Female</v>
      </c>
      <c r="R1579" t="b">
        <f t="shared" si="48"/>
        <v>1</v>
      </c>
      <c r="S1579" s="18">
        <f t="shared" si="49"/>
        <v>44593</v>
      </c>
    </row>
    <row r="1580" spans="1:19" x14ac:dyDescent="0.25">
      <c r="A1580" s="3" t="s">
        <v>3006</v>
      </c>
      <c r="B1580" s="4" t="s">
        <v>608</v>
      </c>
      <c r="C1580" s="14">
        <v>45489</v>
      </c>
      <c r="D1580" s="4" t="s">
        <v>710</v>
      </c>
      <c r="E1580" s="4" t="s">
        <v>721</v>
      </c>
      <c r="F1580" s="4">
        <v>24.99</v>
      </c>
      <c r="G1580" s="4">
        <v>4</v>
      </c>
      <c r="H1580" s="4">
        <v>5</v>
      </c>
      <c r="I1580" s="4">
        <v>23.74</v>
      </c>
      <c r="J1580" s="4">
        <v>94.96</v>
      </c>
      <c r="K1580" s="4" t="s">
        <v>655</v>
      </c>
      <c r="L1580" s="4" t="s">
        <v>656</v>
      </c>
      <c r="M1580" s="5">
        <v>4</v>
      </c>
      <c r="N1580">
        <f>VLOOKUP(B1580,Customers!A:J,7,0)</f>
        <v>59</v>
      </c>
      <c r="O1580" t="str">
        <f>VLOOKUP(B1580,Customers!A:J,5,0)</f>
        <v>Dallas</v>
      </c>
      <c r="P1580" t="str">
        <f>VLOOKUP(B1580,Customers!A:J,10,0)</f>
        <v>Silver</v>
      </c>
      <c r="Q1580" t="str">
        <f>VLOOKUP(B1580,Customers!A:J,8,0)</f>
        <v>Female</v>
      </c>
      <c r="R1580" t="b">
        <f t="shared" si="48"/>
        <v>1</v>
      </c>
      <c r="S1580" s="18">
        <f t="shared" si="49"/>
        <v>45474</v>
      </c>
    </row>
    <row r="1581" spans="1:19" x14ac:dyDescent="0.25">
      <c r="A1581" s="6" t="s">
        <v>3007</v>
      </c>
      <c r="B1581" s="7" t="s">
        <v>608</v>
      </c>
      <c r="C1581" s="15">
        <v>44901</v>
      </c>
      <c r="D1581" s="7" t="s">
        <v>684</v>
      </c>
      <c r="E1581" s="7" t="s">
        <v>685</v>
      </c>
      <c r="F1581" s="7">
        <v>49.99</v>
      </c>
      <c r="G1581" s="7">
        <v>3</v>
      </c>
      <c r="H1581" s="7">
        <v>20</v>
      </c>
      <c r="I1581" s="7">
        <v>39.99</v>
      </c>
      <c r="J1581" s="7">
        <v>119.97</v>
      </c>
      <c r="K1581" s="7" t="s">
        <v>675</v>
      </c>
      <c r="L1581" s="7" t="s">
        <v>656</v>
      </c>
      <c r="M1581" s="8"/>
      <c r="N1581">
        <f>VLOOKUP(B1581,Customers!A:J,7,0)</f>
        <v>59</v>
      </c>
      <c r="O1581" t="str">
        <f>VLOOKUP(B1581,Customers!A:J,5,0)</f>
        <v>Dallas</v>
      </c>
      <c r="P1581" t="str">
        <f>VLOOKUP(B1581,Customers!A:J,10,0)</f>
        <v>Silver</v>
      </c>
      <c r="Q1581" t="str">
        <f>VLOOKUP(B1581,Customers!A:J,8,0)</f>
        <v>Female</v>
      </c>
      <c r="R1581" t="b">
        <f t="shared" si="48"/>
        <v>1</v>
      </c>
      <c r="S1581" s="18">
        <f t="shared" si="49"/>
        <v>44896</v>
      </c>
    </row>
    <row r="1582" spans="1:19" x14ac:dyDescent="0.25">
      <c r="A1582" s="3" t="s">
        <v>3008</v>
      </c>
      <c r="B1582" s="4" t="s">
        <v>608</v>
      </c>
      <c r="C1582" s="14">
        <v>45348</v>
      </c>
      <c r="D1582" s="4" t="s">
        <v>680</v>
      </c>
      <c r="E1582" s="4" t="s">
        <v>681</v>
      </c>
      <c r="F1582" s="4">
        <v>19.989999999999998</v>
      </c>
      <c r="G1582" s="4">
        <v>3</v>
      </c>
      <c r="H1582" s="4">
        <v>0</v>
      </c>
      <c r="I1582" s="4">
        <v>19.989999999999998</v>
      </c>
      <c r="J1582" s="4">
        <v>59.97</v>
      </c>
      <c r="K1582" s="4" t="s">
        <v>669</v>
      </c>
      <c r="L1582" s="4" t="s">
        <v>785</v>
      </c>
      <c r="M1582" s="5"/>
      <c r="N1582">
        <f>VLOOKUP(B1582,Customers!A:J,7,0)</f>
        <v>59</v>
      </c>
      <c r="O1582" t="str">
        <f>VLOOKUP(B1582,Customers!A:J,5,0)</f>
        <v>Dallas</v>
      </c>
      <c r="P1582" t="str">
        <f>VLOOKUP(B1582,Customers!A:J,10,0)</f>
        <v>Silver</v>
      </c>
      <c r="Q1582" t="str">
        <f>VLOOKUP(B1582,Customers!A:J,8,0)</f>
        <v>Female</v>
      </c>
      <c r="R1582" t="b">
        <f t="shared" si="48"/>
        <v>1</v>
      </c>
      <c r="S1582" s="18">
        <f t="shared" si="49"/>
        <v>45323</v>
      </c>
    </row>
    <row r="1583" spans="1:19" x14ac:dyDescent="0.25">
      <c r="A1583" s="6" t="s">
        <v>3009</v>
      </c>
      <c r="B1583" s="7" t="s">
        <v>608</v>
      </c>
      <c r="C1583" s="15">
        <v>45225</v>
      </c>
      <c r="D1583" s="7" t="s">
        <v>653</v>
      </c>
      <c r="E1583" s="7" t="s">
        <v>827</v>
      </c>
      <c r="F1583" s="7">
        <v>29.99</v>
      </c>
      <c r="G1583" s="7">
        <v>4</v>
      </c>
      <c r="H1583" s="7">
        <v>20</v>
      </c>
      <c r="I1583" s="7">
        <v>23.99</v>
      </c>
      <c r="J1583" s="7">
        <v>95.96</v>
      </c>
      <c r="K1583" s="7" t="s">
        <v>669</v>
      </c>
      <c r="L1583" s="7" t="s">
        <v>656</v>
      </c>
      <c r="M1583" s="8">
        <v>4</v>
      </c>
      <c r="N1583">
        <f>VLOOKUP(B1583,Customers!A:J,7,0)</f>
        <v>59</v>
      </c>
      <c r="O1583" t="str">
        <f>VLOOKUP(B1583,Customers!A:J,5,0)</f>
        <v>Dallas</v>
      </c>
      <c r="P1583" t="str">
        <f>VLOOKUP(B1583,Customers!A:J,10,0)</f>
        <v>Silver</v>
      </c>
      <c r="Q1583" t="str">
        <f>VLOOKUP(B1583,Customers!A:J,8,0)</f>
        <v>Female</v>
      </c>
      <c r="R1583" t="b">
        <f t="shared" si="48"/>
        <v>1</v>
      </c>
      <c r="S1583" s="18">
        <f t="shared" si="49"/>
        <v>45200</v>
      </c>
    </row>
    <row r="1584" spans="1:19" x14ac:dyDescent="0.25">
      <c r="A1584" s="3" t="s">
        <v>3010</v>
      </c>
      <c r="B1584" s="4" t="s">
        <v>608</v>
      </c>
      <c r="C1584" s="14">
        <v>45241</v>
      </c>
      <c r="D1584" s="4" t="s">
        <v>653</v>
      </c>
      <c r="E1584" s="4" t="s">
        <v>654</v>
      </c>
      <c r="F1584" s="4">
        <v>39.99</v>
      </c>
      <c r="G1584" s="4">
        <v>2</v>
      </c>
      <c r="H1584" s="4">
        <v>0</v>
      </c>
      <c r="I1584" s="4">
        <v>39.99</v>
      </c>
      <c r="J1584" s="4">
        <v>79.98</v>
      </c>
      <c r="K1584" s="4" t="s">
        <v>661</v>
      </c>
      <c r="L1584" s="4" t="s">
        <v>693</v>
      </c>
      <c r="M1584" s="5"/>
      <c r="N1584">
        <f>VLOOKUP(B1584,Customers!A:J,7,0)</f>
        <v>59</v>
      </c>
      <c r="O1584" t="str">
        <f>VLOOKUP(B1584,Customers!A:J,5,0)</f>
        <v>Dallas</v>
      </c>
      <c r="P1584" t="str">
        <f>VLOOKUP(B1584,Customers!A:J,10,0)</f>
        <v>Silver</v>
      </c>
      <c r="Q1584" t="str">
        <f>VLOOKUP(B1584,Customers!A:J,8,0)</f>
        <v>Female</v>
      </c>
      <c r="R1584" t="b">
        <f t="shared" si="48"/>
        <v>1</v>
      </c>
      <c r="S1584" s="18">
        <f t="shared" si="49"/>
        <v>45231</v>
      </c>
    </row>
    <row r="1585" spans="1:19" x14ac:dyDescent="0.25">
      <c r="A1585" s="6" t="s">
        <v>3012</v>
      </c>
      <c r="B1585" s="7" t="s">
        <v>611</v>
      </c>
      <c r="C1585" s="15">
        <v>44971</v>
      </c>
      <c r="D1585" s="7" t="s">
        <v>653</v>
      </c>
      <c r="E1585" s="7" t="s">
        <v>727</v>
      </c>
      <c r="F1585" s="7">
        <v>14.99</v>
      </c>
      <c r="G1585" s="7">
        <v>1</v>
      </c>
      <c r="H1585" s="7">
        <v>10</v>
      </c>
      <c r="I1585" s="7">
        <v>13.49</v>
      </c>
      <c r="J1585" s="7">
        <v>13.49</v>
      </c>
      <c r="K1585" s="7" t="s">
        <v>661</v>
      </c>
      <c r="L1585" s="7" t="s">
        <v>656</v>
      </c>
      <c r="M1585" s="8">
        <v>5</v>
      </c>
      <c r="N1585">
        <f>VLOOKUP(B1585,Customers!A:J,7,0)</f>
        <v>30</v>
      </c>
      <c r="O1585" t="str">
        <f>VLOOKUP(B1585,Customers!A:J,5,0)</f>
        <v>San Diego</v>
      </c>
      <c r="P1585" t="str">
        <f>VLOOKUP(B1585,Customers!A:J,10,0)</f>
        <v>Free</v>
      </c>
      <c r="Q1585" t="str">
        <f>VLOOKUP(B1585,Customers!A:J,8,0)</f>
        <v>Male</v>
      </c>
      <c r="R1585" t="b">
        <f t="shared" si="48"/>
        <v>1</v>
      </c>
      <c r="S1585" s="18">
        <f t="shared" si="49"/>
        <v>44958</v>
      </c>
    </row>
    <row r="1586" spans="1:19" x14ac:dyDescent="0.25">
      <c r="A1586" s="3" t="s">
        <v>3013</v>
      </c>
      <c r="B1586" s="4" t="s">
        <v>611</v>
      </c>
      <c r="C1586" s="14">
        <v>44887</v>
      </c>
      <c r="D1586" s="4" t="s">
        <v>684</v>
      </c>
      <c r="E1586" s="4" t="s">
        <v>702</v>
      </c>
      <c r="F1586" s="4">
        <v>199.99</v>
      </c>
      <c r="G1586" s="4">
        <v>4</v>
      </c>
      <c r="H1586" s="4">
        <v>20</v>
      </c>
      <c r="I1586" s="4">
        <v>159.99</v>
      </c>
      <c r="J1586" s="4">
        <v>639.96</v>
      </c>
      <c r="K1586" s="4" t="s">
        <v>675</v>
      </c>
      <c r="L1586" s="4" t="s">
        <v>656</v>
      </c>
      <c r="M1586" s="5">
        <v>4</v>
      </c>
      <c r="N1586">
        <f>VLOOKUP(B1586,Customers!A:J,7,0)</f>
        <v>30</v>
      </c>
      <c r="O1586" t="str">
        <f>VLOOKUP(B1586,Customers!A:J,5,0)</f>
        <v>San Diego</v>
      </c>
      <c r="P1586" t="str">
        <f>VLOOKUP(B1586,Customers!A:J,10,0)</f>
        <v>Free</v>
      </c>
      <c r="Q1586" t="str">
        <f>VLOOKUP(B1586,Customers!A:J,8,0)</f>
        <v>Male</v>
      </c>
      <c r="R1586" t="b">
        <f t="shared" si="48"/>
        <v>1</v>
      </c>
      <c r="S1586" s="18">
        <f t="shared" si="49"/>
        <v>44866</v>
      </c>
    </row>
    <row r="1587" spans="1:19" x14ac:dyDescent="0.25">
      <c r="A1587" s="6" t="s">
        <v>3015</v>
      </c>
      <c r="B1587" s="7" t="s">
        <v>611</v>
      </c>
      <c r="C1587" s="15">
        <v>44717</v>
      </c>
      <c r="D1587" s="7" t="s">
        <v>659</v>
      </c>
      <c r="E1587" s="7" t="s">
        <v>820</v>
      </c>
      <c r="F1587" s="7">
        <v>39.99</v>
      </c>
      <c r="G1587" s="7">
        <v>3</v>
      </c>
      <c r="H1587" s="7">
        <v>0</v>
      </c>
      <c r="I1587" s="7">
        <v>39.99</v>
      </c>
      <c r="J1587" s="7">
        <v>119.97</v>
      </c>
      <c r="K1587" s="7" t="s">
        <v>669</v>
      </c>
      <c r="L1587" s="7" t="s">
        <v>656</v>
      </c>
      <c r="M1587" s="8">
        <v>5</v>
      </c>
      <c r="N1587">
        <f>VLOOKUP(B1587,Customers!A:J,7,0)</f>
        <v>30</v>
      </c>
      <c r="O1587" t="str">
        <f>VLOOKUP(B1587,Customers!A:J,5,0)</f>
        <v>San Diego</v>
      </c>
      <c r="P1587" t="str">
        <f>VLOOKUP(B1587,Customers!A:J,10,0)</f>
        <v>Free</v>
      </c>
      <c r="Q1587" t="str">
        <f>VLOOKUP(B1587,Customers!A:J,8,0)</f>
        <v>Male</v>
      </c>
      <c r="R1587" t="b">
        <f t="shared" si="48"/>
        <v>1</v>
      </c>
      <c r="S1587" s="18">
        <f t="shared" si="49"/>
        <v>44713</v>
      </c>
    </row>
    <row r="1588" spans="1:19" x14ac:dyDescent="0.25">
      <c r="A1588" s="3" t="s">
        <v>3016</v>
      </c>
      <c r="B1588" s="4" t="s">
        <v>611</v>
      </c>
      <c r="C1588" s="14">
        <v>45409</v>
      </c>
      <c r="D1588" s="4" t="s">
        <v>684</v>
      </c>
      <c r="E1588" s="4" t="s">
        <v>815</v>
      </c>
      <c r="F1588" s="4">
        <v>34.99</v>
      </c>
      <c r="G1588" s="4">
        <v>2</v>
      </c>
      <c r="H1588" s="4">
        <v>0</v>
      </c>
      <c r="I1588" s="4">
        <v>34.99</v>
      </c>
      <c r="J1588" s="4">
        <v>69.98</v>
      </c>
      <c r="K1588" s="4" t="s">
        <v>675</v>
      </c>
      <c r="L1588" s="4" t="s">
        <v>656</v>
      </c>
      <c r="M1588" s="5"/>
      <c r="N1588">
        <f>VLOOKUP(B1588,Customers!A:J,7,0)</f>
        <v>30</v>
      </c>
      <c r="O1588" t="str">
        <f>VLOOKUP(B1588,Customers!A:J,5,0)</f>
        <v>San Diego</v>
      </c>
      <c r="P1588" t="str">
        <f>VLOOKUP(B1588,Customers!A:J,10,0)</f>
        <v>Free</v>
      </c>
      <c r="Q1588" t="str">
        <f>VLOOKUP(B1588,Customers!A:J,8,0)</f>
        <v>Male</v>
      </c>
      <c r="R1588" t="b">
        <f t="shared" si="48"/>
        <v>1</v>
      </c>
      <c r="S1588" s="18">
        <f t="shared" si="49"/>
        <v>45383</v>
      </c>
    </row>
    <row r="1589" spans="1:19" x14ac:dyDescent="0.25">
      <c r="A1589" s="6" t="s">
        <v>3017</v>
      </c>
      <c r="B1589" s="7" t="s">
        <v>614</v>
      </c>
      <c r="C1589" s="15">
        <v>44659</v>
      </c>
      <c r="D1589" s="7" t="s">
        <v>710</v>
      </c>
      <c r="E1589" s="7" t="s">
        <v>721</v>
      </c>
      <c r="F1589" s="7">
        <v>24.99</v>
      </c>
      <c r="G1589" s="7">
        <v>4</v>
      </c>
      <c r="H1589" s="7">
        <v>0</v>
      </c>
      <c r="I1589" s="7">
        <v>24.99</v>
      </c>
      <c r="J1589" s="7">
        <v>99.96</v>
      </c>
      <c r="K1589" s="7" t="s">
        <v>661</v>
      </c>
      <c r="L1589" s="7" t="s">
        <v>656</v>
      </c>
      <c r="M1589" s="8">
        <v>4</v>
      </c>
      <c r="N1589">
        <f>VLOOKUP(B1589,Customers!A:J,7,0)</f>
        <v>52</v>
      </c>
      <c r="O1589" t="str">
        <f>VLOOKUP(B1589,Customers!A:J,5,0)</f>
        <v>San Jose</v>
      </c>
      <c r="P1589" t="str">
        <f>VLOOKUP(B1589,Customers!A:J,10,0)</f>
        <v>Free</v>
      </c>
      <c r="Q1589" t="str">
        <f>VLOOKUP(B1589,Customers!A:J,8,0)</f>
        <v>Female</v>
      </c>
      <c r="R1589" t="b">
        <f t="shared" si="48"/>
        <v>1</v>
      </c>
      <c r="S1589" s="18">
        <f t="shared" si="49"/>
        <v>44652</v>
      </c>
    </row>
    <row r="1590" spans="1:19" x14ac:dyDescent="0.25">
      <c r="A1590" s="3" t="s">
        <v>3019</v>
      </c>
      <c r="B1590" s="4" t="s">
        <v>614</v>
      </c>
      <c r="C1590" s="14">
        <v>45586</v>
      </c>
      <c r="D1590" s="4" t="s">
        <v>684</v>
      </c>
      <c r="E1590" s="4" t="s">
        <v>685</v>
      </c>
      <c r="F1590" s="4">
        <v>49.99</v>
      </c>
      <c r="G1590" s="4">
        <v>1</v>
      </c>
      <c r="H1590" s="4">
        <v>20</v>
      </c>
      <c r="I1590" s="4">
        <v>39.99</v>
      </c>
      <c r="J1590" s="4">
        <v>39.99</v>
      </c>
      <c r="K1590" s="4" t="s">
        <v>675</v>
      </c>
      <c r="L1590" s="4" t="s">
        <v>656</v>
      </c>
      <c r="M1590" s="5">
        <v>3</v>
      </c>
      <c r="N1590">
        <f>VLOOKUP(B1590,Customers!A:J,7,0)</f>
        <v>52</v>
      </c>
      <c r="O1590" t="str">
        <f>VLOOKUP(B1590,Customers!A:J,5,0)</f>
        <v>San Jose</v>
      </c>
      <c r="P1590" t="str">
        <f>VLOOKUP(B1590,Customers!A:J,10,0)</f>
        <v>Free</v>
      </c>
      <c r="Q1590" t="str">
        <f>VLOOKUP(B1590,Customers!A:J,8,0)</f>
        <v>Female</v>
      </c>
      <c r="R1590" t="b">
        <f t="shared" si="48"/>
        <v>1</v>
      </c>
      <c r="S1590" s="18">
        <f t="shared" si="49"/>
        <v>45566</v>
      </c>
    </row>
    <row r="1591" spans="1:19" x14ac:dyDescent="0.25">
      <c r="A1591" s="6" t="s">
        <v>3020</v>
      </c>
      <c r="B1591" s="7" t="s">
        <v>614</v>
      </c>
      <c r="C1591" s="15">
        <v>44768</v>
      </c>
      <c r="D1591" s="7" t="s">
        <v>680</v>
      </c>
      <c r="E1591" s="7" t="s">
        <v>688</v>
      </c>
      <c r="F1591" s="7">
        <v>29.99</v>
      </c>
      <c r="G1591" s="7">
        <v>2</v>
      </c>
      <c r="H1591" s="7">
        <v>5</v>
      </c>
      <c r="I1591" s="7">
        <v>28.49</v>
      </c>
      <c r="J1591" s="7">
        <v>56.98</v>
      </c>
      <c r="K1591" s="7" t="s">
        <v>655</v>
      </c>
      <c r="L1591" s="7" t="s">
        <v>656</v>
      </c>
      <c r="M1591" s="8">
        <v>2</v>
      </c>
      <c r="N1591">
        <f>VLOOKUP(B1591,Customers!A:J,7,0)</f>
        <v>52</v>
      </c>
      <c r="O1591" t="str">
        <f>VLOOKUP(B1591,Customers!A:J,5,0)</f>
        <v>San Jose</v>
      </c>
      <c r="P1591" t="str">
        <f>VLOOKUP(B1591,Customers!A:J,10,0)</f>
        <v>Free</v>
      </c>
      <c r="Q1591" t="str">
        <f>VLOOKUP(B1591,Customers!A:J,8,0)</f>
        <v>Female</v>
      </c>
      <c r="R1591" t="b">
        <f t="shared" si="48"/>
        <v>1</v>
      </c>
      <c r="S1591" s="18">
        <f t="shared" si="49"/>
        <v>44743</v>
      </c>
    </row>
    <row r="1592" spans="1:19" x14ac:dyDescent="0.25">
      <c r="A1592" s="3" t="s">
        <v>3021</v>
      </c>
      <c r="B1592" s="4" t="s">
        <v>614</v>
      </c>
      <c r="C1592" s="14">
        <v>45051</v>
      </c>
      <c r="D1592" s="4" t="s">
        <v>672</v>
      </c>
      <c r="E1592" s="4" t="s">
        <v>735</v>
      </c>
      <c r="F1592" s="4">
        <v>44.99</v>
      </c>
      <c r="G1592" s="4">
        <v>2</v>
      </c>
      <c r="H1592" s="4">
        <v>0</v>
      </c>
      <c r="I1592" s="4">
        <v>44.99</v>
      </c>
      <c r="J1592" s="4">
        <v>89.98</v>
      </c>
      <c r="K1592" s="4" t="s">
        <v>682</v>
      </c>
      <c r="L1592" s="4" t="s">
        <v>656</v>
      </c>
      <c r="M1592" s="5">
        <v>4</v>
      </c>
      <c r="N1592">
        <f>VLOOKUP(B1592,Customers!A:J,7,0)</f>
        <v>52</v>
      </c>
      <c r="O1592" t="str">
        <f>VLOOKUP(B1592,Customers!A:J,5,0)</f>
        <v>San Jose</v>
      </c>
      <c r="P1592" t="str">
        <f>VLOOKUP(B1592,Customers!A:J,10,0)</f>
        <v>Free</v>
      </c>
      <c r="Q1592" t="str">
        <f>VLOOKUP(B1592,Customers!A:J,8,0)</f>
        <v>Female</v>
      </c>
      <c r="R1592" t="b">
        <f t="shared" si="48"/>
        <v>1</v>
      </c>
      <c r="S1592" s="18">
        <f t="shared" si="49"/>
        <v>45047</v>
      </c>
    </row>
    <row r="1593" spans="1:19" x14ac:dyDescent="0.25">
      <c r="A1593" s="6" t="s">
        <v>3022</v>
      </c>
      <c r="B1593" s="7" t="s">
        <v>614</v>
      </c>
      <c r="C1593" s="15">
        <v>44668</v>
      </c>
      <c r="D1593" s="7" t="s">
        <v>659</v>
      </c>
      <c r="E1593" s="7" t="s">
        <v>820</v>
      </c>
      <c r="F1593" s="7">
        <v>39.99</v>
      </c>
      <c r="G1593" s="7">
        <v>4</v>
      </c>
      <c r="H1593" s="7">
        <v>5</v>
      </c>
      <c r="I1593" s="7">
        <v>37.99</v>
      </c>
      <c r="J1593" s="7">
        <v>151.96</v>
      </c>
      <c r="K1593" s="7" t="s">
        <v>675</v>
      </c>
      <c r="L1593" s="7" t="s">
        <v>656</v>
      </c>
      <c r="M1593" s="8">
        <v>1</v>
      </c>
      <c r="N1593">
        <f>VLOOKUP(B1593,Customers!A:J,7,0)</f>
        <v>52</v>
      </c>
      <c r="O1593" t="str">
        <f>VLOOKUP(B1593,Customers!A:J,5,0)</f>
        <v>San Jose</v>
      </c>
      <c r="P1593" t="str">
        <f>VLOOKUP(B1593,Customers!A:J,10,0)</f>
        <v>Free</v>
      </c>
      <c r="Q1593" t="str">
        <f>VLOOKUP(B1593,Customers!A:J,8,0)</f>
        <v>Female</v>
      </c>
      <c r="R1593" t="b">
        <f t="shared" si="48"/>
        <v>1</v>
      </c>
      <c r="S1593" s="18">
        <f t="shared" si="49"/>
        <v>44652</v>
      </c>
    </row>
    <row r="1594" spans="1:19" x14ac:dyDescent="0.25">
      <c r="A1594" s="3" t="s">
        <v>3023</v>
      </c>
      <c r="B1594" s="4" t="s">
        <v>614</v>
      </c>
      <c r="C1594" s="14">
        <v>44632</v>
      </c>
      <c r="D1594" s="4" t="s">
        <v>710</v>
      </c>
      <c r="E1594" s="4" t="s">
        <v>711</v>
      </c>
      <c r="F1594" s="4">
        <v>14.99</v>
      </c>
      <c r="G1594" s="4">
        <v>4</v>
      </c>
      <c r="H1594" s="4">
        <v>10</v>
      </c>
      <c r="I1594" s="4">
        <v>13.49</v>
      </c>
      <c r="J1594" s="4">
        <v>53.96</v>
      </c>
      <c r="K1594" s="4" t="s">
        <v>669</v>
      </c>
      <c r="L1594" s="4" t="s">
        <v>656</v>
      </c>
      <c r="M1594" s="5">
        <v>5</v>
      </c>
      <c r="N1594">
        <f>VLOOKUP(B1594,Customers!A:J,7,0)</f>
        <v>52</v>
      </c>
      <c r="O1594" t="str">
        <f>VLOOKUP(B1594,Customers!A:J,5,0)</f>
        <v>San Jose</v>
      </c>
      <c r="P1594" t="str">
        <f>VLOOKUP(B1594,Customers!A:J,10,0)</f>
        <v>Free</v>
      </c>
      <c r="Q1594" t="str">
        <f>VLOOKUP(B1594,Customers!A:J,8,0)</f>
        <v>Female</v>
      </c>
      <c r="R1594" t="b">
        <f t="shared" si="48"/>
        <v>1</v>
      </c>
      <c r="S1594" s="18">
        <f t="shared" si="49"/>
        <v>44621</v>
      </c>
    </row>
    <row r="1595" spans="1:19" x14ac:dyDescent="0.25">
      <c r="A1595" s="6" t="s">
        <v>3024</v>
      </c>
      <c r="B1595" s="7" t="s">
        <v>614</v>
      </c>
      <c r="C1595" s="15">
        <v>45544</v>
      </c>
      <c r="D1595" s="7" t="s">
        <v>684</v>
      </c>
      <c r="E1595" s="7" t="s">
        <v>702</v>
      </c>
      <c r="F1595" s="7">
        <v>199.99</v>
      </c>
      <c r="G1595" s="7">
        <v>1</v>
      </c>
      <c r="H1595" s="7">
        <v>10</v>
      </c>
      <c r="I1595" s="7">
        <v>179.99</v>
      </c>
      <c r="J1595" s="7">
        <v>179.99</v>
      </c>
      <c r="K1595" s="7" t="s">
        <v>669</v>
      </c>
      <c r="L1595" s="7" t="s">
        <v>739</v>
      </c>
      <c r="M1595" s="8">
        <v>5</v>
      </c>
      <c r="N1595">
        <f>VLOOKUP(B1595,Customers!A:J,7,0)</f>
        <v>52</v>
      </c>
      <c r="O1595" t="str">
        <f>VLOOKUP(B1595,Customers!A:J,5,0)</f>
        <v>San Jose</v>
      </c>
      <c r="P1595" t="str">
        <f>VLOOKUP(B1595,Customers!A:J,10,0)</f>
        <v>Free</v>
      </c>
      <c r="Q1595" t="str">
        <f>VLOOKUP(B1595,Customers!A:J,8,0)</f>
        <v>Female</v>
      </c>
      <c r="R1595" t="b">
        <f t="shared" si="48"/>
        <v>1</v>
      </c>
      <c r="S1595" s="18">
        <f t="shared" si="49"/>
        <v>45536</v>
      </c>
    </row>
    <row r="1596" spans="1:19" x14ac:dyDescent="0.25">
      <c r="A1596" s="3" t="s">
        <v>3025</v>
      </c>
      <c r="B1596" s="4" t="s">
        <v>614</v>
      </c>
      <c r="C1596" s="14">
        <v>45122</v>
      </c>
      <c r="D1596" s="4" t="s">
        <v>659</v>
      </c>
      <c r="E1596" s="4" t="s">
        <v>820</v>
      </c>
      <c r="F1596" s="4">
        <v>39.99</v>
      </c>
      <c r="G1596" s="4">
        <v>3</v>
      </c>
      <c r="H1596" s="4">
        <v>15</v>
      </c>
      <c r="I1596" s="4">
        <v>33.99</v>
      </c>
      <c r="J1596" s="4">
        <v>101.97</v>
      </c>
      <c r="K1596" s="4" t="s">
        <v>675</v>
      </c>
      <c r="L1596" s="4" t="s">
        <v>656</v>
      </c>
      <c r="M1596" s="5">
        <v>4</v>
      </c>
      <c r="N1596">
        <f>VLOOKUP(B1596,Customers!A:J,7,0)</f>
        <v>52</v>
      </c>
      <c r="O1596" t="str">
        <f>VLOOKUP(B1596,Customers!A:J,5,0)</f>
        <v>San Jose</v>
      </c>
      <c r="P1596" t="str">
        <f>VLOOKUP(B1596,Customers!A:J,10,0)</f>
        <v>Free</v>
      </c>
      <c r="Q1596" t="str">
        <f>VLOOKUP(B1596,Customers!A:J,8,0)</f>
        <v>Female</v>
      </c>
      <c r="R1596" t="b">
        <f t="shared" si="48"/>
        <v>1</v>
      </c>
      <c r="S1596" s="18">
        <f t="shared" si="49"/>
        <v>45108</v>
      </c>
    </row>
    <row r="1597" spans="1:19" x14ac:dyDescent="0.25">
      <c r="A1597" s="6" t="s">
        <v>3026</v>
      </c>
      <c r="B1597" s="7" t="s">
        <v>617</v>
      </c>
      <c r="C1597" s="15">
        <v>44787</v>
      </c>
      <c r="D1597" s="7" t="s">
        <v>710</v>
      </c>
      <c r="E1597" s="7" t="s">
        <v>744</v>
      </c>
      <c r="F1597" s="7">
        <v>29.99</v>
      </c>
      <c r="G1597" s="7">
        <v>2</v>
      </c>
      <c r="H1597" s="7">
        <v>0</v>
      </c>
      <c r="I1597" s="7">
        <v>29.99</v>
      </c>
      <c r="J1597" s="7">
        <v>59.98</v>
      </c>
      <c r="K1597" s="7" t="s">
        <v>655</v>
      </c>
      <c r="L1597" s="7" t="s">
        <v>656</v>
      </c>
      <c r="M1597" s="8"/>
      <c r="N1597">
        <f>VLOOKUP(B1597,Customers!A:J,7,0)</f>
        <v>27</v>
      </c>
      <c r="O1597" t="str">
        <f>VLOOKUP(B1597,Customers!A:J,5,0)</f>
        <v>San Diego</v>
      </c>
      <c r="P1597" t="str">
        <f>VLOOKUP(B1597,Customers!A:J,10,0)</f>
        <v>Free</v>
      </c>
      <c r="Q1597" t="str">
        <f>VLOOKUP(B1597,Customers!A:J,8,0)</f>
        <v>Female</v>
      </c>
      <c r="R1597" t="b">
        <f t="shared" si="48"/>
        <v>1</v>
      </c>
      <c r="S1597" s="18">
        <f t="shared" si="49"/>
        <v>44774</v>
      </c>
    </row>
    <row r="1598" spans="1:19" x14ac:dyDescent="0.25">
      <c r="A1598" s="3" t="s">
        <v>3028</v>
      </c>
      <c r="B1598" s="4" t="s">
        <v>617</v>
      </c>
      <c r="C1598" s="14">
        <v>44690</v>
      </c>
      <c r="D1598" s="4" t="s">
        <v>680</v>
      </c>
      <c r="E1598" s="4" t="s">
        <v>708</v>
      </c>
      <c r="F1598" s="4">
        <v>24.99</v>
      </c>
      <c r="G1598" s="4">
        <v>4</v>
      </c>
      <c r="H1598" s="4">
        <v>5</v>
      </c>
      <c r="I1598" s="4">
        <v>23.74</v>
      </c>
      <c r="J1598" s="4">
        <v>94.96</v>
      </c>
      <c r="K1598" s="4" t="s">
        <v>655</v>
      </c>
      <c r="L1598" s="4" t="s">
        <v>656</v>
      </c>
      <c r="M1598" s="5"/>
      <c r="N1598">
        <f>VLOOKUP(B1598,Customers!A:J,7,0)</f>
        <v>27</v>
      </c>
      <c r="O1598" t="str">
        <f>VLOOKUP(B1598,Customers!A:J,5,0)</f>
        <v>San Diego</v>
      </c>
      <c r="P1598" t="str">
        <f>VLOOKUP(B1598,Customers!A:J,10,0)</f>
        <v>Free</v>
      </c>
      <c r="Q1598" t="str">
        <f>VLOOKUP(B1598,Customers!A:J,8,0)</f>
        <v>Female</v>
      </c>
      <c r="R1598" t="b">
        <f t="shared" si="48"/>
        <v>1</v>
      </c>
      <c r="S1598" s="18">
        <f t="shared" si="49"/>
        <v>44682</v>
      </c>
    </row>
    <row r="1599" spans="1:19" x14ac:dyDescent="0.25">
      <c r="A1599" s="6" t="s">
        <v>3030</v>
      </c>
      <c r="B1599" s="7" t="s">
        <v>617</v>
      </c>
      <c r="C1599" s="15">
        <v>44634</v>
      </c>
      <c r="D1599" s="7" t="s">
        <v>672</v>
      </c>
      <c r="E1599" s="7" t="s">
        <v>724</v>
      </c>
      <c r="F1599" s="7">
        <v>89.99</v>
      </c>
      <c r="G1599" s="7">
        <v>2</v>
      </c>
      <c r="H1599" s="7">
        <v>10</v>
      </c>
      <c r="I1599" s="7">
        <v>80.989999999999995</v>
      </c>
      <c r="J1599" s="7">
        <v>161.97999999999999</v>
      </c>
      <c r="K1599" s="7" t="s">
        <v>655</v>
      </c>
      <c r="L1599" s="7" t="s">
        <v>656</v>
      </c>
      <c r="M1599" s="8"/>
      <c r="N1599">
        <f>VLOOKUP(B1599,Customers!A:J,7,0)</f>
        <v>27</v>
      </c>
      <c r="O1599" t="str">
        <f>VLOOKUP(B1599,Customers!A:J,5,0)</f>
        <v>San Diego</v>
      </c>
      <c r="P1599" t="str">
        <f>VLOOKUP(B1599,Customers!A:J,10,0)</f>
        <v>Free</v>
      </c>
      <c r="Q1599" t="str">
        <f>VLOOKUP(B1599,Customers!A:J,8,0)</f>
        <v>Female</v>
      </c>
      <c r="R1599" t="b">
        <f t="shared" si="48"/>
        <v>1</v>
      </c>
      <c r="S1599" s="18">
        <f t="shared" si="49"/>
        <v>44621</v>
      </c>
    </row>
    <row r="1600" spans="1:19" x14ac:dyDescent="0.25">
      <c r="A1600" s="3" t="s">
        <v>3031</v>
      </c>
      <c r="B1600" s="4" t="s">
        <v>617</v>
      </c>
      <c r="C1600" s="14">
        <v>45202</v>
      </c>
      <c r="D1600" s="4" t="s">
        <v>684</v>
      </c>
      <c r="E1600" s="4" t="s">
        <v>702</v>
      </c>
      <c r="F1600" s="4">
        <v>199.99</v>
      </c>
      <c r="G1600" s="4">
        <v>1</v>
      </c>
      <c r="H1600" s="4">
        <v>0</v>
      </c>
      <c r="I1600" s="4">
        <v>199.99</v>
      </c>
      <c r="J1600" s="4">
        <v>199.99</v>
      </c>
      <c r="K1600" s="4" t="s">
        <v>661</v>
      </c>
      <c r="L1600" s="4" t="s">
        <v>788</v>
      </c>
      <c r="M1600" s="5"/>
      <c r="N1600">
        <f>VLOOKUP(B1600,Customers!A:J,7,0)</f>
        <v>27</v>
      </c>
      <c r="O1600" t="str">
        <f>VLOOKUP(B1600,Customers!A:J,5,0)</f>
        <v>San Diego</v>
      </c>
      <c r="P1600" t="str">
        <f>VLOOKUP(B1600,Customers!A:J,10,0)</f>
        <v>Free</v>
      </c>
      <c r="Q1600" t="str">
        <f>VLOOKUP(B1600,Customers!A:J,8,0)</f>
        <v>Female</v>
      </c>
      <c r="R1600" t="b">
        <f t="shared" si="48"/>
        <v>1</v>
      </c>
      <c r="S1600" s="18">
        <f t="shared" si="49"/>
        <v>45200</v>
      </c>
    </row>
    <row r="1601" spans="1:19" x14ac:dyDescent="0.25">
      <c r="A1601" s="6" t="s">
        <v>3032</v>
      </c>
      <c r="B1601" s="7" t="s">
        <v>617</v>
      </c>
      <c r="C1601" s="15">
        <v>45039</v>
      </c>
      <c r="D1601" s="7" t="s">
        <v>653</v>
      </c>
      <c r="E1601" s="7" t="s">
        <v>827</v>
      </c>
      <c r="F1601" s="7">
        <v>29.99</v>
      </c>
      <c r="G1601" s="7">
        <v>4</v>
      </c>
      <c r="H1601" s="7">
        <v>0</v>
      </c>
      <c r="I1601" s="7">
        <v>29.99</v>
      </c>
      <c r="J1601" s="7">
        <v>119.96</v>
      </c>
      <c r="K1601" s="7" t="s">
        <v>669</v>
      </c>
      <c r="L1601" s="7" t="s">
        <v>656</v>
      </c>
      <c r="M1601" s="8">
        <v>5</v>
      </c>
      <c r="N1601">
        <f>VLOOKUP(B1601,Customers!A:J,7,0)</f>
        <v>27</v>
      </c>
      <c r="O1601" t="str">
        <f>VLOOKUP(B1601,Customers!A:J,5,0)</f>
        <v>San Diego</v>
      </c>
      <c r="P1601" t="str">
        <f>VLOOKUP(B1601,Customers!A:J,10,0)</f>
        <v>Free</v>
      </c>
      <c r="Q1601" t="str">
        <f>VLOOKUP(B1601,Customers!A:J,8,0)</f>
        <v>Female</v>
      </c>
      <c r="R1601" t="b">
        <f t="shared" si="48"/>
        <v>1</v>
      </c>
      <c r="S1601" s="18">
        <f t="shared" si="49"/>
        <v>45017</v>
      </c>
    </row>
    <row r="1602" spans="1:19" x14ac:dyDescent="0.25">
      <c r="A1602" s="3" t="s">
        <v>3034</v>
      </c>
      <c r="B1602" s="4" t="s">
        <v>617</v>
      </c>
      <c r="C1602" s="14">
        <v>45041</v>
      </c>
      <c r="D1602" s="4" t="s">
        <v>653</v>
      </c>
      <c r="E1602" s="4" t="s">
        <v>827</v>
      </c>
      <c r="F1602" s="4">
        <v>29.99</v>
      </c>
      <c r="G1602" s="4">
        <v>3</v>
      </c>
      <c r="H1602" s="4">
        <v>0</v>
      </c>
      <c r="I1602" s="4">
        <v>29.99</v>
      </c>
      <c r="J1602" s="4">
        <v>89.97</v>
      </c>
      <c r="K1602" s="4" t="s">
        <v>675</v>
      </c>
      <c r="L1602" s="4" t="s">
        <v>656</v>
      </c>
      <c r="M1602" s="5"/>
      <c r="N1602">
        <f>VLOOKUP(B1602,Customers!A:J,7,0)</f>
        <v>27</v>
      </c>
      <c r="O1602" t="str">
        <f>VLOOKUP(B1602,Customers!A:J,5,0)</f>
        <v>San Diego</v>
      </c>
      <c r="P1602" t="str">
        <f>VLOOKUP(B1602,Customers!A:J,10,0)</f>
        <v>Free</v>
      </c>
      <c r="Q1602" t="str">
        <f>VLOOKUP(B1602,Customers!A:J,8,0)</f>
        <v>Female</v>
      </c>
      <c r="R1602" t="b">
        <f t="shared" si="48"/>
        <v>1</v>
      </c>
      <c r="S1602" s="18">
        <f t="shared" si="49"/>
        <v>45017</v>
      </c>
    </row>
    <row r="1603" spans="1:19" x14ac:dyDescent="0.25">
      <c r="A1603" s="6" t="s">
        <v>3035</v>
      </c>
      <c r="B1603" s="7" t="s">
        <v>617</v>
      </c>
      <c r="C1603" s="15">
        <v>45246</v>
      </c>
      <c r="D1603" s="7" t="s">
        <v>667</v>
      </c>
      <c r="E1603" s="7" t="s">
        <v>699</v>
      </c>
      <c r="F1603" s="7">
        <v>89.99</v>
      </c>
      <c r="G1603" s="7">
        <v>3</v>
      </c>
      <c r="H1603" s="7">
        <v>5</v>
      </c>
      <c r="I1603" s="7">
        <v>85.49</v>
      </c>
      <c r="J1603" s="7">
        <v>256.47000000000003</v>
      </c>
      <c r="K1603" s="7" t="s">
        <v>669</v>
      </c>
      <c r="L1603" s="7" t="s">
        <v>656</v>
      </c>
      <c r="M1603" s="8">
        <v>3</v>
      </c>
      <c r="N1603">
        <f>VLOOKUP(B1603,Customers!A:J,7,0)</f>
        <v>27</v>
      </c>
      <c r="O1603" t="str">
        <f>VLOOKUP(B1603,Customers!A:J,5,0)</f>
        <v>San Diego</v>
      </c>
      <c r="P1603" t="str">
        <f>VLOOKUP(B1603,Customers!A:J,10,0)</f>
        <v>Free</v>
      </c>
      <c r="Q1603" t="str">
        <f>VLOOKUP(B1603,Customers!A:J,8,0)</f>
        <v>Female</v>
      </c>
      <c r="R1603" t="b">
        <f t="shared" ref="R1603:R1655" si="50">ISNUMBER(C1603)</f>
        <v>1</v>
      </c>
      <c r="S1603" s="18">
        <f t="shared" ref="S1603:S1655" si="51">DATE(YEAR(C1603),MONTH(C1603),1)</f>
        <v>45231</v>
      </c>
    </row>
    <row r="1604" spans="1:19" x14ac:dyDescent="0.25">
      <c r="A1604" s="3" t="s">
        <v>3036</v>
      </c>
      <c r="B1604" s="4" t="s">
        <v>617</v>
      </c>
      <c r="C1604" s="14">
        <v>44801</v>
      </c>
      <c r="D1604" s="4" t="s">
        <v>667</v>
      </c>
      <c r="E1604" s="4" t="s">
        <v>668</v>
      </c>
      <c r="F1604" s="4">
        <v>64.989999999999995</v>
      </c>
      <c r="G1604" s="4">
        <v>3</v>
      </c>
      <c r="H1604" s="4">
        <v>0</v>
      </c>
      <c r="I1604" s="4">
        <v>64.989999999999995</v>
      </c>
      <c r="J1604" s="4">
        <v>194.97</v>
      </c>
      <c r="K1604" s="4" t="s">
        <v>669</v>
      </c>
      <c r="L1604" s="4" t="s">
        <v>656</v>
      </c>
      <c r="M1604" s="5">
        <v>4</v>
      </c>
      <c r="N1604">
        <f>VLOOKUP(B1604,Customers!A:J,7,0)</f>
        <v>27</v>
      </c>
      <c r="O1604" t="str">
        <f>VLOOKUP(B1604,Customers!A:J,5,0)</f>
        <v>San Diego</v>
      </c>
      <c r="P1604" t="str">
        <f>VLOOKUP(B1604,Customers!A:J,10,0)</f>
        <v>Free</v>
      </c>
      <c r="Q1604" t="str">
        <f>VLOOKUP(B1604,Customers!A:J,8,0)</f>
        <v>Female</v>
      </c>
      <c r="R1604" t="b">
        <f t="shared" si="50"/>
        <v>1</v>
      </c>
      <c r="S1604" s="18">
        <f t="shared" si="51"/>
        <v>44774</v>
      </c>
    </row>
    <row r="1605" spans="1:19" x14ac:dyDescent="0.25">
      <c r="A1605" s="6" t="s">
        <v>3037</v>
      </c>
      <c r="B1605" s="7" t="s">
        <v>617</v>
      </c>
      <c r="C1605" s="15">
        <v>44822</v>
      </c>
      <c r="D1605" s="7" t="s">
        <v>659</v>
      </c>
      <c r="E1605" s="7" t="s">
        <v>664</v>
      </c>
      <c r="F1605" s="7">
        <v>24.99</v>
      </c>
      <c r="G1605" s="7">
        <v>1</v>
      </c>
      <c r="H1605" s="7">
        <v>0</v>
      </c>
      <c r="I1605" s="7">
        <v>24.99</v>
      </c>
      <c r="J1605" s="7">
        <v>24.99</v>
      </c>
      <c r="K1605" s="7" t="s">
        <v>669</v>
      </c>
      <c r="L1605" s="7" t="s">
        <v>788</v>
      </c>
      <c r="M1605" s="8"/>
      <c r="N1605">
        <f>VLOOKUP(B1605,Customers!A:J,7,0)</f>
        <v>27</v>
      </c>
      <c r="O1605" t="str">
        <f>VLOOKUP(B1605,Customers!A:J,5,0)</f>
        <v>San Diego</v>
      </c>
      <c r="P1605" t="str">
        <f>VLOOKUP(B1605,Customers!A:J,10,0)</f>
        <v>Free</v>
      </c>
      <c r="Q1605" t="str">
        <f>VLOOKUP(B1605,Customers!A:J,8,0)</f>
        <v>Female</v>
      </c>
      <c r="R1605" t="b">
        <f t="shared" si="50"/>
        <v>1</v>
      </c>
      <c r="S1605" s="18">
        <f t="shared" si="51"/>
        <v>44805</v>
      </c>
    </row>
    <row r="1606" spans="1:19" x14ac:dyDescent="0.25">
      <c r="A1606" s="3" t="s">
        <v>3038</v>
      </c>
      <c r="B1606" s="4" t="s">
        <v>617</v>
      </c>
      <c r="C1606" s="14">
        <v>45389</v>
      </c>
      <c r="D1606" s="4" t="s">
        <v>710</v>
      </c>
      <c r="E1606" s="4" t="s">
        <v>721</v>
      </c>
      <c r="F1606" s="4">
        <v>24.99</v>
      </c>
      <c r="G1606" s="4">
        <v>4</v>
      </c>
      <c r="H1606" s="4">
        <v>10</v>
      </c>
      <c r="I1606" s="4">
        <v>22.49</v>
      </c>
      <c r="J1606" s="4">
        <v>89.96</v>
      </c>
      <c r="K1606" s="4" t="s">
        <v>661</v>
      </c>
      <c r="L1606" s="4" t="s">
        <v>656</v>
      </c>
      <c r="M1606" s="5">
        <v>5</v>
      </c>
      <c r="N1606">
        <f>VLOOKUP(B1606,Customers!A:J,7,0)</f>
        <v>27</v>
      </c>
      <c r="O1606" t="str">
        <f>VLOOKUP(B1606,Customers!A:J,5,0)</f>
        <v>San Diego</v>
      </c>
      <c r="P1606" t="str">
        <f>VLOOKUP(B1606,Customers!A:J,10,0)</f>
        <v>Free</v>
      </c>
      <c r="Q1606" t="str">
        <f>VLOOKUP(B1606,Customers!A:J,8,0)</f>
        <v>Female</v>
      </c>
      <c r="R1606" t="b">
        <f t="shared" si="50"/>
        <v>1</v>
      </c>
      <c r="S1606" s="18">
        <f t="shared" si="51"/>
        <v>45383</v>
      </c>
    </row>
    <row r="1607" spans="1:19" x14ac:dyDescent="0.25">
      <c r="A1607" s="6" t="s">
        <v>3039</v>
      </c>
      <c r="B1607" s="7" t="s">
        <v>617</v>
      </c>
      <c r="C1607" s="15">
        <v>45484</v>
      </c>
      <c r="D1607" s="7" t="s">
        <v>684</v>
      </c>
      <c r="E1607" s="7" t="s">
        <v>815</v>
      </c>
      <c r="F1607" s="7">
        <v>34.99</v>
      </c>
      <c r="G1607" s="7">
        <v>2</v>
      </c>
      <c r="H1607" s="7">
        <v>20</v>
      </c>
      <c r="I1607" s="7">
        <v>27.99</v>
      </c>
      <c r="J1607" s="7">
        <v>55.98</v>
      </c>
      <c r="K1607" s="7" t="s">
        <v>669</v>
      </c>
      <c r="L1607" s="7" t="s">
        <v>656</v>
      </c>
      <c r="M1607" s="8"/>
      <c r="N1607">
        <f>VLOOKUP(B1607,Customers!A:J,7,0)</f>
        <v>27</v>
      </c>
      <c r="O1607" t="str">
        <f>VLOOKUP(B1607,Customers!A:J,5,0)</f>
        <v>San Diego</v>
      </c>
      <c r="P1607" t="str">
        <f>VLOOKUP(B1607,Customers!A:J,10,0)</f>
        <v>Free</v>
      </c>
      <c r="Q1607" t="str">
        <f>VLOOKUP(B1607,Customers!A:J,8,0)</f>
        <v>Female</v>
      </c>
      <c r="R1607" t="b">
        <f t="shared" si="50"/>
        <v>1</v>
      </c>
      <c r="S1607" s="18">
        <f t="shared" si="51"/>
        <v>45474</v>
      </c>
    </row>
    <row r="1608" spans="1:19" x14ac:dyDescent="0.25">
      <c r="A1608" s="3" t="s">
        <v>3040</v>
      </c>
      <c r="B1608" s="4" t="s">
        <v>617</v>
      </c>
      <c r="C1608" s="14">
        <v>45091</v>
      </c>
      <c r="D1608" s="4" t="s">
        <v>653</v>
      </c>
      <c r="E1608" s="4" t="s">
        <v>769</v>
      </c>
      <c r="F1608" s="4">
        <v>49.99</v>
      </c>
      <c r="G1608" s="4">
        <v>4</v>
      </c>
      <c r="H1608" s="4">
        <v>0</v>
      </c>
      <c r="I1608" s="4">
        <v>49.99</v>
      </c>
      <c r="J1608" s="4">
        <v>199.96</v>
      </c>
      <c r="K1608" s="4" t="s">
        <v>661</v>
      </c>
      <c r="L1608" s="4" t="s">
        <v>656</v>
      </c>
      <c r="M1608" s="5">
        <v>5</v>
      </c>
      <c r="N1608">
        <f>VLOOKUP(B1608,Customers!A:J,7,0)</f>
        <v>27</v>
      </c>
      <c r="O1608" t="str">
        <f>VLOOKUP(B1608,Customers!A:J,5,0)</f>
        <v>San Diego</v>
      </c>
      <c r="P1608" t="str">
        <f>VLOOKUP(B1608,Customers!A:J,10,0)</f>
        <v>Free</v>
      </c>
      <c r="Q1608" t="str">
        <f>VLOOKUP(B1608,Customers!A:J,8,0)</f>
        <v>Female</v>
      </c>
      <c r="R1608" t="b">
        <f t="shared" si="50"/>
        <v>1</v>
      </c>
      <c r="S1608" s="18">
        <f t="shared" si="51"/>
        <v>45078</v>
      </c>
    </row>
    <row r="1609" spans="1:19" x14ac:dyDescent="0.25">
      <c r="A1609" s="6" t="s">
        <v>3042</v>
      </c>
      <c r="B1609" s="7" t="s">
        <v>617</v>
      </c>
      <c r="C1609" s="15">
        <v>44580</v>
      </c>
      <c r="D1609" s="7" t="s">
        <v>710</v>
      </c>
      <c r="E1609" s="7" t="s">
        <v>730</v>
      </c>
      <c r="F1609" s="7">
        <v>39.99</v>
      </c>
      <c r="G1609" s="7">
        <v>4</v>
      </c>
      <c r="H1609" s="7">
        <v>5</v>
      </c>
      <c r="I1609" s="7">
        <v>37.99</v>
      </c>
      <c r="J1609" s="7">
        <v>151.96</v>
      </c>
      <c r="K1609" s="7" t="s">
        <v>682</v>
      </c>
      <c r="L1609" s="7" t="s">
        <v>656</v>
      </c>
      <c r="M1609" s="8">
        <v>5</v>
      </c>
      <c r="N1609">
        <f>VLOOKUP(B1609,Customers!A:J,7,0)</f>
        <v>27</v>
      </c>
      <c r="O1609" t="str">
        <f>VLOOKUP(B1609,Customers!A:J,5,0)</f>
        <v>San Diego</v>
      </c>
      <c r="P1609" t="str">
        <f>VLOOKUP(B1609,Customers!A:J,10,0)</f>
        <v>Free</v>
      </c>
      <c r="Q1609" t="str">
        <f>VLOOKUP(B1609,Customers!A:J,8,0)</f>
        <v>Female</v>
      </c>
      <c r="R1609" t="b">
        <f t="shared" si="50"/>
        <v>1</v>
      </c>
      <c r="S1609" s="18">
        <f t="shared" si="51"/>
        <v>44562</v>
      </c>
    </row>
    <row r="1610" spans="1:19" x14ac:dyDescent="0.25">
      <c r="A1610" s="3" t="s">
        <v>3043</v>
      </c>
      <c r="B1610" s="4" t="s">
        <v>617</v>
      </c>
      <c r="C1610" s="14">
        <v>45059</v>
      </c>
      <c r="D1610" s="4" t="s">
        <v>672</v>
      </c>
      <c r="E1610" s="4" t="s">
        <v>673</v>
      </c>
      <c r="F1610" s="4">
        <v>24.99</v>
      </c>
      <c r="G1610" s="4">
        <v>4</v>
      </c>
      <c r="H1610" s="4">
        <v>10</v>
      </c>
      <c r="I1610" s="4">
        <v>22.49</v>
      </c>
      <c r="J1610" s="4">
        <v>89.96</v>
      </c>
      <c r="K1610" s="4" t="s">
        <v>655</v>
      </c>
      <c r="L1610" s="4" t="s">
        <v>656</v>
      </c>
      <c r="M1610" s="5">
        <v>5</v>
      </c>
      <c r="N1610">
        <f>VLOOKUP(B1610,Customers!A:J,7,0)</f>
        <v>27</v>
      </c>
      <c r="O1610" t="str">
        <f>VLOOKUP(B1610,Customers!A:J,5,0)</f>
        <v>San Diego</v>
      </c>
      <c r="P1610" t="str">
        <f>VLOOKUP(B1610,Customers!A:J,10,0)</f>
        <v>Free</v>
      </c>
      <c r="Q1610" t="str">
        <f>VLOOKUP(B1610,Customers!A:J,8,0)</f>
        <v>Female</v>
      </c>
      <c r="R1610" t="b">
        <f t="shared" si="50"/>
        <v>1</v>
      </c>
      <c r="S1610" s="18">
        <f t="shared" si="51"/>
        <v>45047</v>
      </c>
    </row>
    <row r="1611" spans="1:19" x14ac:dyDescent="0.25">
      <c r="A1611" s="6" t="s">
        <v>3044</v>
      </c>
      <c r="B1611" s="7" t="s">
        <v>617</v>
      </c>
      <c r="C1611" s="15">
        <v>45416</v>
      </c>
      <c r="D1611" s="7" t="s">
        <v>667</v>
      </c>
      <c r="E1611" s="7" t="s">
        <v>696</v>
      </c>
      <c r="F1611" s="7">
        <v>59.99</v>
      </c>
      <c r="G1611" s="7">
        <v>3</v>
      </c>
      <c r="H1611" s="7">
        <v>5</v>
      </c>
      <c r="I1611" s="7">
        <v>56.99</v>
      </c>
      <c r="J1611" s="7">
        <v>170.97</v>
      </c>
      <c r="K1611" s="7" t="s">
        <v>675</v>
      </c>
      <c r="L1611" s="7" t="s">
        <v>656</v>
      </c>
      <c r="M1611" s="8">
        <v>3</v>
      </c>
      <c r="N1611">
        <f>VLOOKUP(B1611,Customers!A:J,7,0)</f>
        <v>27</v>
      </c>
      <c r="O1611" t="str">
        <f>VLOOKUP(B1611,Customers!A:J,5,0)</f>
        <v>San Diego</v>
      </c>
      <c r="P1611" t="str">
        <f>VLOOKUP(B1611,Customers!A:J,10,0)</f>
        <v>Free</v>
      </c>
      <c r="Q1611" t="str">
        <f>VLOOKUP(B1611,Customers!A:J,8,0)</f>
        <v>Female</v>
      </c>
      <c r="R1611" t="b">
        <f t="shared" si="50"/>
        <v>1</v>
      </c>
      <c r="S1611" s="18">
        <f t="shared" si="51"/>
        <v>45413</v>
      </c>
    </row>
    <row r="1612" spans="1:19" x14ac:dyDescent="0.25">
      <c r="A1612" s="3" t="s">
        <v>3045</v>
      </c>
      <c r="B1612" s="4" t="s">
        <v>620</v>
      </c>
      <c r="C1612" s="14">
        <v>44579</v>
      </c>
      <c r="D1612" s="4" t="s">
        <v>680</v>
      </c>
      <c r="E1612" s="4" t="s">
        <v>749</v>
      </c>
      <c r="F1612" s="4">
        <v>14.99</v>
      </c>
      <c r="G1612" s="4">
        <v>3</v>
      </c>
      <c r="H1612" s="4">
        <v>15</v>
      </c>
      <c r="I1612" s="4">
        <v>12.74</v>
      </c>
      <c r="J1612" s="4">
        <v>38.22</v>
      </c>
      <c r="K1612" s="4" t="s">
        <v>675</v>
      </c>
      <c r="L1612" s="4" t="s">
        <v>656</v>
      </c>
      <c r="M1612" s="5">
        <v>4</v>
      </c>
      <c r="N1612">
        <f>VLOOKUP(B1612,Customers!A:J,7,0)</f>
        <v>38</v>
      </c>
      <c r="O1612" t="str">
        <f>VLOOKUP(B1612,Customers!A:J,5,0)</f>
        <v>Philadelphia</v>
      </c>
      <c r="P1612" t="str">
        <f>VLOOKUP(B1612,Customers!A:J,10,0)</f>
        <v>Silver</v>
      </c>
      <c r="Q1612" t="str">
        <f>VLOOKUP(B1612,Customers!A:J,8,0)</f>
        <v>Male</v>
      </c>
      <c r="R1612" t="b">
        <f t="shared" si="50"/>
        <v>1</v>
      </c>
      <c r="S1612" s="18">
        <f t="shared" si="51"/>
        <v>44562</v>
      </c>
    </row>
    <row r="1613" spans="1:19" x14ac:dyDescent="0.25">
      <c r="A1613" s="6" t="s">
        <v>3046</v>
      </c>
      <c r="B1613" s="7" t="s">
        <v>620</v>
      </c>
      <c r="C1613" s="15">
        <v>44629</v>
      </c>
      <c r="D1613" s="7" t="s">
        <v>667</v>
      </c>
      <c r="E1613" s="7" t="s">
        <v>714</v>
      </c>
      <c r="F1613" s="7">
        <v>44.99</v>
      </c>
      <c r="G1613" s="7">
        <v>1</v>
      </c>
      <c r="H1613" s="7">
        <v>5</v>
      </c>
      <c r="I1613" s="7">
        <v>42.74</v>
      </c>
      <c r="J1613" s="7">
        <v>42.74</v>
      </c>
      <c r="K1613" s="7" t="s">
        <v>682</v>
      </c>
      <c r="L1613" s="7" t="s">
        <v>656</v>
      </c>
      <c r="M1613" s="8">
        <v>5</v>
      </c>
      <c r="N1613">
        <f>VLOOKUP(B1613,Customers!A:J,7,0)</f>
        <v>38</v>
      </c>
      <c r="O1613" t="str">
        <f>VLOOKUP(B1613,Customers!A:J,5,0)</f>
        <v>Philadelphia</v>
      </c>
      <c r="P1613" t="str">
        <f>VLOOKUP(B1613,Customers!A:J,10,0)</f>
        <v>Silver</v>
      </c>
      <c r="Q1613" t="str">
        <f>VLOOKUP(B1613,Customers!A:J,8,0)</f>
        <v>Male</v>
      </c>
      <c r="R1613" t="b">
        <f t="shared" si="50"/>
        <v>1</v>
      </c>
      <c r="S1613" s="18">
        <f t="shared" si="51"/>
        <v>44621</v>
      </c>
    </row>
    <row r="1614" spans="1:19" x14ac:dyDescent="0.25">
      <c r="A1614" s="3" t="s">
        <v>3047</v>
      </c>
      <c r="B1614" s="4" t="s">
        <v>620</v>
      </c>
      <c r="C1614" s="14">
        <v>45514</v>
      </c>
      <c r="D1614" s="4" t="s">
        <v>659</v>
      </c>
      <c r="E1614" s="4" t="s">
        <v>820</v>
      </c>
      <c r="F1614" s="4">
        <v>39.99</v>
      </c>
      <c r="G1614" s="4">
        <v>4</v>
      </c>
      <c r="H1614" s="4">
        <v>5</v>
      </c>
      <c r="I1614" s="4">
        <v>37.99</v>
      </c>
      <c r="J1614" s="4">
        <v>151.96</v>
      </c>
      <c r="K1614" s="4" t="s">
        <v>682</v>
      </c>
      <c r="L1614" s="4" t="s">
        <v>656</v>
      </c>
      <c r="M1614" s="5"/>
      <c r="N1614">
        <f>VLOOKUP(B1614,Customers!A:J,7,0)</f>
        <v>38</v>
      </c>
      <c r="O1614" t="str">
        <f>VLOOKUP(B1614,Customers!A:J,5,0)</f>
        <v>Philadelphia</v>
      </c>
      <c r="P1614" t="str">
        <f>VLOOKUP(B1614,Customers!A:J,10,0)</f>
        <v>Silver</v>
      </c>
      <c r="Q1614" t="str">
        <f>VLOOKUP(B1614,Customers!A:J,8,0)</f>
        <v>Male</v>
      </c>
      <c r="R1614" t="b">
        <f t="shared" si="50"/>
        <v>1</v>
      </c>
      <c r="S1614" s="18">
        <f t="shared" si="51"/>
        <v>45505</v>
      </c>
    </row>
    <row r="1615" spans="1:19" x14ac:dyDescent="0.25">
      <c r="A1615" s="6" t="s">
        <v>3048</v>
      </c>
      <c r="B1615" s="7" t="s">
        <v>620</v>
      </c>
      <c r="C1615" s="15">
        <v>44562</v>
      </c>
      <c r="D1615" s="7" t="s">
        <v>680</v>
      </c>
      <c r="E1615" s="7" t="s">
        <v>681</v>
      </c>
      <c r="F1615" s="7">
        <v>19.989999999999998</v>
      </c>
      <c r="G1615" s="7">
        <v>1</v>
      </c>
      <c r="H1615" s="7">
        <v>15</v>
      </c>
      <c r="I1615" s="7">
        <v>16.989999999999998</v>
      </c>
      <c r="J1615" s="7">
        <v>16.989999999999998</v>
      </c>
      <c r="K1615" s="7" t="s">
        <v>675</v>
      </c>
      <c r="L1615" s="7" t="s">
        <v>656</v>
      </c>
      <c r="M1615" s="8">
        <v>5</v>
      </c>
      <c r="N1615">
        <f>VLOOKUP(B1615,Customers!A:J,7,0)</f>
        <v>38</v>
      </c>
      <c r="O1615" t="str">
        <f>VLOOKUP(B1615,Customers!A:J,5,0)</f>
        <v>Philadelphia</v>
      </c>
      <c r="P1615" t="str">
        <f>VLOOKUP(B1615,Customers!A:J,10,0)</f>
        <v>Silver</v>
      </c>
      <c r="Q1615" t="str">
        <f>VLOOKUP(B1615,Customers!A:J,8,0)</f>
        <v>Male</v>
      </c>
      <c r="R1615" t="b">
        <f t="shared" si="50"/>
        <v>1</v>
      </c>
      <c r="S1615" s="18">
        <f t="shared" si="51"/>
        <v>44562</v>
      </c>
    </row>
    <row r="1616" spans="1:19" x14ac:dyDescent="0.25">
      <c r="A1616" s="3" t="s">
        <v>3049</v>
      </c>
      <c r="B1616" s="4" t="s">
        <v>620</v>
      </c>
      <c r="C1616" s="14">
        <v>45056</v>
      </c>
      <c r="D1616" s="4" t="s">
        <v>659</v>
      </c>
      <c r="E1616" s="4" t="s">
        <v>664</v>
      </c>
      <c r="F1616" s="4">
        <v>24.99</v>
      </c>
      <c r="G1616" s="4">
        <v>4</v>
      </c>
      <c r="H1616" s="4">
        <v>15</v>
      </c>
      <c r="I1616" s="4">
        <v>21.24</v>
      </c>
      <c r="J1616" s="4">
        <v>84.96</v>
      </c>
      <c r="K1616" s="4" t="s">
        <v>655</v>
      </c>
      <c r="L1616" s="4" t="s">
        <v>656</v>
      </c>
      <c r="M1616" s="5">
        <v>4</v>
      </c>
      <c r="N1616">
        <f>VLOOKUP(B1616,Customers!A:J,7,0)</f>
        <v>38</v>
      </c>
      <c r="O1616" t="str">
        <f>VLOOKUP(B1616,Customers!A:J,5,0)</f>
        <v>Philadelphia</v>
      </c>
      <c r="P1616" t="str">
        <f>VLOOKUP(B1616,Customers!A:J,10,0)</f>
        <v>Silver</v>
      </c>
      <c r="Q1616" t="str">
        <f>VLOOKUP(B1616,Customers!A:J,8,0)</f>
        <v>Male</v>
      </c>
      <c r="R1616" t="b">
        <f t="shared" si="50"/>
        <v>1</v>
      </c>
      <c r="S1616" s="18">
        <f t="shared" si="51"/>
        <v>45047</v>
      </c>
    </row>
    <row r="1617" spans="1:19" x14ac:dyDescent="0.25">
      <c r="A1617" s="6" t="s">
        <v>3051</v>
      </c>
      <c r="B1617" s="7" t="s">
        <v>620</v>
      </c>
      <c r="C1617" s="15">
        <v>45375</v>
      </c>
      <c r="D1617" s="7" t="s">
        <v>680</v>
      </c>
      <c r="E1617" s="7" t="s">
        <v>749</v>
      </c>
      <c r="F1617" s="7">
        <v>14.99</v>
      </c>
      <c r="G1617" s="7">
        <v>2</v>
      </c>
      <c r="H1617" s="7">
        <v>5</v>
      </c>
      <c r="I1617" s="7">
        <v>14.24</v>
      </c>
      <c r="J1617" s="7">
        <v>28.48</v>
      </c>
      <c r="K1617" s="7" t="s">
        <v>682</v>
      </c>
      <c r="L1617" s="7" t="s">
        <v>656</v>
      </c>
      <c r="M1617" s="8">
        <v>5</v>
      </c>
      <c r="N1617">
        <f>VLOOKUP(B1617,Customers!A:J,7,0)</f>
        <v>38</v>
      </c>
      <c r="O1617" t="str">
        <f>VLOOKUP(B1617,Customers!A:J,5,0)</f>
        <v>Philadelphia</v>
      </c>
      <c r="P1617" t="str">
        <f>VLOOKUP(B1617,Customers!A:J,10,0)</f>
        <v>Silver</v>
      </c>
      <c r="Q1617" t="str">
        <f>VLOOKUP(B1617,Customers!A:J,8,0)</f>
        <v>Male</v>
      </c>
      <c r="R1617" t="b">
        <f t="shared" si="50"/>
        <v>1</v>
      </c>
      <c r="S1617" s="18">
        <f t="shared" si="51"/>
        <v>45352</v>
      </c>
    </row>
    <row r="1618" spans="1:19" x14ac:dyDescent="0.25">
      <c r="A1618" s="3" t="s">
        <v>3052</v>
      </c>
      <c r="B1618" s="4" t="s">
        <v>620</v>
      </c>
      <c r="C1618" s="14">
        <v>44818</v>
      </c>
      <c r="D1618" s="4" t="s">
        <v>653</v>
      </c>
      <c r="E1618" s="4" t="s">
        <v>654</v>
      </c>
      <c r="F1618" s="4">
        <v>39.99</v>
      </c>
      <c r="G1618" s="4">
        <v>1</v>
      </c>
      <c r="H1618" s="4">
        <v>5</v>
      </c>
      <c r="I1618" s="4">
        <v>37.99</v>
      </c>
      <c r="J1618" s="4">
        <v>37.99</v>
      </c>
      <c r="K1618" s="4" t="s">
        <v>682</v>
      </c>
      <c r="L1618" s="4" t="s">
        <v>656</v>
      </c>
      <c r="M1618" s="5"/>
      <c r="N1618">
        <f>VLOOKUP(B1618,Customers!A:J,7,0)</f>
        <v>38</v>
      </c>
      <c r="O1618" t="str">
        <f>VLOOKUP(B1618,Customers!A:J,5,0)</f>
        <v>Philadelphia</v>
      </c>
      <c r="P1618" t="str">
        <f>VLOOKUP(B1618,Customers!A:J,10,0)</f>
        <v>Silver</v>
      </c>
      <c r="Q1618" t="str">
        <f>VLOOKUP(B1618,Customers!A:J,8,0)</f>
        <v>Male</v>
      </c>
      <c r="R1618" t="b">
        <f t="shared" si="50"/>
        <v>1</v>
      </c>
      <c r="S1618" s="18">
        <f t="shared" si="51"/>
        <v>44805</v>
      </c>
    </row>
    <row r="1619" spans="1:19" x14ac:dyDescent="0.25">
      <c r="A1619" s="6" t="s">
        <v>3053</v>
      </c>
      <c r="B1619" s="7" t="s">
        <v>620</v>
      </c>
      <c r="C1619" s="15">
        <v>45026</v>
      </c>
      <c r="D1619" s="7" t="s">
        <v>659</v>
      </c>
      <c r="E1619" s="7" t="s">
        <v>820</v>
      </c>
      <c r="F1619" s="7">
        <v>39.99</v>
      </c>
      <c r="G1619" s="7">
        <v>2</v>
      </c>
      <c r="H1619" s="7">
        <v>15</v>
      </c>
      <c r="I1619" s="7">
        <v>33.99</v>
      </c>
      <c r="J1619" s="7">
        <v>67.98</v>
      </c>
      <c r="K1619" s="7" t="s">
        <v>682</v>
      </c>
      <c r="L1619" s="7" t="s">
        <v>656</v>
      </c>
      <c r="M1619" s="8">
        <v>5</v>
      </c>
      <c r="N1619">
        <f>VLOOKUP(B1619,Customers!A:J,7,0)</f>
        <v>38</v>
      </c>
      <c r="O1619" t="str">
        <f>VLOOKUP(B1619,Customers!A:J,5,0)</f>
        <v>Philadelphia</v>
      </c>
      <c r="P1619" t="str">
        <f>VLOOKUP(B1619,Customers!A:J,10,0)</f>
        <v>Silver</v>
      </c>
      <c r="Q1619" t="str">
        <f>VLOOKUP(B1619,Customers!A:J,8,0)</f>
        <v>Male</v>
      </c>
      <c r="R1619" t="b">
        <f t="shared" si="50"/>
        <v>1</v>
      </c>
      <c r="S1619" s="18">
        <f t="shared" si="51"/>
        <v>45017</v>
      </c>
    </row>
    <row r="1620" spans="1:19" x14ac:dyDescent="0.25">
      <c r="A1620" s="3" t="s">
        <v>3054</v>
      </c>
      <c r="B1620" s="4" t="s">
        <v>620</v>
      </c>
      <c r="C1620" s="14">
        <v>45201</v>
      </c>
      <c r="D1620" s="4" t="s">
        <v>672</v>
      </c>
      <c r="E1620" s="4" t="s">
        <v>724</v>
      </c>
      <c r="F1620" s="4">
        <v>89.99</v>
      </c>
      <c r="G1620" s="4">
        <v>1</v>
      </c>
      <c r="H1620" s="4">
        <v>15</v>
      </c>
      <c r="I1620" s="4">
        <v>76.489999999999995</v>
      </c>
      <c r="J1620" s="4">
        <v>76.489999999999995</v>
      </c>
      <c r="K1620" s="4" t="s">
        <v>655</v>
      </c>
      <c r="L1620" s="4" t="s">
        <v>656</v>
      </c>
      <c r="M1620" s="5">
        <v>3</v>
      </c>
      <c r="N1620">
        <f>VLOOKUP(B1620,Customers!A:J,7,0)</f>
        <v>38</v>
      </c>
      <c r="O1620" t="str">
        <f>VLOOKUP(B1620,Customers!A:J,5,0)</f>
        <v>Philadelphia</v>
      </c>
      <c r="P1620" t="str">
        <f>VLOOKUP(B1620,Customers!A:J,10,0)</f>
        <v>Silver</v>
      </c>
      <c r="Q1620" t="str">
        <f>VLOOKUP(B1620,Customers!A:J,8,0)</f>
        <v>Male</v>
      </c>
      <c r="R1620" t="b">
        <f t="shared" si="50"/>
        <v>1</v>
      </c>
      <c r="S1620" s="18">
        <f t="shared" si="51"/>
        <v>45200</v>
      </c>
    </row>
    <row r="1621" spans="1:19" x14ac:dyDescent="0.25">
      <c r="A1621" s="6" t="s">
        <v>3055</v>
      </c>
      <c r="B1621" s="7" t="s">
        <v>620</v>
      </c>
      <c r="C1621" s="15">
        <v>45530</v>
      </c>
      <c r="D1621" s="7" t="s">
        <v>710</v>
      </c>
      <c r="E1621" s="7" t="s">
        <v>711</v>
      </c>
      <c r="F1621" s="7">
        <v>14.99</v>
      </c>
      <c r="G1621" s="7">
        <v>2</v>
      </c>
      <c r="H1621" s="7">
        <v>0</v>
      </c>
      <c r="I1621" s="7">
        <v>14.99</v>
      </c>
      <c r="J1621" s="7">
        <v>29.98</v>
      </c>
      <c r="K1621" s="7" t="s">
        <v>669</v>
      </c>
      <c r="L1621" s="7" t="s">
        <v>788</v>
      </c>
      <c r="M1621" s="8">
        <v>4</v>
      </c>
      <c r="N1621">
        <f>VLOOKUP(B1621,Customers!A:J,7,0)</f>
        <v>38</v>
      </c>
      <c r="O1621" t="str">
        <f>VLOOKUP(B1621,Customers!A:J,5,0)</f>
        <v>Philadelphia</v>
      </c>
      <c r="P1621" t="str">
        <f>VLOOKUP(B1621,Customers!A:J,10,0)</f>
        <v>Silver</v>
      </c>
      <c r="Q1621" t="str">
        <f>VLOOKUP(B1621,Customers!A:J,8,0)</f>
        <v>Male</v>
      </c>
      <c r="R1621" t="b">
        <f t="shared" si="50"/>
        <v>1</v>
      </c>
      <c r="S1621" s="18">
        <f t="shared" si="51"/>
        <v>45505</v>
      </c>
    </row>
    <row r="1622" spans="1:19" x14ac:dyDescent="0.25">
      <c r="A1622" s="3" t="s">
        <v>3056</v>
      </c>
      <c r="B1622" s="4" t="s">
        <v>623</v>
      </c>
      <c r="C1622" s="14">
        <v>45220</v>
      </c>
      <c r="D1622" s="4" t="s">
        <v>667</v>
      </c>
      <c r="E1622" s="4" t="s">
        <v>699</v>
      </c>
      <c r="F1622" s="4">
        <v>89.99</v>
      </c>
      <c r="G1622" s="4">
        <v>1</v>
      </c>
      <c r="H1622" s="4">
        <v>0</v>
      </c>
      <c r="I1622" s="4">
        <v>89.99</v>
      </c>
      <c r="J1622" s="4">
        <v>89.99</v>
      </c>
      <c r="K1622" s="4" t="s">
        <v>655</v>
      </c>
      <c r="L1622" s="4" t="s">
        <v>656</v>
      </c>
      <c r="M1622" s="5">
        <v>3</v>
      </c>
      <c r="N1622">
        <f>VLOOKUP(B1622,Customers!A:J,7,0)</f>
        <v>20</v>
      </c>
      <c r="O1622" t="str">
        <f>VLOOKUP(B1622,Customers!A:J,5,0)</f>
        <v>New York</v>
      </c>
      <c r="P1622" t="str">
        <f>VLOOKUP(B1622,Customers!A:J,10,0)</f>
        <v>Silver</v>
      </c>
      <c r="Q1622" t="str">
        <f>VLOOKUP(B1622,Customers!A:J,8,0)</f>
        <v>Male</v>
      </c>
      <c r="R1622" t="b">
        <f t="shared" si="50"/>
        <v>1</v>
      </c>
      <c r="S1622" s="18">
        <f t="shared" si="51"/>
        <v>45200</v>
      </c>
    </row>
    <row r="1623" spans="1:19" x14ac:dyDescent="0.25">
      <c r="A1623" s="6" t="s">
        <v>3057</v>
      </c>
      <c r="B1623" s="7" t="s">
        <v>623</v>
      </c>
      <c r="C1623" s="15">
        <v>44587</v>
      </c>
      <c r="D1623" s="7" t="s">
        <v>672</v>
      </c>
      <c r="E1623" s="7" t="s">
        <v>724</v>
      </c>
      <c r="F1623" s="7">
        <v>89.99</v>
      </c>
      <c r="G1623" s="7">
        <v>3</v>
      </c>
      <c r="H1623" s="7">
        <v>0</v>
      </c>
      <c r="I1623" s="7">
        <v>89.99</v>
      </c>
      <c r="J1623" s="7">
        <v>269.97000000000003</v>
      </c>
      <c r="K1623" s="7" t="s">
        <v>669</v>
      </c>
      <c r="L1623" s="7" t="s">
        <v>656</v>
      </c>
      <c r="M1623" s="8">
        <v>5</v>
      </c>
      <c r="N1623">
        <f>VLOOKUP(B1623,Customers!A:J,7,0)</f>
        <v>20</v>
      </c>
      <c r="O1623" t="str">
        <f>VLOOKUP(B1623,Customers!A:J,5,0)</f>
        <v>New York</v>
      </c>
      <c r="P1623" t="str">
        <f>VLOOKUP(B1623,Customers!A:J,10,0)</f>
        <v>Silver</v>
      </c>
      <c r="Q1623" t="str">
        <f>VLOOKUP(B1623,Customers!A:J,8,0)</f>
        <v>Male</v>
      </c>
      <c r="R1623" t="b">
        <f t="shared" si="50"/>
        <v>1</v>
      </c>
      <c r="S1623" s="18">
        <f t="shared" si="51"/>
        <v>44562</v>
      </c>
    </row>
    <row r="1624" spans="1:19" x14ac:dyDescent="0.25">
      <c r="A1624" s="3" t="s">
        <v>3058</v>
      </c>
      <c r="B1624" s="4" t="s">
        <v>623</v>
      </c>
      <c r="C1624" s="14">
        <v>45363</v>
      </c>
      <c r="D1624" s="4" t="s">
        <v>684</v>
      </c>
      <c r="E1624" s="4" t="s">
        <v>685</v>
      </c>
      <c r="F1624" s="4">
        <v>49.99</v>
      </c>
      <c r="G1624" s="4">
        <v>4</v>
      </c>
      <c r="H1624" s="4">
        <v>0</v>
      </c>
      <c r="I1624" s="4">
        <v>49.99</v>
      </c>
      <c r="J1624" s="4">
        <v>199.96</v>
      </c>
      <c r="K1624" s="4" t="s">
        <v>669</v>
      </c>
      <c r="L1624" s="4" t="s">
        <v>656</v>
      </c>
      <c r="M1624" s="5">
        <v>5</v>
      </c>
      <c r="N1624">
        <f>VLOOKUP(B1624,Customers!A:J,7,0)</f>
        <v>20</v>
      </c>
      <c r="O1624" t="str">
        <f>VLOOKUP(B1624,Customers!A:J,5,0)</f>
        <v>New York</v>
      </c>
      <c r="P1624" t="str">
        <f>VLOOKUP(B1624,Customers!A:J,10,0)</f>
        <v>Silver</v>
      </c>
      <c r="Q1624" t="str">
        <f>VLOOKUP(B1624,Customers!A:J,8,0)</f>
        <v>Male</v>
      </c>
      <c r="R1624" t="b">
        <f t="shared" si="50"/>
        <v>1</v>
      </c>
      <c r="S1624" s="18">
        <f t="shared" si="51"/>
        <v>45352</v>
      </c>
    </row>
    <row r="1625" spans="1:19" x14ac:dyDescent="0.25">
      <c r="A1625" s="6" t="s">
        <v>3059</v>
      </c>
      <c r="B1625" s="7" t="s">
        <v>623</v>
      </c>
      <c r="C1625" s="15">
        <v>44897</v>
      </c>
      <c r="D1625" s="7" t="s">
        <v>659</v>
      </c>
      <c r="E1625" s="7" t="s">
        <v>820</v>
      </c>
      <c r="F1625" s="7">
        <v>39.99</v>
      </c>
      <c r="G1625" s="7">
        <v>2</v>
      </c>
      <c r="H1625" s="7">
        <v>10</v>
      </c>
      <c r="I1625" s="7">
        <v>35.99</v>
      </c>
      <c r="J1625" s="7">
        <v>71.98</v>
      </c>
      <c r="K1625" s="7" t="s">
        <v>682</v>
      </c>
      <c r="L1625" s="7" t="s">
        <v>656</v>
      </c>
      <c r="M1625" s="8"/>
      <c r="N1625">
        <f>VLOOKUP(B1625,Customers!A:J,7,0)</f>
        <v>20</v>
      </c>
      <c r="O1625" t="str">
        <f>VLOOKUP(B1625,Customers!A:J,5,0)</f>
        <v>New York</v>
      </c>
      <c r="P1625" t="str">
        <f>VLOOKUP(B1625,Customers!A:J,10,0)</f>
        <v>Silver</v>
      </c>
      <c r="Q1625" t="str">
        <f>VLOOKUP(B1625,Customers!A:J,8,0)</f>
        <v>Male</v>
      </c>
      <c r="R1625" t="b">
        <f t="shared" si="50"/>
        <v>1</v>
      </c>
      <c r="S1625" s="18">
        <f t="shared" si="51"/>
        <v>44896</v>
      </c>
    </row>
    <row r="1626" spans="1:19" x14ac:dyDescent="0.25">
      <c r="A1626" s="3" t="s">
        <v>3060</v>
      </c>
      <c r="B1626" s="4" t="s">
        <v>623</v>
      </c>
      <c r="C1626" s="14">
        <v>44595</v>
      </c>
      <c r="D1626" s="4" t="s">
        <v>653</v>
      </c>
      <c r="E1626" s="4" t="s">
        <v>654</v>
      </c>
      <c r="F1626" s="4">
        <v>39.99</v>
      </c>
      <c r="G1626" s="4">
        <v>2</v>
      </c>
      <c r="H1626" s="4">
        <v>0</v>
      </c>
      <c r="I1626" s="4">
        <v>39.99</v>
      </c>
      <c r="J1626" s="4">
        <v>79.98</v>
      </c>
      <c r="K1626" s="4" t="s">
        <v>669</v>
      </c>
      <c r="L1626" s="4" t="s">
        <v>656</v>
      </c>
      <c r="M1626" s="5">
        <v>5</v>
      </c>
      <c r="N1626">
        <f>VLOOKUP(B1626,Customers!A:J,7,0)</f>
        <v>20</v>
      </c>
      <c r="O1626" t="str">
        <f>VLOOKUP(B1626,Customers!A:J,5,0)</f>
        <v>New York</v>
      </c>
      <c r="P1626" t="str">
        <f>VLOOKUP(B1626,Customers!A:J,10,0)</f>
        <v>Silver</v>
      </c>
      <c r="Q1626" t="str">
        <f>VLOOKUP(B1626,Customers!A:J,8,0)</f>
        <v>Male</v>
      </c>
      <c r="R1626" t="b">
        <f t="shared" si="50"/>
        <v>1</v>
      </c>
      <c r="S1626" s="18">
        <f t="shared" si="51"/>
        <v>44593</v>
      </c>
    </row>
    <row r="1627" spans="1:19" x14ac:dyDescent="0.25">
      <c r="A1627" s="6" t="s">
        <v>3061</v>
      </c>
      <c r="B1627" s="7" t="s">
        <v>623</v>
      </c>
      <c r="C1627" s="15">
        <v>45469</v>
      </c>
      <c r="D1627" s="7" t="s">
        <v>710</v>
      </c>
      <c r="E1627" s="7" t="s">
        <v>730</v>
      </c>
      <c r="F1627" s="7">
        <v>39.99</v>
      </c>
      <c r="G1627" s="7">
        <v>1</v>
      </c>
      <c r="H1627" s="7">
        <v>0</v>
      </c>
      <c r="I1627" s="7">
        <v>39.99</v>
      </c>
      <c r="J1627" s="7">
        <v>39.99</v>
      </c>
      <c r="K1627" s="7" t="s">
        <v>661</v>
      </c>
      <c r="L1627" s="7" t="s">
        <v>693</v>
      </c>
      <c r="M1627" s="8">
        <v>4</v>
      </c>
      <c r="N1627">
        <f>VLOOKUP(B1627,Customers!A:J,7,0)</f>
        <v>20</v>
      </c>
      <c r="O1627" t="str">
        <f>VLOOKUP(B1627,Customers!A:J,5,0)</f>
        <v>New York</v>
      </c>
      <c r="P1627" t="str">
        <f>VLOOKUP(B1627,Customers!A:J,10,0)</f>
        <v>Silver</v>
      </c>
      <c r="Q1627" t="str">
        <f>VLOOKUP(B1627,Customers!A:J,8,0)</f>
        <v>Male</v>
      </c>
      <c r="R1627" t="b">
        <f t="shared" si="50"/>
        <v>1</v>
      </c>
      <c r="S1627" s="18">
        <f t="shared" si="51"/>
        <v>45444</v>
      </c>
    </row>
    <row r="1628" spans="1:19" x14ac:dyDescent="0.25">
      <c r="A1628" s="3" t="s">
        <v>3062</v>
      </c>
      <c r="B1628" s="4" t="s">
        <v>623</v>
      </c>
      <c r="C1628" s="14">
        <v>44892</v>
      </c>
      <c r="D1628" s="4" t="s">
        <v>672</v>
      </c>
      <c r="E1628" s="4" t="s">
        <v>803</v>
      </c>
      <c r="F1628" s="4">
        <v>69.989999999999995</v>
      </c>
      <c r="G1628" s="4">
        <v>4</v>
      </c>
      <c r="H1628" s="4">
        <v>15</v>
      </c>
      <c r="I1628" s="4">
        <v>59.49</v>
      </c>
      <c r="J1628" s="4">
        <v>237.96</v>
      </c>
      <c r="K1628" s="4" t="s">
        <v>675</v>
      </c>
      <c r="L1628" s="4" t="s">
        <v>656</v>
      </c>
      <c r="M1628" s="5">
        <v>3</v>
      </c>
      <c r="N1628">
        <f>VLOOKUP(B1628,Customers!A:J,7,0)</f>
        <v>20</v>
      </c>
      <c r="O1628" t="str">
        <f>VLOOKUP(B1628,Customers!A:J,5,0)</f>
        <v>New York</v>
      </c>
      <c r="P1628" t="str">
        <f>VLOOKUP(B1628,Customers!A:J,10,0)</f>
        <v>Silver</v>
      </c>
      <c r="Q1628" t="str">
        <f>VLOOKUP(B1628,Customers!A:J,8,0)</f>
        <v>Male</v>
      </c>
      <c r="R1628" t="b">
        <f t="shared" si="50"/>
        <v>1</v>
      </c>
      <c r="S1628" s="18">
        <f t="shared" si="51"/>
        <v>44866</v>
      </c>
    </row>
    <row r="1629" spans="1:19" x14ac:dyDescent="0.25">
      <c r="A1629" s="6" t="s">
        <v>3063</v>
      </c>
      <c r="B1629" s="7" t="s">
        <v>626</v>
      </c>
      <c r="C1629" s="15">
        <v>45494</v>
      </c>
      <c r="D1629" s="7" t="s">
        <v>672</v>
      </c>
      <c r="E1629" s="7" t="s">
        <v>735</v>
      </c>
      <c r="F1629" s="7">
        <v>44.99</v>
      </c>
      <c r="G1629" s="7">
        <v>1</v>
      </c>
      <c r="H1629" s="7">
        <v>15</v>
      </c>
      <c r="I1629" s="7">
        <v>38.24</v>
      </c>
      <c r="J1629" s="7">
        <v>38.24</v>
      </c>
      <c r="K1629" s="7" t="s">
        <v>682</v>
      </c>
      <c r="L1629" s="7" t="s">
        <v>785</v>
      </c>
      <c r="M1629" s="8">
        <v>4</v>
      </c>
      <c r="N1629">
        <f>VLOOKUP(B1629,Customers!A:J,7,0)</f>
        <v>19</v>
      </c>
      <c r="O1629" t="str">
        <f>VLOOKUP(B1629,Customers!A:J,5,0)</f>
        <v>Phoenix</v>
      </c>
      <c r="P1629" t="str">
        <f>VLOOKUP(B1629,Customers!A:J,10,0)</f>
        <v>Free</v>
      </c>
      <c r="Q1629" t="str">
        <f>VLOOKUP(B1629,Customers!A:J,8,0)</f>
        <v>Female</v>
      </c>
      <c r="R1629" t="b">
        <f t="shared" si="50"/>
        <v>1</v>
      </c>
      <c r="S1629" s="18">
        <f t="shared" si="51"/>
        <v>45474</v>
      </c>
    </row>
    <row r="1630" spans="1:19" x14ac:dyDescent="0.25">
      <c r="A1630" s="3" t="s">
        <v>3064</v>
      </c>
      <c r="B1630" s="4" t="s">
        <v>629</v>
      </c>
      <c r="C1630" s="14">
        <v>45226</v>
      </c>
      <c r="D1630" s="4" t="s">
        <v>653</v>
      </c>
      <c r="E1630" s="4" t="s">
        <v>769</v>
      </c>
      <c r="F1630" s="4">
        <v>49.99</v>
      </c>
      <c r="G1630" s="4">
        <v>1</v>
      </c>
      <c r="H1630" s="4">
        <v>10</v>
      </c>
      <c r="I1630" s="4">
        <v>44.99</v>
      </c>
      <c r="J1630" s="4">
        <v>44.99</v>
      </c>
      <c r="K1630" s="4" t="s">
        <v>655</v>
      </c>
      <c r="L1630" s="4" t="s">
        <v>656</v>
      </c>
      <c r="M1630" s="5">
        <v>5</v>
      </c>
      <c r="N1630">
        <f>VLOOKUP(B1630,Customers!A:J,7,0)</f>
        <v>41</v>
      </c>
      <c r="O1630" t="str">
        <f>VLOOKUP(B1630,Customers!A:J,5,0)</f>
        <v>San Diego</v>
      </c>
      <c r="P1630" t="str">
        <f>VLOOKUP(B1630,Customers!A:J,10,0)</f>
        <v>Silver</v>
      </c>
      <c r="Q1630" t="str">
        <f>VLOOKUP(B1630,Customers!A:J,8,0)</f>
        <v>Male</v>
      </c>
      <c r="R1630" t="b">
        <f t="shared" si="50"/>
        <v>1</v>
      </c>
      <c r="S1630" s="18">
        <f t="shared" si="51"/>
        <v>45200</v>
      </c>
    </row>
    <row r="1631" spans="1:19" x14ac:dyDescent="0.25">
      <c r="A1631" s="6" t="s">
        <v>3066</v>
      </c>
      <c r="B1631" s="7" t="s">
        <v>629</v>
      </c>
      <c r="C1631" s="15">
        <v>45493</v>
      </c>
      <c r="D1631" s="7" t="s">
        <v>672</v>
      </c>
      <c r="E1631" s="7" t="s">
        <v>673</v>
      </c>
      <c r="F1631" s="7">
        <v>24.99</v>
      </c>
      <c r="G1631" s="7">
        <v>1</v>
      </c>
      <c r="H1631" s="7">
        <v>20</v>
      </c>
      <c r="I1631" s="7">
        <v>19.989999999999998</v>
      </c>
      <c r="J1631" s="7">
        <v>19.989999999999998</v>
      </c>
      <c r="K1631" s="7" t="s">
        <v>669</v>
      </c>
      <c r="L1631" s="7" t="s">
        <v>656</v>
      </c>
      <c r="M1631" s="8">
        <v>5</v>
      </c>
      <c r="N1631">
        <f>VLOOKUP(B1631,Customers!A:J,7,0)</f>
        <v>41</v>
      </c>
      <c r="O1631" t="str">
        <f>VLOOKUP(B1631,Customers!A:J,5,0)</f>
        <v>San Diego</v>
      </c>
      <c r="P1631" t="str">
        <f>VLOOKUP(B1631,Customers!A:J,10,0)</f>
        <v>Silver</v>
      </c>
      <c r="Q1631" t="str">
        <f>VLOOKUP(B1631,Customers!A:J,8,0)</f>
        <v>Male</v>
      </c>
      <c r="R1631" t="b">
        <f t="shared" si="50"/>
        <v>1</v>
      </c>
      <c r="S1631" s="18">
        <f t="shared" si="51"/>
        <v>45474</v>
      </c>
    </row>
    <row r="1632" spans="1:19" x14ac:dyDescent="0.25">
      <c r="A1632" s="3" t="s">
        <v>3067</v>
      </c>
      <c r="B1632" s="4" t="s">
        <v>631</v>
      </c>
      <c r="C1632" s="14">
        <v>44687</v>
      </c>
      <c r="D1632" s="4" t="s">
        <v>710</v>
      </c>
      <c r="E1632" s="4" t="s">
        <v>744</v>
      </c>
      <c r="F1632" s="4">
        <v>29.99</v>
      </c>
      <c r="G1632" s="4">
        <v>1</v>
      </c>
      <c r="H1632" s="4">
        <v>10</v>
      </c>
      <c r="I1632" s="4">
        <v>26.99</v>
      </c>
      <c r="J1632" s="4">
        <v>26.99</v>
      </c>
      <c r="K1632" s="4" t="s">
        <v>661</v>
      </c>
      <c r="L1632" s="4" t="s">
        <v>788</v>
      </c>
      <c r="M1632" s="5">
        <v>3</v>
      </c>
      <c r="N1632">
        <f>VLOOKUP(B1632,Customers!A:J,7,0)</f>
        <v>58</v>
      </c>
      <c r="O1632" t="str">
        <f>VLOOKUP(B1632,Customers!A:J,5,0)</f>
        <v>Dallas</v>
      </c>
      <c r="P1632" t="str">
        <f>VLOOKUP(B1632,Customers!A:J,10,0)</f>
        <v>Free</v>
      </c>
      <c r="Q1632" t="str">
        <f>VLOOKUP(B1632,Customers!A:J,8,0)</f>
        <v>Female</v>
      </c>
      <c r="R1632" t="b">
        <f t="shared" si="50"/>
        <v>1</v>
      </c>
      <c r="S1632" s="18">
        <f t="shared" si="51"/>
        <v>44682</v>
      </c>
    </row>
    <row r="1633" spans="1:19" x14ac:dyDescent="0.25">
      <c r="A1633" s="6" t="s">
        <v>3068</v>
      </c>
      <c r="B1633" s="7" t="s">
        <v>631</v>
      </c>
      <c r="C1633" s="15">
        <v>45574</v>
      </c>
      <c r="D1633" s="7" t="s">
        <v>680</v>
      </c>
      <c r="E1633" s="7" t="s">
        <v>688</v>
      </c>
      <c r="F1633" s="7">
        <v>29.99</v>
      </c>
      <c r="G1633" s="7">
        <v>1</v>
      </c>
      <c r="H1633" s="7">
        <v>0</v>
      </c>
      <c r="I1633" s="7">
        <v>29.99</v>
      </c>
      <c r="J1633" s="7">
        <v>29.99</v>
      </c>
      <c r="K1633" s="7" t="s">
        <v>675</v>
      </c>
      <c r="L1633" s="7" t="s">
        <v>656</v>
      </c>
      <c r="M1633" s="8">
        <v>4</v>
      </c>
      <c r="N1633">
        <f>VLOOKUP(B1633,Customers!A:J,7,0)</f>
        <v>58</v>
      </c>
      <c r="O1633" t="str">
        <f>VLOOKUP(B1633,Customers!A:J,5,0)</f>
        <v>Dallas</v>
      </c>
      <c r="P1633" t="str">
        <f>VLOOKUP(B1633,Customers!A:J,10,0)</f>
        <v>Free</v>
      </c>
      <c r="Q1633" t="str">
        <f>VLOOKUP(B1633,Customers!A:J,8,0)</f>
        <v>Female</v>
      </c>
      <c r="R1633" t="b">
        <f t="shared" si="50"/>
        <v>1</v>
      </c>
      <c r="S1633" s="18">
        <f t="shared" si="51"/>
        <v>45566</v>
      </c>
    </row>
    <row r="1634" spans="1:19" x14ac:dyDescent="0.25">
      <c r="A1634" s="3" t="s">
        <v>3069</v>
      </c>
      <c r="B1634" s="4" t="s">
        <v>631</v>
      </c>
      <c r="C1634" s="14">
        <v>45257</v>
      </c>
      <c r="D1634" s="4" t="s">
        <v>653</v>
      </c>
      <c r="E1634" s="4" t="s">
        <v>769</v>
      </c>
      <c r="F1634" s="4">
        <v>49.99</v>
      </c>
      <c r="G1634" s="4">
        <v>4</v>
      </c>
      <c r="H1634" s="4">
        <v>0</v>
      </c>
      <c r="I1634" s="4">
        <v>49.99</v>
      </c>
      <c r="J1634" s="4">
        <v>199.96</v>
      </c>
      <c r="K1634" s="4" t="s">
        <v>675</v>
      </c>
      <c r="L1634" s="4" t="s">
        <v>656</v>
      </c>
      <c r="M1634" s="5">
        <v>5</v>
      </c>
      <c r="N1634">
        <f>VLOOKUP(B1634,Customers!A:J,7,0)</f>
        <v>58</v>
      </c>
      <c r="O1634" t="str">
        <f>VLOOKUP(B1634,Customers!A:J,5,0)</f>
        <v>Dallas</v>
      </c>
      <c r="P1634" t="str">
        <f>VLOOKUP(B1634,Customers!A:J,10,0)</f>
        <v>Free</v>
      </c>
      <c r="Q1634" t="str">
        <f>VLOOKUP(B1634,Customers!A:J,8,0)</f>
        <v>Female</v>
      </c>
      <c r="R1634" t="b">
        <f t="shared" si="50"/>
        <v>1</v>
      </c>
      <c r="S1634" s="18">
        <f t="shared" si="51"/>
        <v>45231</v>
      </c>
    </row>
    <row r="1635" spans="1:19" x14ac:dyDescent="0.25">
      <c r="A1635" s="6" t="s">
        <v>3070</v>
      </c>
      <c r="B1635" s="7" t="s">
        <v>631</v>
      </c>
      <c r="C1635" s="15">
        <v>45314</v>
      </c>
      <c r="D1635" s="7" t="s">
        <v>710</v>
      </c>
      <c r="E1635" s="7" t="s">
        <v>744</v>
      </c>
      <c r="F1635" s="7">
        <v>29.99</v>
      </c>
      <c r="G1635" s="7">
        <v>4</v>
      </c>
      <c r="H1635" s="7">
        <v>5</v>
      </c>
      <c r="I1635" s="7">
        <v>28.49</v>
      </c>
      <c r="J1635" s="7">
        <v>113.96</v>
      </c>
      <c r="K1635" s="7" t="s">
        <v>661</v>
      </c>
      <c r="L1635" s="7" t="s">
        <v>788</v>
      </c>
      <c r="M1635" s="8">
        <v>4</v>
      </c>
      <c r="N1635">
        <f>VLOOKUP(B1635,Customers!A:J,7,0)</f>
        <v>58</v>
      </c>
      <c r="O1635" t="str">
        <f>VLOOKUP(B1635,Customers!A:J,5,0)</f>
        <v>Dallas</v>
      </c>
      <c r="P1635" t="str">
        <f>VLOOKUP(B1635,Customers!A:J,10,0)</f>
        <v>Free</v>
      </c>
      <c r="Q1635" t="str">
        <f>VLOOKUP(B1635,Customers!A:J,8,0)</f>
        <v>Female</v>
      </c>
      <c r="R1635" t="b">
        <f t="shared" si="50"/>
        <v>1</v>
      </c>
      <c r="S1635" s="18">
        <f t="shared" si="51"/>
        <v>45292</v>
      </c>
    </row>
    <row r="1636" spans="1:19" x14ac:dyDescent="0.25">
      <c r="A1636" s="3" t="s">
        <v>3072</v>
      </c>
      <c r="B1636" s="4" t="s">
        <v>631</v>
      </c>
      <c r="C1636" s="14">
        <v>45497</v>
      </c>
      <c r="D1636" s="4" t="s">
        <v>684</v>
      </c>
      <c r="E1636" s="4" t="s">
        <v>685</v>
      </c>
      <c r="F1636" s="4">
        <v>49.99</v>
      </c>
      <c r="G1636" s="4">
        <v>4</v>
      </c>
      <c r="H1636" s="4">
        <v>10</v>
      </c>
      <c r="I1636" s="4">
        <v>44.99</v>
      </c>
      <c r="J1636" s="4">
        <v>179.96</v>
      </c>
      <c r="K1636" s="4" t="s">
        <v>655</v>
      </c>
      <c r="L1636" s="4" t="s">
        <v>656</v>
      </c>
      <c r="M1636" s="5">
        <v>1</v>
      </c>
      <c r="N1636">
        <f>VLOOKUP(B1636,Customers!A:J,7,0)</f>
        <v>58</v>
      </c>
      <c r="O1636" t="str">
        <f>VLOOKUP(B1636,Customers!A:J,5,0)</f>
        <v>Dallas</v>
      </c>
      <c r="P1636" t="str">
        <f>VLOOKUP(B1636,Customers!A:J,10,0)</f>
        <v>Free</v>
      </c>
      <c r="Q1636" t="str">
        <f>VLOOKUP(B1636,Customers!A:J,8,0)</f>
        <v>Female</v>
      </c>
      <c r="R1636" t="b">
        <f t="shared" si="50"/>
        <v>1</v>
      </c>
      <c r="S1636" s="18">
        <f t="shared" si="51"/>
        <v>45474</v>
      </c>
    </row>
    <row r="1637" spans="1:19" x14ac:dyDescent="0.25">
      <c r="A1637" s="6" t="s">
        <v>3073</v>
      </c>
      <c r="B1637" s="7" t="s">
        <v>631</v>
      </c>
      <c r="C1637" s="15">
        <v>45378</v>
      </c>
      <c r="D1637" s="7" t="s">
        <v>653</v>
      </c>
      <c r="E1637" s="7" t="s">
        <v>769</v>
      </c>
      <c r="F1637" s="7">
        <v>49.99</v>
      </c>
      <c r="G1637" s="7">
        <v>2</v>
      </c>
      <c r="H1637" s="7">
        <v>20</v>
      </c>
      <c r="I1637" s="7">
        <v>39.99</v>
      </c>
      <c r="J1637" s="7">
        <v>79.98</v>
      </c>
      <c r="K1637" s="7" t="s">
        <v>682</v>
      </c>
      <c r="L1637" s="7" t="s">
        <v>656</v>
      </c>
      <c r="M1637" s="8">
        <v>3</v>
      </c>
      <c r="N1637">
        <f>VLOOKUP(B1637,Customers!A:J,7,0)</f>
        <v>58</v>
      </c>
      <c r="O1637" t="str">
        <f>VLOOKUP(B1637,Customers!A:J,5,0)</f>
        <v>Dallas</v>
      </c>
      <c r="P1637" t="str">
        <f>VLOOKUP(B1637,Customers!A:J,10,0)</f>
        <v>Free</v>
      </c>
      <c r="Q1637" t="str">
        <f>VLOOKUP(B1637,Customers!A:J,8,0)</f>
        <v>Female</v>
      </c>
      <c r="R1637" t="b">
        <f t="shared" si="50"/>
        <v>1</v>
      </c>
      <c r="S1637" s="18">
        <f t="shared" si="51"/>
        <v>45352</v>
      </c>
    </row>
    <row r="1638" spans="1:19" x14ac:dyDescent="0.25">
      <c r="A1638" s="3" t="s">
        <v>3074</v>
      </c>
      <c r="B1638" s="4" t="s">
        <v>631</v>
      </c>
      <c r="C1638" s="14">
        <v>45470</v>
      </c>
      <c r="D1638" s="4" t="s">
        <v>684</v>
      </c>
      <c r="E1638" s="4" t="s">
        <v>705</v>
      </c>
      <c r="F1638" s="4">
        <v>79.989999999999995</v>
      </c>
      <c r="G1638" s="4">
        <v>3</v>
      </c>
      <c r="H1638" s="4">
        <v>0</v>
      </c>
      <c r="I1638" s="4">
        <v>79.989999999999995</v>
      </c>
      <c r="J1638" s="4">
        <v>239.97</v>
      </c>
      <c r="K1638" s="4" t="s">
        <v>655</v>
      </c>
      <c r="L1638" s="4" t="s">
        <v>739</v>
      </c>
      <c r="M1638" s="5">
        <v>5</v>
      </c>
      <c r="N1638">
        <f>VLOOKUP(B1638,Customers!A:J,7,0)</f>
        <v>58</v>
      </c>
      <c r="O1638" t="str">
        <f>VLOOKUP(B1638,Customers!A:J,5,0)</f>
        <v>Dallas</v>
      </c>
      <c r="P1638" t="str">
        <f>VLOOKUP(B1638,Customers!A:J,10,0)</f>
        <v>Free</v>
      </c>
      <c r="Q1638" t="str">
        <f>VLOOKUP(B1638,Customers!A:J,8,0)</f>
        <v>Female</v>
      </c>
      <c r="R1638" t="b">
        <f t="shared" si="50"/>
        <v>1</v>
      </c>
      <c r="S1638" s="18">
        <f t="shared" si="51"/>
        <v>45444</v>
      </c>
    </row>
    <row r="1639" spans="1:19" x14ac:dyDescent="0.25">
      <c r="A1639" s="6" t="s">
        <v>3075</v>
      </c>
      <c r="B1639" s="7" t="s">
        <v>631</v>
      </c>
      <c r="C1639" s="15">
        <v>44623</v>
      </c>
      <c r="D1639" s="7" t="s">
        <v>653</v>
      </c>
      <c r="E1639" s="7" t="s">
        <v>654</v>
      </c>
      <c r="F1639" s="7">
        <v>39.99</v>
      </c>
      <c r="G1639" s="7">
        <v>2</v>
      </c>
      <c r="H1639" s="7">
        <v>0</v>
      </c>
      <c r="I1639" s="7">
        <v>39.99</v>
      </c>
      <c r="J1639" s="7">
        <v>79.98</v>
      </c>
      <c r="K1639" s="7" t="s">
        <v>669</v>
      </c>
      <c r="L1639" s="7" t="s">
        <v>656</v>
      </c>
      <c r="M1639" s="8">
        <v>5</v>
      </c>
      <c r="N1639">
        <f>VLOOKUP(B1639,Customers!A:J,7,0)</f>
        <v>58</v>
      </c>
      <c r="O1639" t="str">
        <f>VLOOKUP(B1639,Customers!A:J,5,0)</f>
        <v>Dallas</v>
      </c>
      <c r="P1639" t="str">
        <f>VLOOKUP(B1639,Customers!A:J,10,0)</f>
        <v>Free</v>
      </c>
      <c r="Q1639" t="str">
        <f>VLOOKUP(B1639,Customers!A:J,8,0)</f>
        <v>Female</v>
      </c>
      <c r="R1639" t="b">
        <f t="shared" si="50"/>
        <v>1</v>
      </c>
      <c r="S1639" s="18">
        <f t="shared" si="51"/>
        <v>44621</v>
      </c>
    </row>
    <row r="1640" spans="1:19" x14ac:dyDescent="0.25">
      <c r="A1640" s="3" t="s">
        <v>3076</v>
      </c>
      <c r="B1640" s="4" t="s">
        <v>631</v>
      </c>
      <c r="C1640" s="14">
        <v>44820</v>
      </c>
      <c r="D1640" s="4" t="s">
        <v>672</v>
      </c>
      <c r="E1640" s="4" t="s">
        <v>803</v>
      </c>
      <c r="F1640" s="4">
        <v>69.989999999999995</v>
      </c>
      <c r="G1640" s="4">
        <v>4</v>
      </c>
      <c r="H1640" s="4">
        <v>0</v>
      </c>
      <c r="I1640" s="4">
        <v>69.989999999999995</v>
      </c>
      <c r="J1640" s="4">
        <v>279.95999999999998</v>
      </c>
      <c r="K1640" s="4" t="s">
        <v>682</v>
      </c>
      <c r="L1640" s="4" t="s">
        <v>656</v>
      </c>
      <c r="M1640" s="5"/>
      <c r="N1640">
        <f>VLOOKUP(B1640,Customers!A:J,7,0)</f>
        <v>58</v>
      </c>
      <c r="O1640" t="str">
        <f>VLOOKUP(B1640,Customers!A:J,5,0)</f>
        <v>Dallas</v>
      </c>
      <c r="P1640" t="str">
        <f>VLOOKUP(B1640,Customers!A:J,10,0)</f>
        <v>Free</v>
      </c>
      <c r="Q1640" t="str">
        <f>VLOOKUP(B1640,Customers!A:J,8,0)</f>
        <v>Female</v>
      </c>
      <c r="R1640" t="b">
        <f t="shared" si="50"/>
        <v>1</v>
      </c>
      <c r="S1640" s="18">
        <f t="shared" si="51"/>
        <v>44805</v>
      </c>
    </row>
    <row r="1641" spans="1:19" x14ac:dyDescent="0.25">
      <c r="A1641" s="6" t="s">
        <v>3077</v>
      </c>
      <c r="B1641" s="7" t="s">
        <v>631</v>
      </c>
      <c r="C1641" s="15">
        <v>45120</v>
      </c>
      <c r="D1641" s="7" t="s">
        <v>653</v>
      </c>
      <c r="E1641" s="7" t="s">
        <v>827</v>
      </c>
      <c r="F1641" s="7">
        <v>29.99</v>
      </c>
      <c r="G1641" s="7">
        <v>1</v>
      </c>
      <c r="H1641" s="7">
        <v>5</v>
      </c>
      <c r="I1641" s="7">
        <v>28.49</v>
      </c>
      <c r="J1641" s="7">
        <v>28.49</v>
      </c>
      <c r="K1641" s="7" t="s">
        <v>669</v>
      </c>
      <c r="L1641" s="7" t="s">
        <v>656</v>
      </c>
      <c r="M1641" s="8">
        <v>2</v>
      </c>
      <c r="N1641">
        <f>VLOOKUP(B1641,Customers!A:J,7,0)</f>
        <v>58</v>
      </c>
      <c r="O1641" t="str">
        <f>VLOOKUP(B1641,Customers!A:J,5,0)</f>
        <v>Dallas</v>
      </c>
      <c r="P1641" t="str">
        <f>VLOOKUP(B1641,Customers!A:J,10,0)</f>
        <v>Free</v>
      </c>
      <c r="Q1641" t="str">
        <f>VLOOKUP(B1641,Customers!A:J,8,0)</f>
        <v>Female</v>
      </c>
      <c r="R1641" t="b">
        <f t="shared" si="50"/>
        <v>1</v>
      </c>
      <c r="S1641" s="18">
        <f t="shared" si="51"/>
        <v>45108</v>
      </c>
    </row>
    <row r="1642" spans="1:19" x14ac:dyDescent="0.25">
      <c r="A1642" s="3" t="s">
        <v>3079</v>
      </c>
      <c r="B1642" s="4" t="s">
        <v>631</v>
      </c>
      <c r="C1642" s="14">
        <v>45248</v>
      </c>
      <c r="D1642" s="4" t="s">
        <v>684</v>
      </c>
      <c r="E1642" s="4" t="s">
        <v>685</v>
      </c>
      <c r="F1642" s="4">
        <v>49.99</v>
      </c>
      <c r="G1642" s="4">
        <v>2</v>
      </c>
      <c r="H1642" s="4">
        <v>10</v>
      </c>
      <c r="I1642" s="4">
        <v>44.99</v>
      </c>
      <c r="J1642" s="4">
        <v>89.98</v>
      </c>
      <c r="K1642" s="4" t="s">
        <v>661</v>
      </c>
      <c r="L1642" s="4" t="s">
        <v>656</v>
      </c>
      <c r="M1642" s="5"/>
      <c r="N1642">
        <f>VLOOKUP(B1642,Customers!A:J,7,0)</f>
        <v>58</v>
      </c>
      <c r="O1642" t="str">
        <f>VLOOKUP(B1642,Customers!A:J,5,0)</f>
        <v>Dallas</v>
      </c>
      <c r="P1642" t="str">
        <f>VLOOKUP(B1642,Customers!A:J,10,0)</f>
        <v>Free</v>
      </c>
      <c r="Q1642" t="str">
        <f>VLOOKUP(B1642,Customers!A:J,8,0)</f>
        <v>Female</v>
      </c>
      <c r="R1642" t="b">
        <f t="shared" si="50"/>
        <v>1</v>
      </c>
      <c r="S1642" s="18">
        <f t="shared" si="51"/>
        <v>45231</v>
      </c>
    </row>
    <row r="1643" spans="1:19" x14ac:dyDescent="0.25">
      <c r="A1643" s="6" t="s">
        <v>3081</v>
      </c>
      <c r="B1643" s="7" t="s">
        <v>634</v>
      </c>
      <c r="C1643" s="15">
        <v>44983</v>
      </c>
      <c r="D1643" s="7" t="s">
        <v>710</v>
      </c>
      <c r="E1643" s="7" t="s">
        <v>721</v>
      </c>
      <c r="F1643" s="7">
        <v>24.99</v>
      </c>
      <c r="G1643" s="7">
        <v>4</v>
      </c>
      <c r="H1643" s="7">
        <v>15</v>
      </c>
      <c r="I1643" s="7">
        <v>21.24</v>
      </c>
      <c r="J1643" s="7">
        <v>84.96</v>
      </c>
      <c r="K1643" s="7" t="s">
        <v>675</v>
      </c>
      <c r="L1643" s="7" t="s">
        <v>656</v>
      </c>
      <c r="M1643" s="8">
        <v>3</v>
      </c>
      <c r="N1643">
        <f>VLOOKUP(B1643,Customers!A:J,7,0)</f>
        <v>47</v>
      </c>
      <c r="O1643" t="str">
        <f>VLOOKUP(B1643,Customers!A:J,5,0)</f>
        <v>Houston</v>
      </c>
      <c r="P1643" t="str">
        <f>VLOOKUP(B1643,Customers!A:J,10,0)</f>
        <v>Silver</v>
      </c>
      <c r="Q1643" t="str">
        <f>VLOOKUP(B1643,Customers!A:J,8,0)</f>
        <v>Female</v>
      </c>
      <c r="R1643" t="b">
        <f t="shared" si="50"/>
        <v>1</v>
      </c>
      <c r="S1643" s="18">
        <f t="shared" si="51"/>
        <v>44958</v>
      </c>
    </row>
    <row r="1644" spans="1:19" x14ac:dyDescent="0.25">
      <c r="A1644" s="3" t="s">
        <v>3083</v>
      </c>
      <c r="B1644" s="4" t="s">
        <v>634</v>
      </c>
      <c r="C1644" s="14">
        <v>44726</v>
      </c>
      <c r="D1644" s="4" t="s">
        <v>680</v>
      </c>
      <c r="E1644" s="4" t="s">
        <v>681</v>
      </c>
      <c r="F1644" s="4">
        <v>19.989999999999998</v>
      </c>
      <c r="G1644" s="4">
        <v>3</v>
      </c>
      <c r="H1644" s="4">
        <v>15</v>
      </c>
      <c r="I1644" s="4">
        <v>16.989999999999998</v>
      </c>
      <c r="J1644" s="4">
        <v>50.97</v>
      </c>
      <c r="K1644" s="4" t="s">
        <v>682</v>
      </c>
      <c r="L1644" s="4" t="s">
        <v>656</v>
      </c>
      <c r="M1644" s="5"/>
      <c r="N1644">
        <f>VLOOKUP(B1644,Customers!A:J,7,0)</f>
        <v>47</v>
      </c>
      <c r="O1644" t="str">
        <f>VLOOKUP(B1644,Customers!A:J,5,0)</f>
        <v>Houston</v>
      </c>
      <c r="P1644" t="str">
        <f>VLOOKUP(B1644,Customers!A:J,10,0)</f>
        <v>Silver</v>
      </c>
      <c r="Q1644" t="str">
        <f>VLOOKUP(B1644,Customers!A:J,8,0)</f>
        <v>Female</v>
      </c>
      <c r="R1644" t="b">
        <f t="shared" si="50"/>
        <v>1</v>
      </c>
      <c r="S1644" s="18">
        <f t="shared" si="51"/>
        <v>44713</v>
      </c>
    </row>
    <row r="1645" spans="1:19" x14ac:dyDescent="0.25">
      <c r="A1645" s="6" t="s">
        <v>3084</v>
      </c>
      <c r="B1645" s="7" t="s">
        <v>634</v>
      </c>
      <c r="C1645" s="15">
        <v>44731</v>
      </c>
      <c r="D1645" s="7" t="s">
        <v>684</v>
      </c>
      <c r="E1645" s="7" t="s">
        <v>705</v>
      </c>
      <c r="F1645" s="7">
        <v>79.989999999999995</v>
      </c>
      <c r="G1645" s="7">
        <v>2</v>
      </c>
      <c r="H1645" s="7">
        <v>0</v>
      </c>
      <c r="I1645" s="7">
        <v>79.989999999999995</v>
      </c>
      <c r="J1645" s="7">
        <v>159.97999999999999</v>
      </c>
      <c r="K1645" s="7" t="s">
        <v>661</v>
      </c>
      <c r="L1645" s="7" t="s">
        <v>656</v>
      </c>
      <c r="M1645" s="8">
        <v>2</v>
      </c>
      <c r="N1645">
        <f>VLOOKUP(B1645,Customers!A:J,7,0)</f>
        <v>47</v>
      </c>
      <c r="O1645" t="str">
        <f>VLOOKUP(B1645,Customers!A:J,5,0)</f>
        <v>Houston</v>
      </c>
      <c r="P1645" t="str">
        <f>VLOOKUP(B1645,Customers!A:J,10,0)</f>
        <v>Silver</v>
      </c>
      <c r="Q1645" t="str">
        <f>VLOOKUP(B1645,Customers!A:J,8,0)</f>
        <v>Female</v>
      </c>
      <c r="R1645" t="b">
        <f t="shared" si="50"/>
        <v>1</v>
      </c>
      <c r="S1645" s="18">
        <f t="shared" si="51"/>
        <v>44713</v>
      </c>
    </row>
    <row r="1646" spans="1:19" x14ac:dyDescent="0.25">
      <c r="A1646" s="3" t="s">
        <v>3085</v>
      </c>
      <c r="B1646" s="4" t="s">
        <v>634</v>
      </c>
      <c r="C1646" s="14">
        <v>45267</v>
      </c>
      <c r="D1646" s="4" t="s">
        <v>684</v>
      </c>
      <c r="E1646" s="4" t="s">
        <v>815</v>
      </c>
      <c r="F1646" s="4">
        <v>34.99</v>
      </c>
      <c r="G1646" s="4">
        <v>4</v>
      </c>
      <c r="H1646" s="4">
        <v>15</v>
      </c>
      <c r="I1646" s="4">
        <v>29.74</v>
      </c>
      <c r="J1646" s="4">
        <v>118.96</v>
      </c>
      <c r="K1646" s="4" t="s">
        <v>669</v>
      </c>
      <c r="L1646" s="4" t="s">
        <v>656</v>
      </c>
      <c r="M1646" s="5"/>
      <c r="N1646">
        <f>VLOOKUP(B1646,Customers!A:J,7,0)</f>
        <v>47</v>
      </c>
      <c r="O1646" t="str">
        <f>VLOOKUP(B1646,Customers!A:J,5,0)</f>
        <v>Houston</v>
      </c>
      <c r="P1646" t="str">
        <f>VLOOKUP(B1646,Customers!A:J,10,0)</f>
        <v>Silver</v>
      </c>
      <c r="Q1646" t="str">
        <f>VLOOKUP(B1646,Customers!A:J,8,0)</f>
        <v>Female</v>
      </c>
      <c r="R1646" t="b">
        <f t="shared" si="50"/>
        <v>1</v>
      </c>
      <c r="S1646" s="18">
        <f t="shared" si="51"/>
        <v>45261</v>
      </c>
    </row>
    <row r="1647" spans="1:19" x14ac:dyDescent="0.25">
      <c r="A1647" s="6" t="s">
        <v>3086</v>
      </c>
      <c r="B1647" s="7" t="s">
        <v>637</v>
      </c>
      <c r="C1647" s="15">
        <v>44752</v>
      </c>
      <c r="D1647" s="7" t="s">
        <v>667</v>
      </c>
      <c r="E1647" s="7" t="s">
        <v>668</v>
      </c>
      <c r="F1647" s="7">
        <v>64.989999999999995</v>
      </c>
      <c r="G1647" s="7">
        <v>1</v>
      </c>
      <c r="H1647" s="7">
        <v>0</v>
      </c>
      <c r="I1647" s="7">
        <v>64.989999999999995</v>
      </c>
      <c r="J1647" s="7">
        <v>64.989999999999995</v>
      </c>
      <c r="K1647" s="7" t="s">
        <v>669</v>
      </c>
      <c r="L1647" s="7" t="s">
        <v>656</v>
      </c>
      <c r="M1647" s="8">
        <v>5</v>
      </c>
      <c r="N1647">
        <f>VLOOKUP(B1647,Customers!A:J,7,0)</f>
        <v>64</v>
      </c>
      <c r="O1647" t="str">
        <f>VLOOKUP(B1647,Customers!A:J,5,0)</f>
        <v>Austin</v>
      </c>
      <c r="P1647" t="str">
        <f>VLOOKUP(B1647,Customers!A:J,10,0)</f>
        <v>Silver</v>
      </c>
      <c r="Q1647" t="str">
        <f>VLOOKUP(B1647,Customers!A:J,8,0)</f>
        <v>Female</v>
      </c>
      <c r="R1647" t="b">
        <f t="shared" si="50"/>
        <v>1</v>
      </c>
      <c r="S1647" s="18">
        <f t="shared" si="51"/>
        <v>44743</v>
      </c>
    </row>
    <row r="1648" spans="1:19" x14ac:dyDescent="0.25">
      <c r="A1648" s="3" t="s">
        <v>3087</v>
      </c>
      <c r="B1648" s="4" t="s">
        <v>637</v>
      </c>
      <c r="C1648" s="14">
        <v>45546</v>
      </c>
      <c r="D1648" s="4" t="s">
        <v>653</v>
      </c>
      <c r="E1648" s="4" t="s">
        <v>769</v>
      </c>
      <c r="F1648" s="4">
        <v>49.99</v>
      </c>
      <c r="G1648" s="4">
        <v>1</v>
      </c>
      <c r="H1648" s="4">
        <v>20</v>
      </c>
      <c r="I1648" s="4">
        <v>39.99</v>
      </c>
      <c r="J1648" s="4">
        <v>39.99</v>
      </c>
      <c r="K1648" s="4" t="s">
        <v>655</v>
      </c>
      <c r="L1648" s="4" t="s">
        <v>656</v>
      </c>
      <c r="M1648" s="5"/>
      <c r="N1648">
        <f>VLOOKUP(B1648,Customers!A:J,7,0)</f>
        <v>64</v>
      </c>
      <c r="O1648" t="str">
        <f>VLOOKUP(B1648,Customers!A:J,5,0)</f>
        <v>Austin</v>
      </c>
      <c r="P1648" t="str">
        <f>VLOOKUP(B1648,Customers!A:J,10,0)</f>
        <v>Silver</v>
      </c>
      <c r="Q1648" t="str">
        <f>VLOOKUP(B1648,Customers!A:J,8,0)</f>
        <v>Female</v>
      </c>
      <c r="R1648" t="b">
        <f t="shared" si="50"/>
        <v>1</v>
      </c>
      <c r="S1648" s="18">
        <f t="shared" si="51"/>
        <v>45536</v>
      </c>
    </row>
    <row r="1649" spans="1:19" x14ac:dyDescent="0.25">
      <c r="A1649" s="6" t="s">
        <v>3088</v>
      </c>
      <c r="B1649" s="7" t="s">
        <v>637</v>
      </c>
      <c r="C1649" s="15">
        <v>45401</v>
      </c>
      <c r="D1649" s="7" t="s">
        <v>672</v>
      </c>
      <c r="E1649" s="7" t="s">
        <v>735</v>
      </c>
      <c r="F1649" s="7">
        <v>44.99</v>
      </c>
      <c r="G1649" s="7">
        <v>4</v>
      </c>
      <c r="H1649" s="7">
        <v>10</v>
      </c>
      <c r="I1649" s="7">
        <v>40.49</v>
      </c>
      <c r="J1649" s="7">
        <v>161.96</v>
      </c>
      <c r="K1649" s="7" t="s">
        <v>682</v>
      </c>
      <c r="L1649" s="7" t="s">
        <v>656</v>
      </c>
      <c r="M1649" s="8"/>
      <c r="N1649">
        <f>VLOOKUP(B1649,Customers!A:J,7,0)</f>
        <v>64</v>
      </c>
      <c r="O1649" t="str">
        <f>VLOOKUP(B1649,Customers!A:J,5,0)</f>
        <v>Austin</v>
      </c>
      <c r="P1649" t="str">
        <f>VLOOKUP(B1649,Customers!A:J,10,0)</f>
        <v>Silver</v>
      </c>
      <c r="Q1649" t="str">
        <f>VLOOKUP(B1649,Customers!A:J,8,0)</f>
        <v>Female</v>
      </c>
      <c r="R1649" t="b">
        <f t="shared" si="50"/>
        <v>1</v>
      </c>
      <c r="S1649" s="18">
        <f t="shared" si="51"/>
        <v>45383</v>
      </c>
    </row>
    <row r="1650" spans="1:19" x14ac:dyDescent="0.25">
      <c r="A1650" s="3" t="s">
        <v>3089</v>
      </c>
      <c r="B1650" s="4" t="s">
        <v>637</v>
      </c>
      <c r="C1650" s="14">
        <v>45178</v>
      </c>
      <c r="D1650" s="4" t="s">
        <v>710</v>
      </c>
      <c r="E1650" s="4" t="s">
        <v>711</v>
      </c>
      <c r="F1650" s="4">
        <v>14.99</v>
      </c>
      <c r="G1650" s="4">
        <v>4</v>
      </c>
      <c r="H1650" s="4">
        <v>10</v>
      </c>
      <c r="I1650" s="4">
        <v>13.49</v>
      </c>
      <c r="J1650" s="4">
        <v>53.96</v>
      </c>
      <c r="K1650" s="4" t="s">
        <v>682</v>
      </c>
      <c r="L1650" s="4" t="s">
        <v>656</v>
      </c>
      <c r="M1650" s="5">
        <v>4</v>
      </c>
      <c r="N1650">
        <f>VLOOKUP(B1650,Customers!A:J,7,0)</f>
        <v>64</v>
      </c>
      <c r="O1650" t="str">
        <f>VLOOKUP(B1650,Customers!A:J,5,0)</f>
        <v>Austin</v>
      </c>
      <c r="P1650" t="str">
        <f>VLOOKUP(B1650,Customers!A:J,10,0)</f>
        <v>Silver</v>
      </c>
      <c r="Q1650" t="str">
        <f>VLOOKUP(B1650,Customers!A:J,8,0)</f>
        <v>Female</v>
      </c>
      <c r="R1650" t="b">
        <f t="shared" si="50"/>
        <v>1</v>
      </c>
      <c r="S1650" s="18">
        <f t="shared" si="51"/>
        <v>45170</v>
      </c>
    </row>
    <row r="1651" spans="1:19" x14ac:dyDescent="0.25">
      <c r="A1651" s="6" t="s">
        <v>3090</v>
      </c>
      <c r="B1651" s="7" t="s">
        <v>637</v>
      </c>
      <c r="C1651" s="15">
        <v>44621</v>
      </c>
      <c r="D1651" s="7" t="s">
        <v>672</v>
      </c>
      <c r="E1651" s="7" t="s">
        <v>735</v>
      </c>
      <c r="F1651" s="7">
        <v>44.99</v>
      </c>
      <c r="G1651" s="7">
        <v>4</v>
      </c>
      <c r="H1651" s="7">
        <v>0</v>
      </c>
      <c r="I1651" s="7">
        <v>44.99</v>
      </c>
      <c r="J1651" s="7">
        <v>179.96</v>
      </c>
      <c r="K1651" s="7" t="s">
        <v>669</v>
      </c>
      <c r="L1651" s="7" t="s">
        <v>656</v>
      </c>
      <c r="M1651" s="8">
        <v>3</v>
      </c>
      <c r="N1651">
        <f>VLOOKUP(B1651,Customers!A:J,7,0)</f>
        <v>64</v>
      </c>
      <c r="O1651" t="str">
        <f>VLOOKUP(B1651,Customers!A:J,5,0)</f>
        <v>Austin</v>
      </c>
      <c r="P1651" t="str">
        <f>VLOOKUP(B1651,Customers!A:J,10,0)</f>
        <v>Silver</v>
      </c>
      <c r="Q1651" t="str">
        <f>VLOOKUP(B1651,Customers!A:J,8,0)</f>
        <v>Female</v>
      </c>
      <c r="R1651" t="b">
        <f t="shared" si="50"/>
        <v>1</v>
      </c>
      <c r="S1651" s="18">
        <f t="shared" si="51"/>
        <v>44621</v>
      </c>
    </row>
    <row r="1652" spans="1:19" x14ac:dyDescent="0.25">
      <c r="A1652" s="3" t="s">
        <v>3091</v>
      </c>
      <c r="B1652" s="4" t="s">
        <v>637</v>
      </c>
      <c r="C1652" s="14">
        <v>45409</v>
      </c>
      <c r="D1652" s="4" t="s">
        <v>684</v>
      </c>
      <c r="E1652" s="4" t="s">
        <v>705</v>
      </c>
      <c r="F1652" s="4">
        <v>79.989999999999995</v>
      </c>
      <c r="G1652" s="4">
        <v>4</v>
      </c>
      <c r="H1652" s="4">
        <v>0</v>
      </c>
      <c r="I1652" s="4">
        <v>79.989999999999995</v>
      </c>
      <c r="J1652" s="4">
        <v>319.95999999999998</v>
      </c>
      <c r="K1652" s="4" t="s">
        <v>682</v>
      </c>
      <c r="L1652" s="4" t="s">
        <v>656</v>
      </c>
      <c r="M1652" s="5">
        <v>5</v>
      </c>
      <c r="N1652">
        <f>VLOOKUP(B1652,Customers!A:J,7,0)</f>
        <v>64</v>
      </c>
      <c r="O1652" t="str">
        <f>VLOOKUP(B1652,Customers!A:J,5,0)</f>
        <v>Austin</v>
      </c>
      <c r="P1652" t="str">
        <f>VLOOKUP(B1652,Customers!A:J,10,0)</f>
        <v>Silver</v>
      </c>
      <c r="Q1652" t="str">
        <f>VLOOKUP(B1652,Customers!A:J,8,0)</f>
        <v>Female</v>
      </c>
      <c r="R1652" t="b">
        <f t="shared" si="50"/>
        <v>1</v>
      </c>
      <c r="S1652" s="18">
        <f t="shared" si="51"/>
        <v>45383</v>
      </c>
    </row>
    <row r="1653" spans="1:19" x14ac:dyDescent="0.25">
      <c r="A1653" s="6" t="s">
        <v>3092</v>
      </c>
      <c r="B1653" s="7" t="s">
        <v>637</v>
      </c>
      <c r="C1653" s="15">
        <v>44743</v>
      </c>
      <c r="D1653" s="7" t="s">
        <v>667</v>
      </c>
      <c r="E1653" s="7" t="s">
        <v>696</v>
      </c>
      <c r="F1653" s="7">
        <v>59.99</v>
      </c>
      <c r="G1653" s="7">
        <v>4</v>
      </c>
      <c r="H1653" s="7">
        <v>0</v>
      </c>
      <c r="I1653" s="7">
        <v>59.99</v>
      </c>
      <c r="J1653" s="7">
        <v>239.96</v>
      </c>
      <c r="K1653" s="7" t="s">
        <v>669</v>
      </c>
      <c r="L1653" s="7" t="s">
        <v>656</v>
      </c>
      <c r="M1653" s="8">
        <v>5</v>
      </c>
      <c r="N1653">
        <f>VLOOKUP(B1653,Customers!A:J,7,0)</f>
        <v>64</v>
      </c>
      <c r="O1653" t="str">
        <f>VLOOKUP(B1653,Customers!A:J,5,0)</f>
        <v>Austin</v>
      </c>
      <c r="P1653" t="str">
        <f>VLOOKUP(B1653,Customers!A:J,10,0)</f>
        <v>Silver</v>
      </c>
      <c r="Q1653" t="str">
        <f>VLOOKUP(B1653,Customers!A:J,8,0)</f>
        <v>Female</v>
      </c>
      <c r="R1653" t="b">
        <f t="shared" si="50"/>
        <v>1</v>
      </c>
      <c r="S1653" s="18">
        <f t="shared" si="51"/>
        <v>44743</v>
      </c>
    </row>
    <row r="1654" spans="1:19" x14ac:dyDescent="0.25">
      <c r="A1654" s="3" t="s">
        <v>3093</v>
      </c>
      <c r="B1654" s="4" t="s">
        <v>637</v>
      </c>
      <c r="C1654" s="14">
        <v>45135</v>
      </c>
      <c r="D1654" s="4" t="s">
        <v>667</v>
      </c>
      <c r="E1654" s="4" t="s">
        <v>668</v>
      </c>
      <c r="F1654" s="4">
        <v>64.989999999999995</v>
      </c>
      <c r="G1654" s="4">
        <v>4</v>
      </c>
      <c r="H1654" s="4">
        <v>5</v>
      </c>
      <c r="I1654" s="4">
        <v>61.74</v>
      </c>
      <c r="J1654" s="4">
        <v>246.96</v>
      </c>
      <c r="K1654" s="4" t="s">
        <v>661</v>
      </c>
      <c r="L1654" s="4" t="s">
        <v>656</v>
      </c>
      <c r="M1654" s="5"/>
      <c r="N1654">
        <f>VLOOKUP(B1654,Customers!A:J,7,0)</f>
        <v>64</v>
      </c>
      <c r="O1654" t="str">
        <f>VLOOKUP(B1654,Customers!A:J,5,0)</f>
        <v>Austin</v>
      </c>
      <c r="P1654" t="str">
        <f>VLOOKUP(B1654,Customers!A:J,10,0)</f>
        <v>Silver</v>
      </c>
      <c r="Q1654" t="str">
        <f>VLOOKUP(B1654,Customers!A:J,8,0)</f>
        <v>Female</v>
      </c>
      <c r="R1654" t="b">
        <f t="shared" si="50"/>
        <v>1</v>
      </c>
      <c r="S1654" s="18">
        <f t="shared" si="51"/>
        <v>45108</v>
      </c>
    </row>
    <row r="1655" spans="1:19" x14ac:dyDescent="0.25">
      <c r="A1655" s="6" t="s">
        <v>3095</v>
      </c>
      <c r="B1655" s="7" t="s">
        <v>637</v>
      </c>
      <c r="C1655" s="15">
        <v>45257</v>
      </c>
      <c r="D1655" s="7" t="s">
        <v>684</v>
      </c>
      <c r="E1655" s="7" t="s">
        <v>685</v>
      </c>
      <c r="F1655" s="7">
        <v>49.99</v>
      </c>
      <c r="G1655" s="7">
        <v>2</v>
      </c>
      <c r="H1655" s="7">
        <v>20</v>
      </c>
      <c r="I1655" s="7">
        <v>39.99</v>
      </c>
      <c r="J1655" s="7">
        <v>79.98</v>
      </c>
      <c r="K1655" s="7" t="s">
        <v>661</v>
      </c>
      <c r="L1655" s="7" t="s">
        <v>656</v>
      </c>
      <c r="M1655" s="8"/>
      <c r="N1655">
        <f>VLOOKUP(B1655,Customers!A:J,7,0)</f>
        <v>64</v>
      </c>
      <c r="O1655" t="str">
        <f>VLOOKUP(B1655,Customers!A:J,5,0)</f>
        <v>Austin</v>
      </c>
      <c r="P1655" t="str">
        <f>VLOOKUP(B1655,Customers!A:J,10,0)</f>
        <v>Silver</v>
      </c>
      <c r="Q1655" t="str">
        <f>VLOOKUP(B1655,Customers!A:J,8,0)</f>
        <v>Female</v>
      </c>
      <c r="R1655" t="b">
        <f t="shared" si="50"/>
        <v>1</v>
      </c>
      <c r="S1655" s="18">
        <f t="shared" si="51"/>
        <v>45231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D287-4505-4EAA-9BB4-0509DA51FCE0}">
  <dimension ref="A1:J23"/>
  <sheetViews>
    <sheetView zoomScale="85" zoomScaleNormal="85" workbookViewId="0">
      <selection activeCell="D32" sqref="D32"/>
    </sheetView>
  </sheetViews>
  <sheetFormatPr defaultRowHeight="15" x14ac:dyDescent="0.25"/>
  <cols>
    <col min="1" max="1" width="15.42578125" bestFit="1" customWidth="1"/>
    <col min="2" max="2" width="17.85546875" bestFit="1" customWidth="1"/>
    <col min="3" max="3" width="16.7109375" bestFit="1" customWidth="1"/>
    <col min="4" max="4" width="16.28515625" bestFit="1" customWidth="1"/>
    <col min="5" max="5" width="14.140625" bestFit="1" customWidth="1"/>
    <col min="6" max="6" width="13.140625" bestFit="1" customWidth="1"/>
    <col min="7" max="7" width="17.85546875" bestFit="1" customWidth="1"/>
    <col min="8" max="8" width="13.140625" bestFit="1" customWidth="1"/>
    <col min="9" max="9" width="17.85546875" bestFit="1" customWidth="1"/>
    <col min="10" max="10" width="22.42578125" bestFit="1" customWidth="1"/>
    <col min="11" max="11" width="9.140625" customWidth="1"/>
  </cols>
  <sheetData>
    <row r="1" spans="1:10" x14ac:dyDescent="0.25">
      <c r="A1" s="12" t="s">
        <v>3119</v>
      </c>
      <c r="B1" t="s">
        <v>3117</v>
      </c>
      <c r="C1" t="s">
        <v>3118</v>
      </c>
      <c r="D1" t="s">
        <v>3120</v>
      </c>
      <c r="H1" s="12" t="s">
        <v>3115</v>
      </c>
      <c r="I1" t="s">
        <v>3117</v>
      </c>
      <c r="J1" t="s">
        <v>3121</v>
      </c>
    </row>
    <row r="2" spans="1:10" x14ac:dyDescent="0.25">
      <c r="A2" s="13" t="s">
        <v>684</v>
      </c>
      <c r="B2" s="19">
        <v>46884.23000000004</v>
      </c>
      <c r="C2" s="19">
        <v>225</v>
      </c>
      <c r="D2" s="19">
        <v>4.0066666666666668</v>
      </c>
      <c r="H2" s="13" t="s">
        <v>32</v>
      </c>
      <c r="I2" s="19">
        <v>91517.530000000726</v>
      </c>
      <c r="J2" s="19">
        <v>109.73324940048049</v>
      </c>
    </row>
    <row r="3" spans="1:10" x14ac:dyDescent="0.25">
      <c r="A3" s="13" t="s">
        <v>667</v>
      </c>
      <c r="B3" s="19">
        <v>36312.969999999994</v>
      </c>
      <c r="C3" s="19">
        <v>236</v>
      </c>
      <c r="D3" s="19">
        <v>4.0584795321637426</v>
      </c>
      <c r="H3" s="13" t="s">
        <v>53</v>
      </c>
      <c r="I3" s="19">
        <v>50255.370000000104</v>
      </c>
      <c r="J3" s="19">
        <v>104.26425311203342</v>
      </c>
    </row>
    <row r="4" spans="1:10" x14ac:dyDescent="0.25">
      <c r="A4" s="13" t="s">
        <v>672</v>
      </c>
      <c r="B4" s="19">
        <v>31322.639999999999</v>
      </c>
      <c r="C4" s="19">
        <v>261</v>
      </c>
      <c r="D4" s="19">
        <v>4.0617977528089888</v>
      </c>
      <c r="H4" s="13" t="s">
        <v>18</v>
      </c>
      <c r="I4" s="19">
        <v>20796.999999999964</v>
      </c>
      <c r="J4" s="19">
        <v>110.03703703703684</v>
      </c>
    </row>
    <row r="5" spans="1:10" x14ac:dyDescent="0.25">
      <c r="A5" s="13" t="s">
        <v>659</v>
      </c>
      <c r="B5" s="19">
        <v>20328.979999999963</v>
      </c>
      <c r="C5" s="19">
        <v>249</v>
      </c>
      <c r="D5" s="19">
        <v>4.1412429378531073</v>
      </c>
      <c r="H5" s="13" t="s">
        <v>26</v>
      </c>
      <c r="I5" s="19">
        <v>16690.649999999954</v>
      </c>
      <c r="J5" s="19">
        <v>112.01778523489902</v>
      </c>
    </row>
    <row r="6" spans="1:10" x14ac:dyDescent="0.25">
      <c r="A6" s="13" t="s">
        <v>653</v>
      </c>
      <c r="B6" s="19">
        <v>18687.629999999946</v>
      </c>
      <c r="C6" s="19">
        <v>233</v>
      </c>
      <c r="D6" s="19">
        <v>4.2012195121951219</v>
      </c>
      <c r="H6" s="13" t="s">
        <v>3116</v>
      </c>
      <c r="I6" s="19">
        <v>179260.55000000083</v>
      </c>
      <c r="J6" s="19">
        <v>108.38001813784814</v>
      </c>
    </row>
    <row r="7" spans="1:10" x14ac:dyDescent="0.25">
      <c r="A7" s="13" t="s">
        <v>710</v>
      </c>
      <c r="B7" s="19">
        <v>14108.699999999941</v>
      </c>
      <c r="C7" s="19">
        <v>226</v>
      </c>
      <c r="D7" s="19">
        <v>4.1401273885350323</v>
      </c>
    </row>
    <row r="8" spans="1:10" x14ac:dyDescent="0.25">
      <c r="A8" s="13" t="s">
        <v>680</v>
      </c>
      <c r="B8" s="19">
        <v>11615.399999999952</v>
      </c>
      <c r="C8" s="19">
        <v>224</v>
      </c>
      <c r="D8" s="19">
        <v>4.0548780487804876</v>
      </c>
    </row>
    <row r="9" spans="1:10" x14ac:dyDescent="0.25">
      <c r="A9" s="13" t="s">
        <v>3116</v>
      </c>
      <c r="B9" s="19">
        <v>179260.54999999996</v>
      </c>
      <c r="C9" s="19">
        <v>1654</v>
      </c>
      <c r="D9" s="19">
        <v>4.0956072351421184</v>
      </c>
    </row>
    <row r="12" spans="1:10" x14ac:dyDescent="0.25">
      <c r="B12" t="s">
        <v>3132</v>
      </c>
    </row>
    <row r="13" spans="1:10" x14ac:dyDescent="0.25">
      <c r="A13" s="12" t="s">
        <v>3115</v>
      </c>
      <c r="B13" t="s">
        <v>3117</v>
      </c>
      <c r="C13" t="s">
        <v>3118</v>
      </c>
      <c r="F13" s="12" t="s">
        <v>3115</v>
      </c>
      <c r="G13" t="s">
        <v>3117</v>
      </c>
    </row>
    <row r="14" spans="1:10" x14ac:dyDescent="0.25">
      <c r="A14" s="13" t="s">
        <v>656</v>
      </c>
      <c r="B14" s="19">
        <v>154704.0200000013</v>
      </c>
      <c r="C14" s="19">
        <v>1419</v>
      </c>
      <c r="F14" s="13" t="s">
        <v>3124</v>
      </c>
      <c r="G14" s="19">
        <v>62142.830000000125</v>
      </c>
    </row>
    <row r="15" spans="1:10" x14ac:dyDescent="0.25">
      <c r="A15" s="13" t="s">
        <v>788</v>
      </c>
      <c r="B15" s="19">
        <v>9942.9299999999821</v>
      </c>
      <c r="C15" s="19">
        <v>108</v>
      </c>
      <c r="F15" s="13" t="s">
        <v>3125</v>
      </c>
      <c r="G15" s="19">
        <v>58744.360000000015</v>
      </c>
    </row>
    <row r="16" spans="1:10" x14ac:dyDescent="0.25">
      <c r="A16" s="13" t="s">
        <v>739</v>
      </c>
      <c r="B16" s="19">
        <v>8044.5399999999972</v>
      </c>
      <c r="C16" s="19">
        <v>64</v>
      </c>
      <c r="F16" s="13" t="s">
        <v>3126</v>
      </c>
      <c r="G16" s="19">
        <v>58373.360000000139</v>
      </c>
    </row>
    <row r="17" spans="1:7" x14ac:dyDescent="0.25">
      <c r="A17" s="13" t="s">
        <v>785</v>
      </c>
      <c r="B17" s="19">
        <v>3440.7599999999979</v>
      </c>
      <c r="C17" s="19">
        <v>32</v>
      </c>
      <c r="F17" s="13" t="s">
        <v>3116</v>
      </c>
      <c r="G17" s="19">
        <v>179260.55000000028</v>
      </c>
    </row>
    <row r="18" spans="1:7" x14ac:dyDescent="0.25">
      <c r="A18" s="13" t="s">
        <v>693</v>
      </c>
      <c r="B18" s="19">
        <v>3128.2999999999993</v>
      </c>
      <c r="C18" s="19">
        <v>31</v>
      </c>
    </row>
    <row r="19" spans="1:7" x14ac:dyDescent="0.25">
      <c r="A19" s="13" t="s">
        <v>3116</v>
      </c>
      <c r="B19" s="19">
        <v>179260.55000000063</v>
      </c>
      <c r="C19" s="19">
        <v>1654</v>
      </c>
    </row>
    <row r="22" spans="1:7" ht="15.75" x14ac:dyDescent="0.25">
      <c r="A22" s="20" t="s">
        <v>3127</v>
      </c>
      <c r="B22" s="20" t="s">
        <v>3128</v>
      </c>
      <c r="C22" s="20" t="s">
        <v>3129</v>
      </c>
      <c r="D22" s="20" t="s">
        <v>3130</v>
      </c>
      <c r="E22" s="20" t="s">
        <v>3131</v>
      </c>
    </row>
    <row r="23" spans="1:7" x14ac:dyDescent="0.25">
      <c r="A23" s="21">
        <f>SUMIF(Orders!L:L,"Delivered",Orders!J:J)</f>
        <v>154704.0200000013</v>
      </c>
      <c r="B23" s="21">
        <f>COUNTIF(Orders!L:L,"Delivered")</f>
        <v>1419</v>
      </c>
      <c r="C23" s="21">
        <f>SUMIF(Orders!L:L,"Delivered",Orders!J:J)/COUNTIF(Orders!L:L,"Delivered")</f>
        <v>109.02326990838711</v>
      </c>
      <c r="D23" s="22">
        <f>COUNTIF(Orders!L:L,"Returned")/(COUNTA(Orders!A:A)-1)*100</f>
        <v>1.9347037484885126</v>
      </c>
      <c r="E23" s="21" t="str">
        <f>INDEX(A2:A8,MATCH(MAX(B2:B8),B2:B8,0))</f>
        <v>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A20" sqref="A20"/>
    </sheetView>
  </sheetViews>
  <sheetFormatPr defaultColWidth="8.7109375" defaultRowHeight="15" x14ac:dyDescent="0.25"/>
  <cols>
    <col min="1" max="1" width="30" customWidth="1"/>
    <col min="2" max="2" width="65" customWidth="1"/>
  </cols>
  <sheetData>
    <row r="1" spans="1:2" ht="16.5" x14ac:dyDescent="0.25">
      <c r="A1" s="2" t="s">
        <v>3096</v>
      </c>
    </row>
    <row r="3" spans="1:2" x14ac:dyDescent="0.25">
      <c r="A3" t="s">
        <v>3097</v>
      </c>
      <c r="B3" t="s">
        <v>3098</v>
      </c>
    </row>
    <row r="4" spans="1:2" x14ac:dyDescent="0.25">
      <c r="A4" t="s">
        <v>3099</v>
      </c>
      <c r="B4" t="s">
        <v>3100</v>
      </c>
    </row>
    <row r="5" spans="1:2" x14ac:dyDescent="0.25">
      <c r="A5" t="s">
        <v>3101</v>
      </c>
      <c r="B5" t="s">
        <v>3102</v>
      </c>
    </row>
    <row r="6" spans="1:2" x14ac:dyDescent="0.25">
      <c r="A6" t="s">
        <v>3103</v>
      </c>
      <c r="B6" t="s">
        <v>3104</v>
      </c>
    </row>
    <row r="7" spans="1:2" x14ac:dyDescent="0.25">
      <c r="A7" t="s">
        <v>3105</v>
      </c>
      <c r="B7" t="s">
        <v>3106</v>
      </c>
    </row>
    <row r="8" spans="1:2" x14ac:dyDescent="0.25">
      <c r="A8" t="s">
        <v>3107</v>
      </c>
      <c r="B8" t="s">
        <v>3108</v>
      </c>
    </row>
    <row r="9" spans="1:2" x14ac:dyDescent="0.25">
      <c r="A9" t="s">
        <v>3109</v>
      </c>
      <c r="B9" t="s">
        <v>3110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Orders</vt:lpstr>
      <vt:lpstr>Master</vt:lpstr>
      <vt:lpstr>Pivot_Analysis</vt:lpstr>
      <vt:lpstr>Analysis_Guide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shobith n</cp:lastModifiedBy>
  <cp:revision>0</cp:revision>
  <dcterms:created xsi:type="dcterms:W3CDTF">2026-09-04T11:34:10Z</dcterms:created>
  <dcterms:modified xsi:type="dcterms:W3CDTF">2026-09-06T13:22:16Z</dcterms:modified>
  <dc:language>en-US</dc:language>
</cp:coreProperties>
</file>